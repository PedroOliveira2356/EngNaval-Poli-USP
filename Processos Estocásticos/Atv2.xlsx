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edrodeoliveira/Downloads/"/>
    </mc:Choice>
  </mc:AlternateContent>
  <xr:revisionPtr revIDLastSave="0" documentId="8_{1ACB73B7-4C82-094B-868E-FA4DBB10D0CC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G103" i="1"/>
  <c r="F10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3" i="1"/>
  <c r="C1" i="1"/>
  <c r="D1" i="1"/>
</calcChain>
</file>

<file path=xl/sharedStrings.xml><?xml version="1.0" encoding="utf-8"?>
<sst xmlns="http://schemas.openxmlformats.org/spreadsheetml/2006/main" count="16" uniqueCount="16">
  <si>
    <t>X</t>
  </si>
  <si>
    <t>Y</t>
  </si>
  <si>
    <t>e_t</t>
  </si>
  <si>
    <t>e_t - e_t-1</t>
  </si>
  <si>
    <t>(e_t - e_t-1)^2</t>
  </si>
  <si>
    <t>(e_t)^2</t>
  </si>
  <si>
    <t>Y chapeu</t>
  </si>
  <si>
    <t>SOMA</t>
  </si>
  <si>
    <t>DW</t>
  </si>
  <si>
    <t>n = 100</t>
  </si>
  <si>
    <t>k = 1</t>
  </si>
  <si>
    <t>alpha = 1%</t>
  </si>
  <si>
    <t>Estatística = 1.522</t>
  </si>
  <si>
    <t>DW &lt; 1.522</t>
  </si>
  <si>
    <t>Logo, aceitamos H1 (os resíduos são correlacionados)</t>
  </si>
  <si>
    <t>Tabela: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</si>
</sst>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1" xfId="0" applyFont="1" applyBorder="1"/>
    <xf numFmtId="0" fontId="3" fillId="0" borderId="0" xfId="0" applyFont="1"/>
    <xf numFmtId="0" fontId="3" fillId="0" borderId="2" xfId="0" applyFont="1" applyBorder="1"/>
    <xf numFmtId="0" fontId="0" fillId="0" borderId="3" xfId="0" applyFont="1" applyBorder="1"/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3" borderId="0" xfId="0" applyFont="1" applyFill="1"/>
    <xf numFmtId="0" fontId="2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67733</xdr:colOff>
      <xdr:row>9</xdr:row>
      <xdr:rowOff>127000</xdr:rowOff>
    </xdr:from>
    <xdr:ext cx="65" cy="172227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67507ED-A8E3-5D00-3D08-84E3F0F2FD75}"/>
            </a:ext>
          </a:extLst>
        </xdr:cNvPr>
        <xdr:cNvSpPr txBox="1"/>
      </xdr:nvSpPr>
      <xdr:spPr>
        <a:xfrm>
          <a:off x="5494866" y="1879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zoomScale="150" zoomScaleNormal="150" workbookViewId="0">
      <selection activeCell="F8" sqref="F8"/>
    </sheetView>
  </sheetViews>
  <sheetFormatPr baseColWidth="10" defaultColWidth="8.83203125" defaultRowHeight="15" x14ac:dyDescent="0.2"/>
  <cols>
    <col min="1" max="2" width="8.83203125" style="1"/>
    <col min="3" max="3" width="11.1640625" style="1" bestFit="1" customWidth="1"/>
    <col min="4" max="4" width="8.83203125" style="1"/>
    <col min="5" max="6" width="12.1640625" style="1" bestFit="1" customWidth="1"/>
    <col min="7" max="16384" width="8.83203125" style="1"/>
  </cols>
  <sheetData>
    <row r="1" spans="1:7" x14ac:dyDescent="0.2">
      <c r="C1" s="4">
        <f xml:space="preserve"> SLOPE(B3:B102,A3:A102)</f>
        <v>2.5062116816552047</v>
      </c>
      <c r="D1" s="4">
        <f>INTERCEPT(B3:B102, A3:A102)</f>
        <v>4.1936490016662873</v>
      </c>
    </row>
    <row r="2" spans="1:7" x14ac:dyDescent="0.2">
      <c r="A2" s="10" t="s">
        <v>0</v>
      </c>
      <c r="B2" s="10" t="s">
        <v>1</v>
      </c>
      <c r="C2" s="2" t="s">
        <v>6</v>
      </c>
      <c r="D2" s="10" t="s">
        <v>2</v>
      </c>
      <c r="E2" s="10" t="s">
        <v>3</v>
      </c>
      <c r="F2" s="10" t="s">
        <v>4</v>
      </c>
      <c r="G2" s="10" t="s">
        <v>5</v>
      </c>
    </row>
    <row r="3" spans="1:7" x14ac:dyDescent="0.2">
      <c r="A3" s="3">
        <v>1</v>
      </c>
      <c r="B3" s="3">
        <v>7.9967141530112329</v>
      </c>
      <c r="C3" s="4">
        <f>$D$1 + $C$1 * A3</f>
        <v>6.699860683321492</v>
      </c>
      <c r="D3" s="1">
        <f>B3-C3</f>
        <v>1.2968534696897409</v>
      </c>
    </row>
    <row r="4" spans="1:7" x14ac:dyDescent="0.2">
      <c r="A4" s="3">
        <v>2</v>
      </c>
      <c r="B4" s="3">
        <v>10.259107021237799</v>
      </c>
      <c r="C4" s="4">
        <f t="shared" ref="C4:C67" si="0">$D$1 + $C$1 * A4</f>
        <v>9.2060723649766967</v>
      </c>
      <c r="D4" s="1">
        <f t="shared" ref="D4:D67" si="1">B4-C4</f>
        <v>1.0530346562611026</v>
      </c>
      <c r="E4" s="1">
        <f>D4-D3</f>
        <v>-0.24381881342863831</v>
      </c>
      <c r="F4" s="1">
        <f>E4^2</f>
        <v>5.9447613781749141E-2</v>
      </c>
      <c r="G4" s="1">
        <f>D4^2</f>
        <v>1.1088819872869384</v>
      </c>
    </row>
    <row r="5" spans="1:7" x14ac:dyDescent="0.2">
      <c r="A5" s="3">
        <v>3</v>
      </c>
      <c r="B5" s="3">
        <v>13.354974155090931</v>
      </c>
      <c r="C5" s="4">
        <f t="shared" si="0"/>
        <v>11.7122840466319</v>
      </c>
      <c r="D5" s="1">
        <f t="shared" si="1"/>
        <v>1.6426901084590302</v>
      </c>
      <c r="E5" s="1">
        <f t="shared" ref="E5:E68" si="2">D5-D4</f>
        <v>0.58965545219792759</v>
      </c>
      <c r="F5" s="1">
        <f t="shared" ref="F5:F68" si="3">E5^2</f>
        <v>0.34769355230674248</v>
      </c>
      <c r="G5" s="1">
        <f t="shared" ref="G5:G68" si="4">D5^2</f>
        <v>2.6984307924291402</v>
      </c>
    </row>
    <row r="6" spans="1:7" x14ac:dyDescent="0.2">
      <c r="A6" s="3">
        <v>4</v>
      </c>
      <c r="B6" s="3">
        <v>17.207009180480771</v>
      </c>
      <c r="C6" s="4">
        <f t="shared" si="0"/>
        <v>14.218495728287106</v>
      </c>
      <c r="D6" s="1">
        <f t="shared" si="1"/>
        <v>2.9885134521936649</v>
      </c>
      <c r="E6" s="1">
        <f t="shared" si="2"/>
        <v>1.3458233437346347</v>
      </c>
      <c r="F6" s="1">
        <f t="shared" si="3"/>
        <v>1.8112404725410729</v>
      </c>
      <c r="G6" s="1">
        <f t="shared" si="4"/>
        <v>8.931212653942497</v>
      </c>
    </row>
    <row r="7" spans="1:7" x14ac:dyDescent="0.2">
      <c r="A7" s="3">
        <v>5</v>
      </c>
      <c r="B7" s="3">
        <v>19.031453969661278</v>
      </c>
      <c r="C7" s="4">
        <f t="shared" si="0"/>
        <v>16.724707409942312</v>
      </c>
      <c r="D7" s="1">
        <f t="shared" si="1"/>
        <v>2.3067465597189667</v>
      </c>
      <c r="E7" s="1">
        <f t="shared" si="2"/>
        <v>-0.68176689247469824</v>
      </c>
      <c r="F7" s="1">
        <f t="shared" si="3"/>
        <v>0.46480609567460673</v>
      </c>
      <c r="G7" s="1">
        <f t="shared" si="4"/>
        <v>5.3210796907752886</v>
      </c>
    </row>
    <row r="8" spans="1:7" x14ac:dyDescent="0.2">
      <c r="A8" s="3">
        <v>6</v>
      </c>
      <c r="B8" s="3">
        <v>20.99102621877984</v>
      </c>
      <c r="C8" s="4">
        <f t="shared" si="0"/>
        <v>19.230919091597514</v>
      </c>
      <c r="D8" s="1">
        <f t="shared" si="1"/>
        <v>1.7601071271823265</v>
      </c>
      <c r="E8" s="1">
        <f t="shared" si="2"/>
        <v>-0.54663943253664016</v>
      </c>
      <c r="F8" s="1">
        <f t="shared" si="3"/>
        <v>0.29881466920397998</v>
      </c>
      <c r="G8" s="1">
        <f t="shared" si="4"/>
        <v>3.0979770991580224</v>
      </c>
    </row>
    <row r="9" spans="1:7" x14ac:dyDescent="0.2">
      <c r="A9" s="3">
        <v>7</v>
      </c>
      <c r="B9" s="3">
        <v>24.872033790531269</v>
      </c>
      <c r="C9" s="4">
        <f t="shared" si="0"/>
        <v>21.737130773252719</v>
      </c>
      <c r="D9" s="1">
        <f t="shared" si="1"/>
        <v>3.1349030172785497</v>
      </c>
      <c r="E9" s="1">
        <f t="shared" si="2"/>
        <v>1.3747958900962232</v>
      </c>
      <c r="F9" s="1">
        <f t="shared" si="3"/>
        <v>1.8900637394254665</v>
      </c>
      <c r="G9" s="1">
        <f t="shared" si="4"/>
        <v>9.8276169277421541</v>
      </c>
    </row>
    <row r="10" spans="1:7" x14ac:dyDescent="0.2">
      <c r="A10" s="3">
        <v>8</v>
      </c>
      <c r="B10" s="3">
        <v>27.66506176157792</v>
      </c>
      <c r="C10" s="4">
        <f t="shared" si="0"/>
        <v>24.243342454907925</v>
      </c>
      <c r="D10" s="1">
        <f t="shared" si="1"/>
        <v>3.4217193066699956</v>
      </c>
      <c r="E10" s="1">
        <f t="shared" si="2"/>
        <v>0.28681628939144588</v>
      </c>
      <c r="F10" s="1">
        <f t="shared" si="3"/>
        <v>8.2263583860277628E-2</v>
      </c>
      <c r="G10" s="1">
        <f t="shared" si="4"/>
        <v>11.708163013638195</v>
      </c>
    </row>
    <row r="11" spans="1:7" x14ac:dyDescent="0.2">
      <c r="A11" s="3">
        <v>9</v>
      </c>
      <c r="B11" s="3">
        <v>29.162575023327381</v>
      </c>
      <c r="C11" s="4">
        <f t="shared" si="0"/>
        <v>26.74955413656313</v>
      </c>
      <c r="D11" s="1">
        <f t="shared" si="1"/>
        <v>2.4130208867642509</v>
      </c>
      <c r="E11" s="1">
        <f t="shared" si="2"/>
        <v>-1.0086984199057447</v>
      </c>
      <c r="F11" s="1">
        <f t="shared" si="3"/>
        <v>1.0174725023203461</v>
      </c>
      <c r="G11" s="1">
        <f t="shared" si="4"/>
        <v>5.8226697999605319</v>
      </c>
    </row>
    <row r="12" spans="1:7" x14ac:dyDescent="0.2">
      <c r="A12" s="3">
        <v>10</v>
      </c>
      <c r="B12" s="3">
        <v>31.872620062247879</v>
      </c>
      <c r="C12" s="4">
        <f t="shared" si="0"/>
        <v>29.255765818218336</v>
      </c>
      <c r="D12" s="1">
        <f t="shared" si="1"/>
        <v>2.6168542440295433</v>
      </c>
      <c r="E12" s="1">
        <f t="shared" si="2"/>
        <v>0.20383335726529239</v>
      </c>
      <c r="F12" s="1">
        <f t="shared" si="3"/>
        <v>4.1548037534040329E-2</v>
      </c>
      <c r="G12" s="1">
        <f t="shared" si="4"/>
        <v>6.8479261344954327</v>
      </c>
    </row>
    <row r="13" spans="1:7" x14ac:dyDescent="0.2">
      <c r="A13" s="3">
        <v>11</v>
      </c>
      <c r="B13" s="3">
        <v>33.534678356985843</v>
      </c>
      <c r="C13" s="4">
        <f t="shared" si="0"/>
        <v>31.761977499873538</v>
      </c>
      <c r="D13" s="1">
        <f t="shared" si="1"/>
        <v>1.7727008571123051</v>
      </c>
      <c r="E13" s="1">
        <f t="shared" si="2"/>
        <v>-0.84415338691723818</v>
      </c>
      <c r="F13" s="1">
        <f t="shared" si="3"/>
        <v>0.71259494064384443</v>
      </c>
      <c r="G13" s="1">
        <f t="shared" si="4"/>
        <v>3.142468328806701</v>
      </c>
    </row>
    <row r="14" spans="1:7" x14ac:dyDescent="0.2">
      <c r="A14" s="3">
        <v>12</v>
      </c>
      <c r="B14" s="3">
        <v>35.362012932018423</v>
      </c>
      <c r="C14" s="4">
        <f t="shared" si="0"/>
        <v>34.26818918152874</v>
      </c>
      <c r="D14" s="1">
        <f t="shared" si="1"/>
        <v>1.0938237504896833</v>
      </c>
      <c r="E14" s="1">
        <f t="shared" si="2"/>
        <v>-0.6788771066226218</v>
      </c>
      <c r="F14" s="1">
        <f t="shared" si="3"/>
        <v>0.46087412589630261</v>
      </c>
      <c r="G14" s="1">
        <f t="shared" si="4"/>
        <v>1.1964503971353169</v>
      </c>
    </row>
    <row r="15" spans="1:7" x14ac:dyDescent="0.2">
      <c r="A15" s="3">
        <v>13</v>
      </c>
      <c r="B15" s="3">
        <v>38.031572617180757</v>
      </c>
      <c r="C15" s="4">
        <f t="shared" si="0"/>
        <v>36.774400863183949</v>
      </c>
      <c r="D15" s="1">
        <f t="shared" si="1"/>
        <v>1.2571717539968077</v>
      </c>
      <c r="E15" s="1">
        <f t="shared" si="2"/>
        <v>0.16334800350712442</v>
      </c>
      <c r="F15" s="1">
        <f t="shared" si="3"/>
        <v>2.6682570249763532E-2</v>
      </c>
      <c r="G15" s="1">
        <f t="shared" si="4"/>
        <v>1.58048081904741</v>
      </c>
    </row>
    <row r="16" spans="1:7" x14ac:dyDescent="0.2">
      <c r="A16" s="3">
        <v>14</v>
      </c>
      <c r="B16" s="3">
        <v>38.511977849086811</v>
      </c>
      <c r="C16" s="4">
        <f t="shared" si="0"/>
        <v>39.280612544839151</v>
      </c>
      <c r="D16" s="1">
        <f t="shared" si="1"/>
        <v>-0.76863469575233978</v>
      </c>
      <c r="E16" s="1">
        <f t="shared" si="2"/>
        <v>-2.0258064497491475</v>
      </c>
      <c r="F16" s="1">
        <f t="shared" si="3"/>
        <v>4.1038917718452455</v>
      </c>
      <c r="G16" s="1">
        <f t="shared" si="4"/>
        <v>0.59079929551429189</v>
      </c>
    </row>
    <row r="17" spans="1:7" x14ac:dyDescent="0.2">
      <c r="A17" s="3">
        <v>15</v>
      </c>
      <c r="B17" s="3">
        <v>39.58466444675642</v>
      </c>
      <c r="C17" s="4">
        <f t="shared" si="0"/>
        <v>41.78682422649436</v>
      </c>
      <c r="D17" s="1">
        <f t="shared" si="1"/>
        <v>-2.20215977973794</v>
      </c>
      <c r="E17" s="1">
        <f t="shared" si="2"/>
        <v>-1.4335250839856002</v>
      </c>
      <c r="F17" s="1">
        <f t="shared" si="3"/>
        <v>2.0549941664159221</v>
      </c>
      <c r="G17" s="1">
        <f t="shared" si="4"/>
        <v>4.8495076954954524</v>
      </c>
    </row>
    <row r="18" spans="1:7" x14ac:dyDescent="0.2">
      <c r="A18" s="3">
        <v>16</v>
      </c>
      <c r="B18" s="3">
        <v>42.105444028164158</v>
      </c>
      <c r="C18" s="4">
        <f t="shared" si="0"/>
        <v>44.293035908149562</v>
      </c>
      <c r="D18" s="1">
        <f t="shared" si="1"/>
        <v>-2.1875918799854048</v>
      </c>
      <c r="E18" s="1">
        <f t="shared" si="2"/>
        <v>1.4567899752535141E-2</v>
      </c>
      <c r="F18" s="1">
        <f t="shared" si="3"/>
        <v>2.1222370319991341E-4</v>
      </c>
      <c r="G18" s="1">
        <f t="shared" si="4"/>
        <v>4.7855582333780777</v>
      </c>
    </row>
    <row r="19" spans="1:7" x14ac:dyDescent="0.2">
      <c r="A19" s="3">
        <v>17</v>
      </c>
      <c r="B19" s="3">
        <v>44.171524102196898</v>
      </c>
      <c r="C19" s="4">
        <f t="shared" si="0"/>
        <v>46.799247589804764</v>
      </c>
      <c r="D19" s="1">
        <f t="shared" si="1"/>
        <v>-2.6277234876078666</v>
      </c>
      <c r="E19" s="1">
        <f t="shared" si="2"/>
        <v>-0.44013160762246173</v>
      </c>
      <c r="F19" s="1">
        <f t="shared" si="3"/>
        <v>0.19371583202833262</v>
      </c>
      <c r="G19" s="1">
        <f t="shared" si="4"/>
        <v>6.9049307273260494</v>
      </c>
    </row>
    <row r="20" spans="1:7" x14ac:dyDescent="0.2">
      <c r="A20" s="3">
        <v>18</v>
      </c>
      <c r="B20" s="3">
        <v>47.651466614352799</v>
      </c>
      <c r="C20" s="4">
        <f t="shared" si="0"/>
        <v>49.305459271459974</v>
      </c>
      <c r="D20" s="1">
        <f t="shared" si="1"/>
        <v>-1.6539926571071746</v>
      </c>
      <c r="E20" s="1">
        <f t="shared" si="2"/>
        <v>0.97373083050069198</v>
      </c>
      <c r="F20" s="1">
        <f t="shared" si="3"/>
        <v>0.94815173026756738</v>
      </c>
      <c r="G20" s="1">
        <f t="shared" si="4"/>
        <v>2.7356917097644518</v>
      </c>
    </row>
    <row r="21" spans="1:7" x14ac:dyDescent="0.2">
      <c r="A21" s="3">
        <v>19</v>
      </c>
      <c r="B21" s="3">
        <v>49.713149215961018</v>
      </c>
      <c r="C21" s="4">
        <f t="shared" si="0"/>
        <v>51.811670953115176</v>
      </c>
      <c r="D21" s="1">
        <f t="shared" si="1"/>
        <v>-2.098521737154158</v>
      </c>
      <c r="E21" s="1">
        <f t="shared" si="2"/>
        <v>-0.44452908004698344</v>
      </c>
      <c r="F21" s="1">
        <f t="shared" si="3"/>
        <v>0.19760610300741741</v>
      </c>
      <c r="G21" s="1">
        <f t="shared" si="4"/>
        <v>4.4037934813085053</v>
      </c>
    </row>
    <row r="22" spans="1:7" x14ac:dyDescent="0.2">
      <c r="A22" s="3">
        <v>20</v>
      </c>
      <c r="B22" s="3">
        <v>51.358215671433527</v>
      </c>
      <c r="C22" s="4">
        <f t="shared" si="0"/>
        <v>54.317882634770385</v>
      </c>
      <c r="D22" s="1">
        <f t="shared" si="1"/>
        <v>-2.9596669633368577</v>
      </c>
      <c r="E22" s="1">
        <f t="shared" si="2"/>
        <v>-0.86114522618269973</v>
      </c>
      <c r="F22" s="1">
        <f t="shared" si="3"/>
        <v>0.74157110057725306</v>
      </c>
      <c r="G22" s="1">
        <f t="shared" si="4"/>
        <v>8.7596285338676161</v>
      </c>
    </row>
    <row r="23" spans="1:7" x14ac:dyDescent="0.2">
      <c r="A23" s="3">
        <v>21</v>
      </c>
      <c r="B23" s="3">
        <v>56.052221306068382</v>
      </c>
      <c r="C23" s="4">
        <f t="shared" si="0"/>
        <v>56.824094316425587</v>
      </c>
      <c r="D23" s="1">
        <f t="shared" si="1"/>
        <v>-0.77187301035720424</v>
      </c>
      <c r="E23" s="1">
        <f t="shared" si="2"/>
        <v>2.1877939529796535</v>
      </c>
      <c r="F23" s="1">
        <f t="shared" si="3"/>
        <v>4.7864423806943384</v>
      </c>
      <c r="G23" s="1">
        <f t="shared" si="4"/>
        <v>0.59578794411789271</v>
      </c>
    </row>
    <row r="24" spans="1:7" x14ac:dyDescent="0.2">
      <c r="A24" s="3">
        <v>22</v>
      </c>
      <c r="B24" s="3">
        <v>58.616000744368158</v>
      </c>
      <c r="C24" s="4">
        <f t="shared" si="0"/>
        <v>59.330305998080789</v>
      </c>
      <c r="D24" s="1">
        <f t="shared" si="1"/>
        <v>-0.71430525371263087</v>
      </c>
      <c r="E24" s="1">
        <f t="shared" si="2"/>
        <v>5.7567756644573365E-2</v>
      </c>
      <c r="F24" s="1">
        <f t="shared" si="3"/>
        <v>3.3140466050888208E-3</v>
      </c>
      <c r="G24" s="1">
        <f t="shared" si="4"/>
        <v>0.51023199548146592</v>
      </c>
    </row>
    <row r="25" spans="1:7" x14ac:dyDescent="0.2">
      <c r="A25" s="3">
        <v>23</v>
      </c>
      <c r="B25" s="3">
        <v>61.460328800182459</v>
      </c>
      <c r="C25" s="4">
        <f t="shared" si="0"/>
        <v>61.836517679735998</v>
      </c>
      <c r="D25" s="1">
        <f t="shared" si="1"/>
        <v>-0.37618887955353841</v>
      </c>
      <c r="E25" s="1">
        <f t="shared" si="2"/>
        <v>0.33811637415909246</v>
      </c>
      <c r="F25" s="1">
        <f t="shared" si="3"/>
        <v>0.11432268247449141</v>
      </c>
      <c r="G25" s="1">
        <f t="shared" si="4"/>
        <v>0.14151807309974662</v>
      </c>
    </row>
    <row r="26" spans="1:7" x14ac:dyDescent="0.2">
      <c r="A26" s="3">
        <v>24</v>
      </c>
      <c r="B26" s="3">
        <v>62.74351485393251</v>
      </c>
      <c r="C26" s="4">
        <f t="shared" si="0"/>
        <v>64.342729361391207</v>
      </c>
      <c r="D26" s="1">
        <f t="shared" si="1"/>
        <v>-1.5992145074586972</v>
      </c>
      <c r="E26" s="1">
        <f t="shared" si="2"/>
        <v>-1.2230256279051588</v>
      </c>
      <c r="F26" s="1">
        <f t="shared" si="3"/>
        <v>1.4957916865128078</v>
      </c>
      <c r="G26" s="1">
        <f t="shared" si="4"/>
        <v>2.5574870408663637</v>
      </c>
    </row>
    <row r="27" spans="1:7" x14ac:dyDescent="0.2">
      <c r="A27" s="3">
        <v>25</v>
      </c>
      <c r="B27" s="3">
        <v>65.150429158620824</v>
      </c>
      <c r="C27" s="4">
        <f t="shared" si="0"/>
        <v>66.848941043046409</v>
      </c>
      <c r="D27" s="1">
        <f t="shared" si="1"/>
        <v>-1.6985118844255851</v>
      </c>
      <c r="E27" s="1">
        <f t="shared" si="2"/>
        <v>-9.9297376966887896E-2</v>
      </c>
      <c r="F27" s="1">
        <f t="shared" si="3"/>
        <v>9.8599690725042384E-3</v>
      </c>
      <c r="G27" s="1">
        <f t="shared" si="4"/>
        <v>2.8849426215349521</v>
      </c>
    </row>
    <row r="28" spans="1:7" x14ac:dyDescent="0.2">
      <c r="A28" s="3">
        <v>26</v>
      </c>
      <c r="B28" s="3">
        <v>68.231265916606532</v>
      </c>
      <c r="C28" s="4">
        <f t="shared" si="0"/>
        <v>69.355152724701611</v>
      </c>
      <c r="D28" s="1">
        <f t="shared" si="1"/>
        <v>-1.1238868080950795</v>
      </c>
      <c r="E28" s="1">
        <f t="shared" si="2"/>
        <v>0.57462507633050564</v>
      </c>
      <c r="F28" s="1">
        <f t="shared" si="3"/>
        <v>0.33019397834783942</v>
      </c>
      <c r="G28" s="1">
        <f t="shared" si="4"/>
        <v>1.263121557410146</v>
      </c>
    </row>
    <row r="29" spans="1:7" x14ac:dyDescent="0.2">
      <c r="A29" s="3">
        <v>27</v>
      </c>
      <c r="B29" s="3">
        <v>69.934019155862913</v>
      </c>
      <c r="C29" s="4">
        <f t="shared" si="0"/>
        <v>71.861364406356813</v>
      </c>
      <c r="D29" s="1">
        <f t="shared" si="1"/>
        <v>-1.9273452504939002</v>
      </c>
      <c r="E29" s="1">
        <f t="shared" si="2"/>
        <v>-0.80345844239882069</v>
      </c>
      <c r="F29" s="1">
        <f t="shared" si="3"/>
        <v>0.64554546866193907</v>
      </c>
      <c r="G29" s="1">
        <f t="shared" si="4"/>
        <v>3.7146597146013947</v>
      </c>
    </row>
    <row r="30" spans="1:7" x14ac:dyDescent="0.2">
      <c r="A30" s="3">
        <v>28</v>
      </c>
      <c r="B30" s="3">
        <v>73.322913343036006</v>
      </c>
      <c r="C30" s="4">
        <f t="shared" si="0"/>
        <v>74.367576088012015</v>
      </c>
      <c r="D30" s="1">
        <f t="shared" si="1"/>
        <v>-1.0446627449760086</v>
      </c>
      <c r="E30" s="1">
        <f t="shared" si="2"/>
        <v>0.88268250551789151</v>
      </c>
      <c r="F30" s="1">
        <f t="shared" si="3"/>
        <v>0.77912840554734253</v>
      </c>
      <c r="G30" s="1">
        <f t="shared" si="4"/>
        <v>1.0913202507408093</v>
      </c>
    </row>
    <row r="31" spans="1:7" x14ac:dyDescent="0.2">
      <c r="A31" s="3">
        <v>29</v>
      </c>
      <c r="B31" s="3">
        <v>75.557691984510001</v>
      </c>
      <c r="C31" s="4">
        <f t="shared" si="0"/>
        <v>76.873787769667217</v>
      </c>
      <c r="D31" s="1">
        <f t="shared" si="1"/>
        <v>-1.3160957851572164</v>
      </c>
      <c r="E31" s="1">
        <f t="shared" si="2"/>
        <v>-0.27143304018120773</v>
      </c>
      <c r="F31" s="1">
        <f t="shared" si="3"/>
        <v>7.3675895302013128E-2</v>
      </c>
      <c r="G31" s="1">
        <f t="shared" si="4"/>
        <v>1.7321081157085898</v>
      </c>
    </row>
    <row r="32" spans="1:7" x14ac:dyDescent="0.2">
      <c r="A32" s="3">
        <v>30</v>
      </c>
      <c r="B32" s="3">
        <v>78.154459837814727</v>
      </c>
      <c r="C32" s="4">
        <f t="shared" si="0"/>
        <v>79.379999451322433</v>
      </c>
      <c r="D32" s="1">
        <f t="shared" si="1"/>
        <v>-1.2255396135077063</v>
      </c>
      <c r="E32" s="1">
        <f t="shared" si="2"/>
        <v>9.055617164951002E-2</v>
      </c>
      <c r="F32" s="1">
        <f t="shared" si="3"/>
        <v>8.2004202238155216E-3</v>
      </c>
      <c r="G32" s="1">
        <f t="shared" si="4"/>
        <v>1.5019473442766182</v>
      </c>
    </row>
    <row r="33" spans="1:7" x14ac:dyDescent="0.2">
      <c r="A33" s="3">
        <v>31</v>
      </c>
      <c r="B33" s="3">
        <v>80.421861258022375</v>
      </c>
      <c r="C33" s="4">
        <f t="shared" si="0"/>
        <v>81.886211132977635</v>
      </c>
      <c r="D33" s="1">
        <f t="shared" si="1"/>
        <v>-1.4643498749552606</v>
      </c>
      <c r="E33" s="1">
        <f t="shared" si="2"/>
        <v>-0.23881026144755424</v>
      </c>
      <c r="F33" s="1">
        <f t="shared" si="3"/>
        <v>5.703034097264921E-2</v>
      </c>
      <c r="G33" s="1">
        <f t="shared" si="4"/>
        <v>2.1443205562814871</v>
      </c>
    </row>
    <row r="34" spans="1:7" x14ac:dyDescent="0.2">
      <c r="A34" s="3">
        <v>32</v>
      </c>
      <c r="B34" s="3">
        <v>85.189767190926844</v>
      </c>
      <c r="C34" s="4">
        <f t="shared" si="0"/>
        <v>84.392422814632837</v>
      </c>
      <c r="D34" s="1">
        <f t="shared" si="1"/>
        <v>0.79734437629400645</v>
      </c>
      <c r="E34" s="1">
        <f t="shared" si="2"/>
        <v>2.261694251249267</v>
      </c>
      <c r="F34" s="1">
        <f t="shared" si="3"/>
        <v>5.1152608861339823</v>
      </c>
      <c r="G34" s="1">
        <f t="shared" si="4"/>
        <v>0.63575805440767819</v>
      </c>
    </row>
    <row r="35" spans="1:7" x14ac:dyDescent="0.2">
      <c r="A35" s="3">
        <v>33</v>
      </c>
      <c r="B35" s="3">
        <v>87.638316528003543</v>
      </c>
      <c r="C35" s="4">
        <f t="shared" si="0"/>
        <v>86.898634496288039</v>
      </c>
      <c r="D35" s="1">
        <f t="shared" si="1"/>
        <v>0.73968203171550329</v>
      </c>
      <c r="E35" s="1">
        <f t="shared" si="2"/>
        <v>-5.7662344578503166E-2</v>
      </c>
      <c r="F35" s="1">
        <f t="shared" si="3"/>
        <v>3.3249459822900333E-3</v>
      </c>
      <c r="G35" s="1">
        <f t="shared" si="4"/>
        <v>0.54712950804277483</v>
      </c>
    </row>
    <row r="36" spans="1:7" x14ac:dyDescent="0.2">
      <c r="A36" s="3">
        <v>34</v>
      </c>
      <c r="B36" s="3">
        <v>89.052942293446932</v>
      </c>
      <c r="C36" s="4">
        <f t="shared" si="0"/>
        <v>89.404846177943242</v>
      </c>
      <c r="D36" s="1">
        <f t="shared" si="1"/>
        <v>-0.35190388449630916</v>
      </c>
      <c r="E36" s="1">
        <f t="shared" si="2"/>
        <v>-1.0915859162118124</v>
      </c>
      <c r="F36" s="1">
        <f t="shared" si="3"/>
        <v>1.1915598124719819</v>
      </c>
      <c r="G36" s="1">
        <f t="shared" si="4"/>
        <v>0.1238363439235917</v>
      </c>
    </row>
    <row r="37" spans="1:7" x14ac:dyDescent="0.2">
      <c r="A37" s="3">
        <v>35</v>
      </c>
      <c r="B37" s="3">
        <v>92.564898746860734</v>
      </c>
      <c r="C37" s="4">
        <f t="shared" si="0"/>
        <v>91.911057859598458</v>
      </c>
      <c r="D37" s="1">
        <f t="shared" si="1"/>
        <v>0.65384088726227674</v>
      </c>
      <c r="E37" s="1">
        <f t="shared" si="2"/>
        <v>1.0057447717585859</v>
      </c>
      <c r="F37" s="1">
        <f t="shared" si="3"/>
        <v>1.0115225459197301</v>
      </c>
      <c r="G37" s="1">
        <f t="shared" si="4"/>
        <v>0.4275079058559213</v>
      </c>
    </row>
    <row r="38" spans="1:7" x14ac:dyDescent="0.2">
      <c r="A38" s="3">
        <v>36</v>
      </c>
      <c r="B38" s="3">
        <v>93.831075347517569</v>
      </c>
      <c r="C38" s="4">
        <f t="shared" si="0"/>
        <v>94.41726954125366</v>
      </c>
      <c r="D38" s="1">
        <f t="shared" si="1"/>
        <v>-0.58619419373609105</v>
      </c>
      <c r="E38" s="1">
        <f t="shared" si="2"/>
        <v>-1.2400350809983678</v>
      </c>
      <c r="F38" s="1">
        <f t="shared" si="3"/>
        <v>1.5376870021066285</v>
      </c>
      <c r="G38" s="1">
        <f t="shared" si="4"/>
        <v>0.34362363276990587</v>
      </c>
    </row>
    <row r="39" spans="1:7" x14ac:dyDescent="0.2">
      <c r="A39" s="3">
        <v>37</v>
      </c>
      <c r="B39" s="3">
        <v>96.77372387301881</v>
      </c>
      <c r="C39" s="4">
        <f t="shared" si="0"/>
        <v>96.923481222908862</v>
      </c>
      <c r="D39" s="1">
        <f t="shared" si="1"/>
        <v>-0.14975734989005218</v>
      </c>
      <c r="E39" s="1">
        <f t="shared" si="2"/>
        <v>0.43643684384603887</v>
      </c>
      <c r="F39" s="1">
        <f t="shared" si="3"/>
        <v>0.19047711866629172</v>
      </c>
      <c r="G39" s="1">
        <f t="shared" si="4"/>
        <v>2.2427263846091512E-2</v>
      </c>
    </row>
    <row r="40" spans="1:7" x14ac:dyDescent="0.2">
      <c r="A40" s="3">
        <v>38</v>
      </c>
      <c r="B40" s="3">
        <v>97.459308974535276</v>
      </c>
      <c r="C40" s="4">
        <f t="shared" si="0"/>
        <v>99.429692904564064</v>
      </c>
      <c r="D40" s="1">
        <f t="shared" si="1"/>
        <v>-1.9703839300287882</v>
      </c>
      <c r="E40" s="1">
        <f t="shared" si="2"/>
        <v>-1.820626580138736</v>
      </c>
      <c r="F40" s="1">
        <f t="shared" si="3"/>
        <v>3.3146811443076696</v>
      </c>
      <c r="G40" s="1">
        <f t="shared" si="4"/>
        <v>3.8824128317156923</v>
      </c>
    </row>
    <row r="41" spans="1:7" x14ac:dyDescent="0.2">
      <c r="A41" s="3">
        <v>39</v>
      </c>
      <c r="B41" s="3">
        <v>99.139261130729778</v>
      </c>
      <c r="C41" s="4">
        <f t="shared" si="0"/>
        <v>101.93590458621927</v>
      </c>
      <c r="D41" s="1">
        <f t="shared" si="1"/>
        <v>-2.7966434554894875</v>
      </c>
      <c r="E41" s="1">
        <f t="shared" si="2"/>
        <v>-0.82625952546069925</v>
      </c>
      <c r="F41" s="1">
        <f t="shared" si="3"/>
        <v>0.68270480341453987</v>
      </c>
      <c r="G41" s="1">
        <f t="shared" si="4"/>
        <v>7.8212146171321804</v>
      </c>
    </row>
    <row r="42" spans="1:7" x14ac:dyDescent="0.2">
      <c r="A42" s="3">
        <v>40</v>
      </c>
      <c r="B42" s="3">
        <v>102.50827014045301</v>
      </c>
      <c r="C42" s="4">
        <f t="shared" si="0"/>
        <v>104.44211626787448</v>
      </c>
      <c r="D42" s="1">
        <f t="shared" si="1"/>
        <v>-1.9338461274214751</v>
      </c>
      <c r="E42" s="1">
        <f t="shared" si="2"/>
        <v>0.86279732806801235</v>
      </c>
      <c r="F42" s="1">
        <f t="shared" si="3"/>
        <v>0.74441922932130133</v>
      </c>
      <c r="G42" s="1">
        <f t="shared" si="4"/>
        <v>3.7397608445430359</v>
      </c>
    </row>
    <row r="43" spans="1:7" x14ac:dyDescent="0.2">
      <c r="A43" s="3">
        <v>41</v>
      </c>
      <c r="B43" s="3">
        <v>106.2450826923578</v>
      </c>
      <c r="C43" s="4">
        <f t="shared" si="0"/>
        <v>106.94832794952968</v>
      </c>
      <c r="D43" s="1">
        <f t="shared" si="1"/>
        <v>-0.70324525717188635</v>
      </c>
      <c r="E43" s="1">
        <f t="shared" si="2"/>
        <v>1.2306008702495888</v>
      </c>
      <c r="F43" s="1">
        <f t="shared" si="3"/>
        <v>1.5143785018590452</v>
      </c>
      <c r="G43" s="1">
        <f t="shared" si="4"/>
        <v>0.49455389173475256</v>
      </c>
    </row>
    <row r="44" spans="1:7" x14ac:dyDescent="0.2">
      <c r="A44" s="3">
        <v>42</v>
      </c>
      <c r="B44" s="3">
        <v>109.1674344350762</v>
      </c>
      <c r="C44" s="4">
        <f t="shared" si="0"/>
        <v>109.45453963118489</v>
      </c>
      <c r="D44" s="1">
        <f t="shared" si="1"/>
        <v>-0.28710519610868346</v>
      </c>
      <c r="E44" s="1">
        <f t="shared" si="2"/>
        <v>0.41614006106320289</v>
      </c>
      <c r="F44" s="1">
        <f t="shared" si="3"/>
        <v>0.17317255042168622</v>
      </c>
      <c r="G44" s="1">
        <f t="shared" si="4"/>
        <v>8.2429393632605583E-2</v>
      </c>
    </row>
    <row r="45" spans="1:7" x14ac:dyDescent="0.2">
      <c r="A45" s="3">
        <v>43</v>
      </c>
      <c r="B45" s="3">
        <v>111.7182992656727</v>
      </c>
      <c r="C45" s="4">
        <f t="shared" si="0"/>
        <v>111.96075131284009</v>
      </c>
      <c r="D45" s="1">
        <f t="shared" si="1"/>
        <v>-0.24245204716739011</v>
      </c>
      <c r="E45" s="1">
        <f t="shared" si="2"/>
        <v>4.4653148941293352E-2</v>
      </c>
      <c r="F45" s="1">
        <f t="shared" si="3"/>
        <v>1.9939037103733274E-3</v>
      </c>
      <c r="G45" s="1">
        <f t="shared" si="4"/>
        <v>5.8782995175658354E-2</v>
      </c>
    </row>
    <row r="46" spans="1:7" x14ac:dyDescent="0.2">
      <c r="A46" s="3">
        <v>44</v>
      </c>
      <c r="B46" s="3">
        <v>114.0735357169489</v>
      </c>
      <c r="C46" s="4">
        <f t="shared" si="0"/>
        <v>114.46696299449529</v>
      </c>
      <c r="D46" s="1">
        <f t="shared" si="1"/>
        <v>-0.39342727754639384</v>
      </c>
      <c r="E46" s="1">
        <f t="shared" si="2"/>
        <v>-0.15097523037900373</v>
      </c>
      <c r="F46" s="1">
        <f t="shared" si="3"/>
        <v>2.2793520187993251E-2</v>
      </c>
      <c r="G46" s="1">
        <f t="shared" si="4"/>
        <v>0.15478502271756722</v>
      </c>
    </row>
    <row r="47" spans="1:7" x14ac:dyDescent="0.2">
      <c r="A47" s="3">
        <v>45</v>
      </c>
      <c r="B47" s="3">
        <v>115.2803065831917</v>
      </c>
      <c r="C47" s="4">
        <f t="shared" si="0"/>
        <v>116.97317467615049</v>
      </c>
      <c r="D47" s="1">
        <f t="shared" si="1"/>
        <v>-1.6928680929587898</v>
      </c>
      <c r="E47" s="1">
        <f t="shared" si="2"/>
        <v>-1.299440815412396</v>
      </c>
      <c r="F47" s="1">
        <f t="shared" si="3"/>
        <v>1.6885464327596325</v>
      </c>
      <c r="G47" s="1">
        <f t="shared" si="4"/>
        <v>2.86580238015793</v>
      </c>
    </row>
    <row r="48" spans="1:7" x14ac:dyDescent="0.2">
      <c r="A48" s="3">
        <v>46</v>
      </c>
      <c r="B48" s="3">
        <v>117.50440105815861</v>
      </c>
      <c r="C48" s="4">
        <f t="shared" si="0"/>
        <v>119.47938635780571</v>
      </c>
      <c r="D48" s="1">
        <f t="shared" si="1"/>
        <v>-1.974985299647102</v>
      </c>
      <c r="E48" s="1">
        <f t="shared" si="2"/>
        <v>-0.28211720668831219</v>
      </c>
      <c r="F48" s="1">
        <f t="shared" si="3"/>
        <v>7.9590118309615862E-2</v>
      </c>
      <c r="G48" s="1">
        <f t="shared" si="4"/>
        <v>3.9005669338221534</v>
      </c>
    </row>
    <row r="49" spans="1:7" x14ac:dyDescent="0.2">
      <c r="A49" s="3">
        <v>47</v>
      </c>
      <c r="B49" s="3">
        <v>120.04288207556711</v>
      </c>
      <c r="C49" s="4">
        <f t="shared" si="0"/>
        <v>121.98559803946091</v>
      </c>
      <c r="D49" s="1">
        <f t="shared" si="1"/>
        <v>-1.9427159638938036</v>
      </c>
      <c r="E49" s="1">
        <f t="shared" si="2"/>
        <v>3.2269335753298378E-2</v>
      </c>
      <c r="F49" s="1">
        <f t="shared" si="3"/>
        <v>1.0413100299591011E-3</v>
      </c>
      <c r="G49" s="1">
        <f t="shared" si="4"/>
        <v>3.7741453163678305</v>
      </c>
    </row>
    <row r="50" spans="1:7" x14ac:dyDescent="0.2">
      <c r="A50" s="3">
        <v>48</v>
      </c>
      <c r="B50" s="3">
        <v>124.09142788667261</v>
      </c>
      <c r="C50" s="4">
        <f t="shared" si="0"/>
        <v>124.49180972111611</v>
      </c>
      <c r="D50" s="1">
        <f t="shared" si="1"/>
        <v>-0.4003818344435075</v>
      </c>
      <c r="E50" s="1">
        <f t="shared" si="2"/>
        <v>1.5423341294502961</v>
      </c>
      <c r="F50" s="1">
        <f t="shared" si="3"/>
        <v>2.378794566867203</v>
      </c>
      <c r="G50" s="1">
        <f t="shared" si="4"/>
        <v>0.16030561335234825</v>
      </c>
    </row>
    <row r="51" spans="1:7" x14ac:dyDescent="0.2">
      <c r="A51" s="3">
        <v>49</v>
      </c>
      <c r="B51" s="3">
        <v>127.11676059890659</v>
      </c>
      <c r="C51" s="4">
        <f t="shared" si="0"/>
        <v>126.99802140277131</v>
      </c>
      <c r="D51" s="1">
        <f t="shared" si="1"/>
        <v>0.11873919613528017</v>
      </c>
      <c r="E51" s="1">
        <f t="shared" si="2"/>
        <v>0.51912103057878767</v>
      </c>
      <c r="F51" s="1">
        <f t="shared" si="3"/>
        <v>0.26948664438918263</v>
      </c>
      <c r="G51" s="1">
        <f t="shared" si="4"/>
        <v>1.4098996698852532E-2</v>
      </c>
    </row>
    <row r="52" spans="1:7" x14ac:dyDescent="0.2">
      <c r="A52" s="3">
        <v>50</v>
      </c>
      <c r="B52" s="3">
        <v>127.93036832376249</v>
      </c>
      <c r="C52" s="4">
        <f t="shared" si="0"/>
        <v>129.50423308442652</v>
      </c>
      <c r="D52" s="1">
        <f t="shared" si="1"/>
        <v>-1.5738647606640228</v>
      </c>
      <c r="E52" s="1">
        <f t="shared" si="2"/>
        <v>-1.692603956799303</v>
      </c>
      <c r="F52" s="1">
        <f t="shared" si="3"/>
        <v>2.8649081545726567</v>
      </c>
      <c r="G52" s="1">
        <f t="shared" si="4"/>
        <v>2.477050284860022</v>
      </c>
    </row>
    <row r="53" spans="1:7" x14ac:dyDescent="0.2">
      <c r="A53" s="3">
        <v>51</v>
      </c>
      <c r="B53" s="3">
        <v>131.16837862840481</v>
      </c>
      <c r="C53" s="4">
        <f t="shared" si="0"/>
        <v>132.01044476608172</v>
      </c>
      <c r="D53" s="1">
        <f t="shared" si="1"/>
        <v>-0.84206613767690897</v>
      </c>
      <c r="E53" s="1">
        <f t="shared" si="2"/>
        <v>0.73179862298711384</v>
      </c>
      <c r="F53" s="1">
        <f t="shared" si="3"/>
        <v>0.53552922460583596</v>
      </c>
      <c r="G53" s="1">
        <f t="shared" si="4"/>
        <v>0.70907538022210703</v>
      </c>
    </row>
    <row r="54" spans="1:7" x14ac:dyDescent="0.2">
      <c r="A54" s="3">
        <v>52</v>
      </c>
      <c r="B54" s="3">
        <v>133.54962062230749</v>
      </c>
      <c r="C54" s="4">
        <f t="shared" si="0"/>
        <v>134.51665644773692</v>
      </c>
      <c r="D54" s="1">
        <f t="shared" si="1"/>
        <v>-0.96703582542943423</v>
      </c>
      <c r="E54" s="1">
        <f t="shared" si="2"/>
        <v>-0.12496968775252526</v>
      </c>
      <c r="F54" s="1">
        <f t="shared" si="3"/>
        <v>1.5617422856963662E-2</v>
      </c>
      <c r="G54" s="1">
        <f t="shared" si="4"/>
        <v>0.93515828766398723</v>
      </c>
    </row>
    <row r="55" spans="1:7" x14ac:dyDescent="0.2">
      <c r="A55" s="3">
        <v>53</v>
      </c>
      <c r="B55" s="3">
        <v>135.66277449754011</v>
      </c>
      <c r="C55" s="4">
        <f t="shared" si="0"/>
        <v>137.02286812939212</v>
      </c>
      <c r="D55" s="1">
        <f t="shared" si="1"/>
        <v>-1.3600936318520098</v>
      </c>
      <c r="E55" s="1">
        <f t="shared" si="2"/>
        <v>-0.3930578064225756</v>
      </c>
      <c r="F55" s="1">
        <f t="shared" si="3"/>
        <v>0.15449443918972691</v>
      </c>
      <c r="G55" s="1">
        <f t="shared" si="4"/>
        <v>1.8498546874043904</v>
      </c>
    </row>
    <row r="56" spans="1:7" x14ac:dyDescent="0.2">
      <c r="A56" s="3">
        <v>54</v>
      </c>
      <c r="B56" s="3">
        <v>139.1418958868729</v>
      </c>
      <c r="C56" s="4">
        <f t="shared" si="0"/>
        <v>139.52907981104732</v>
      </c>
      <c r="D56" s="1">
        <f t="shared" si="1"/>
        <v>-0.3871839241744226</v>
      </c>
      <c r="E56" s="1">
        <f t="shared" si="2"/>
        <v>0.97290970767758722</v>
      </c>
      <c r="F56" s="1">
        <f t="shared" si="3"/>
        <v>0.94655329929328824</v>
      </c>
      <c r="G56" s="1">
        <f t="shared" si="4"/>
        <v>0.14991139113910504</v>
      </c>
    </row>
    <row r="57" spans="1:7" x14ac:dyDescent="0.2">
      <c r="A57" s="3">
        <v>55</v>
      </c>
      <c r="B57" s="3">
        <v>142.84451623199431</v>
      </c>
      <c r="C57" s="4">
        <f t="shared" si="0"/>
        <v>142.03529149270253</v>
      </c>
      <c r="D57" s="1">
        <f t="shared" si="1"/>
        <v>0.80922473929177841</v>
      </c>
      <c r="E57" s="1">
        <f t="shared" si="2"/>
        <v>1.196408663466201</v>
      </c>
      <c r="F57" s="1">
        <f t="shared" si="3"/>
        <v>1.4313936900169815</v>
      </c>
      <c r="G57" s="1">
        <f t="shared" si="4"/>
        <v>0.6548446786818467</v>
      </c>
    </row>
    <row r="58" spans="1:7" x14ac:dyDescent="0.2">
      <c r="A58" s="3">
        <v>56</v>
      </c>
      <c r="B58" s="3">
        <v>146.20689310471161</v>
      </c>
      <c r="C58" s="4">
        <f t="shared" si="0"/>
        <v>144.54150317435773</v>
      </c>
      <c r="D58" s="1">
        <f t="shared" si="1"/>
        <v>1.6653899303538822</v>
      </c>
      <c r="E58" s="1">
        <f t="shared" si="2"/>
        <v>0.85616519106210376</v>
      </c>
      <c r="F58" s="1">
        <f t="shared" si="3"/>
        <v>0.73301883438640858</v>
      </c>
      <c r="G58" s="1">
        <f t="shared" si="4"/>
        <v>2.7735236201241085</v>
      </c>
    </row>
    <row r="59" spans="1:7" x14ac:dyDescent="0.2">
      <c r="A59" s="3">
        <v>57</v>
      </c>
      <c r="B59" s="3">
        <v>147.62629696054671</v>
      </c>
      <c r="C59" s="4">
        <f t="shared" si="0"/>
        <v>147.04771485601293</v>
      </c>
      <c r="D59" s="1">
        <f t="shared" si="1"/>
        <v>0.57858210453377978</v>
      </c>
      <c r="E59" s="1">
        <f t="shared" si="2"/>
        <v>-1.0868078258201024</v>
      </c>
      <c r="F59" s="1">
        <f t="shared" si="3"/>
        <v>1.181151250263818</v>
      </c>
      <c r="G59" s="1">
        <f t="shared" si="4"/>
        <v>0.3347572516867377</v>
      </c>
    </row>
    <row r="60" spans="1:7" x14ac:dyDescent="0.2">
      <c r="A60" s="3">
        <v>58</v>
      </c>
      <c r="B60" s="3">
        <v>149.79182519258609</v>
      </c>
      <c r="C60" s="4">
        <f t="shared" si="0"/>
        <v>149.55392653766813</v>
      </c>
      <c r="D60" s="1">
        <f t="shared" si="1"/>
        <v>0.23789865491795581</v>
      </c>
      <c r="E60" s="1">
        <f t="shared" si="2"/>
        <v>-0.34068344961582397</v>
      </c>
      <c r="F60" s="1">
        <f t="shared" si="3"/>
        <v>0.11606521284213767</v>
      </c>
      <c r="G60" s="1">
        <f t="shared" si="4"/>
        <v>5.6595770011772621E-2</v>
      </c>
    </row>
    <row r="61" spans="1:7" x14ac:dyDescent="0.2">
      <c r="A61" s="3">
        <v>59</v>
      </c>
      <c r="B61" s="3">
        <v>152.66472358547239</v>
      </c>
      <c r="C61" s="4">
        <f t="shared" si="0"/>
        <v>152.06013821932339</v>
      </c>
      <c r="D61" s="1">
        <f t="shared" si="1"/>
        <v>0.60458536614899572</v>
      </c>
      <c r="E61" s="1">
        <f t="shared" si="2"/>
        <v>0.36668671123103991</v>
      </c>
      <c r="F61" s="1">
        <f t="shared" si="3"/>
        <v>0.13445914419343605</v>
      </c>
      <c r="G61" s="1">
        <f t="shared" si="4"/>
        <v>0.36552346496151522</v>
      </c>
    </row>
    <row r="62" spans="1:7" x14ac:dyDescent="0.2">
      <c r="A62" s="3">
        <v>60</v>
      </c>
      <c r="B62" s="3">
        <v>156.10732399550031</v>
      </c>
      <c r="C62" s="4">
        <f t="shared" si="0"/>
        <v>154.56634990097859</v>
      </c>
      <c r="D62" s="1">
        <f t="shared" si="1"/>
        <v>1.5409740945217152</v>
      </c>
      <c r="E62" s="1">
        <f t="shared" si="2"/>
        <v>0.93638872837271947</v>
      </c>
      <c r="F62" s="1">
        <f t="shared" si="3"/>
        <v>0.87682385062347856</v>
      </c>
      <c r="G62" s="1">
        <f t="shared" si="4"/>
        <v>2.3746011599870198</v>
      </c>
    </row>
    <row r="63" spans="1:7" x14ac:dyDescent="0.2">
      <c r="A63" s="3">
        <v>61</v>
      </c>
      <c r="B63" s="3">
        <v>157.90668495855499</v>
      </c>
      <c r="C63" s="4">
        <f t="shared" si="0"/>
        <v>157.0725615826338</v>
      </c>
      <c r="D63" s="1">
        <f t="shared" si="1"/>
        <v>0.83412337592119457</v>
      </c>
      <c r="E63" s="1">
        <f t="shared" si="2"/>
        <v>-0.70685071860052062</v>
      </c>
      <c r="F63" s="1">
        <f t="shared" si="3"/>
        <v>0.4996379383860724</v>
      </c>
      <c r="G63" s="1">
        <f t="shared" si="4"/>
        <v>0.69576180625817041</v>
      </c>
    </row>
    <row r="64" spans="1:7" x14ac:dyDescent="0.2">
      <c r="A64" s="3">
        <v>62</v>
      </c>
      <c r="B64" s="3">
        <v>160.13968899018019</v>
      </c>
      <c r="C64" s="4">
        <f t="shared" si="0"/>
        <v>159.578773264289</v>
      </c>
      <c r="D64" s="1">
        <f t="shared" si="1"/>
        <v>0.5609157258911921</v>
      </c>
      <c r="E64" s="1">
        <f t="shared" si="2"/>
        <v>-0.27320765003000247</v>
      </c>
      <c r="F64" s="1">
        <f t="shared" si="3"/>
        <v>7.4642420034916307E-2</v>
      </c>
      <c r="G64" s="1">
        <f t="shared" si="4"/>
        <v>0.31462645155204294</v>
      </c>
    </row>
    <row r="65" spans="1:7" x14ac:dyDescent="0.2">
      <c r="A65" s="3">
        <v>63</v>
      </c>
      <c r="B65" s="3">
        <v>161.50541621813809</v>
      </c>
      <c r="C65" s="4">
        <f t="shared" si="0"/>
        <v>162.0849849459442</v>
      </c>
      <c r="D65" s="1">
        <f t="shared" si="1"/>
        <v>-0.57956872780610524</v>
      </c>
      <c r="E65" s="1">
        <f t="shared" si="2"/>
        <v>-1.1404844536972973</v>
      </c>
      <c r="F65" s="1">
        <f t="shared" si="3"/>
        <v>1.3007047891252228</v>
      </c>
      <c r="G65" s="1">
        <f t="shared" si="4"/>
        <v>0.3358999102507873</v>
      </c>
    </row>
    <row r="66" spans="1:7" x14ac:dyDescent="0.2">
      <c r="A66" s="3">
        <v>64</v>
      </c>
      <c r="B66" s="3">
        <v>163.00812635042979</v>
      </c>
      <c r="C66" s="4">
        <f t="shared" si="0"/>
        <v>164.5911966275994</v>
      </c>
      <c r="D66" s="1">
        <f t="shared" si="1"/>
        <v>-1.583070277169611</v>
      </c>
      <c r="E66" s="1">
        <f t="shared" si="2"/>
        <v>-1.0035015493635058</v>
      </c>
      <c r="F66" s="1">
        <f t="shared" si="3"/>
        <v>1.0070153595749567</v>
      </c>
      <c r="G66" s="1">
        <f t="shared" si="4"/>
        <v>2.5061115024578688</v>
      </c>
    </row>
    <row r="67" spans="1:7" x14ac:dyDescent="0.2">
      <c r="A67" s="3">
        <v>65</v>
      </c>
      <c r="B67" s="3">
        <v>166.71902690273811</v>
      </c>
      <c r="C67" s="4">
        <f t="shared" si="0"/>
        <v>167.0974083092546</v>
      </c>
      <c r="D67" s="1">
        <f t="shared" si="1"/>
        <v>-0.3783814065164961</v>
      </c>
      <c r="E67" s="1">
        <f t="shared" si="2"/>
        <v>1.2046888706531149</v>
      </c>
      <c r="F67" s="1">
        <f t="shared" si="3"/>
        <v>1.4512752750754774</v>
      </c>
      <c r="G67" s="1">
        <f t="shared" si="4"/>
        <v>0.14317248879740188</v>
      </c>
    </row>
    <row r="68" spans="1:7" x14ac:dyDescent="0.2">
      <c r="A68" s="3">
        <v>66</v>
      </c>
      <c r="B68" s="3">
        <v>170.73146155076131</v>
      </c>
      <c r="C68" s="4">
        <f t="shared" ref="C68:C102" si="5">$D$1 + $C$1 * A68</f>
        <v>169.60361999090981</v>
      </c>
      <c r="D68" s="1">
        <f t="shared" ref="D68:D102" si="6">B68-C68</f>
        <v>1.1278415598515039</v>
      </c>
      <c r="E68" s="1">
        <f t="shared" si="2"/>
        <v>1.506222966368</v>
      </c>
      <c r="F68" s="1">
        <f t="shared" si="3"/>
        <v>2.2687076244144171</v>
      </c>
      <c r="G68" s="1">
        <f t="shared" si="4"/>
        <v>1.2720265841282734</v>
      </c>
    </row>
    <row r="69" spans="1:7" x14ac:dyDescent="0.2">
      <c r="A69" s="3">
        <v>67</v>
      </c>
      <c r="B69" s="3">
        <v>173.0131591190287</v>
      </c>
      <c r="C69" s="4">
        <f t="shared" si="5"/>
        <v>172.10983167256501</v>
      </c>
      <c r="D69" s="1">
        <f t="shared" si="6"/>
        <v>0.90332744646369179</v>
      </c>
      <c r="E69" s="1">
        <f t="shared" ref="E69:E102" si="7">D69-D68</f>
        <v>-0.22451411338781213</v>
      </c>
      <c r="F69" s="1">
        <f t="shared" ref="F69:F102" si="8">E69^2</f>
        <v>5.0406587110315364E-2</v>
      </c>
      <c r="G69" s="1">
        <f t="shared" ref="G69:G102" si="9">D69^2</f>
        <v>0.81600047553461397</v>
      </c>
    </row>
    <row r="70" spans="1:7" x14ac:dyDescent="0.2">
      <c r="A70" s="3">
        <v>68</v>
      </c>
      <c r="B70" s="3">
        <v>176.41406019311489</v>
      </c>
      <c r="C70" s="4">
        <f t="shared" si="5"/>
        <v>174.61604335422021</v>
      </c>
      <c r="D70" s="1">
        <f t="shared" si="6"/>
        <v>1.7980168388946822</v>
      </c>
      <c r="E70" s="1">
        <f t="shared" si="7"/>
        <v>0.89468939243099044</v>
      </c>
      <c r="F70" s="1">
        <f t="shared" si="8"/>
        <v>0.80046910892853484</v>
      </c>
      <c r="G70" s="1">
        <f t="shared" si="9"/>
        <v>3.2328645529488256</v>
      </c>
    </row>
    <row r="71" spans="1:7" x14ac:dyDescent="0.2">
      <c r="A71" s="3">
        <v>69</v>
      </c>
      <c r="B71" s="3">
        <v>178.9928841795396</v>
      </c>
      <c r="C71" s="4">
        <f t="shared" si="5"/>
        <v>177.12225503587541</v>
      </c>
      <c r="D71" s="1">
        <f t="shared" si="6"/>
        <v>1.8706291436641891</v>
      </c>
      <c r="E71" s="1">
        <f t="shared" si="7"/>
        <v>7.2612304769506864E-2</v>
      </c>
      <c r="F71" s="1">
        <f t="shared" si="8"/>
        <v>5.2725468039397493E-3</v>
      </c>
      <c r="G71" s="1">
        <f t="shared" si="9"/>
        <v>3.4992533931258172</v>
      </c>
    </row>
    <row r="72" spans="1:7" x14ac:dyDescent="0.2">
      <c r="A72" s="3">
        <v>70</v>
      </c>
      <c r="B72" s="3">
        <v>180.54918758902659</v>
      </c>
      <c r="C72" s="4">
        <f t="shared" si="5"/>
        <v>179.62846671753061</v>
      </c>
      <c r="D72" s="1">
        <f t="shared" si="6"/>
        <v>0.92072087149597337</v>
      </c>
      <c r="E72" s="1">
        <f t="shared" si="7"/>
        <v>-0.94990827216821572</v>
      </c>
      <c r="F72" s="1">
        <f t="shared" si="8"/>
        <v>0.90232572553360502</v>
      </c>
      <c r="G72" s="1">
        <f t="shared" si="9"/>
        <v>0.84772692320830467</v>
      </c>
    </row>
    <row r="73" spans="1:7" x14ac:dyDescent="0.2">
      <c r="A73" s="3">
        <v>71</v>
      </c>
      <c r="B73" s="3">
        <v>183.30074567672969</v>
      </c>
      <c r="C73" s="4">
        <f t="shared" si="5"/>
        <v>182.13467839918582</v>
      </c>
      <c r="D73" s="1">
        <f t="shared" si="6"/>
        <v>1.1660672775438741</v>
      </c>
      <c r="E73" s="1">
        <f t="shared" si="7"/>
        <v>0.2453464060479007</v>
      </c>
      <c r="F73" s="1">
        <f t="shared" si="8"/>
        <v>6.0194858960621364E-2</v>
      </c>
      <c r="G73" s="1">
        <f t="shared" si="9"/>
        <v>1.3597128957585822</v>
      </c>
    </row>
    <row r="74" spans="1:7" x14ac:dyDescent="0.2">
      <c r="A74" s="3">
        <v>72</v>
      </c>
      <c r="B74" s="3">
        <v>187.17863310784969</v>
      </c>
      <c r="C74" s="4">
        <f t="shared" si="5"/>
        <v>184.64089008084102</v>
      </c>
      <c r="D74" s="1">
        <f t="shared" si="6"/>
        <v>2.5377430270086734</v>
      </c>
      <c r="E74" s="1">
        <f t="shared" si="7"/>
        <v>1.3716757494647993</v>
      </c>
      <c r="F74" s="1">
        <f t="shared" si="8"/>
        <v>1.881494361669819</v>
      </c>
      <c r="G74" s="1">
        <f t="shared" si="9"/>
        <v>6.4401396711311447</v>
      </c>
    </row>
    <row r="75" spans="1:7" x14ac:dyDescent="0.2">
      <c r="A75" s="3">
        <v>73</v>
      </c>
      <c r="B75" s="3">
        <v>189.2070804471698</v>
      </c>
      <c r="C75" s="4">
        <f t="shared" si="5"/>
        <v>187.14710176249622</v>
      </c>
      <c r="D75" s="1">
        <f t="shared" si="6"/>
        <v>2.059978684673581</v>
      </c>
      <c r="E75" s="1">
        <f t="shared" si="7"/>
        <v>-0.47776434233509235</v>
      </c>
      <c r="F75" s="1">
        <f t="shared" si="8"/>
        <v>0.22825876680688331</v>
      </c>
      <c r="G75" s="1">
        <f t="shared" si="9"/>
        <v>4.2435121813094971</v>
      </c>
    </row>
    <row r="76" spans="1:7" x14ac:dyDescent="0.2">
      <c r="A76" s="3">
        <v>74</v>
      </c>
      <c r="B76" s="3">
        <v>192.93030801354979</v>
      </c>
      <c r="C76" s="4">
        <f t="shared" si="5"/>
        <v>189.65331344415142</v>
      </c>
      <c r="D76" s="1">
        <f t="shared" si="6"/>
        <v>3.2769945693983686</v>
      </c>
      <c r="E76" s="1">
        <f t="shared" si="7"/>
        <v>1.2170158847247876</v>
      </c>
      <c r="F76" s="1">
        <f t="shared" si="8"/>
        <v>1.4811276636724575</v>
      </c>
      <c r="G76" s="1">
        <f t="shared" si="9"/>
        <v>10.7386934078664</v>
      </c>
    </row>
    <row r="77" spans="1:7" x14ac:dyDescent="0.2">
      <c r="A77" s="3">
        <v>75</v>
      </c>
      <c r="B77" s="3">
        <v>192.22450130675011</v>
      </c>
      <c r="C77" s="4">
        <f t="shared" si="5"/>
        <v>192.15952512580662</v>
      </c>
      <c r="D77" s="1">
        <f t="shared" si="6"/>
        <v>6.4976180943489226E-2</v>
      </c>
      <c r="E77" s="1">
        <f t="shared" si="7"/>
        <v>-3.2120183884548794</v>
      </c>
      <c r="F77" s="1">
        <f t="shared" si="8"/>
        <v>10.31706212777228</v>
      </c>
      <c r="G77" s="1">
        <f t="shared" si="9"/>
        <v>4.221904090001052E-3</v>
      </c>
    </row>
    <row r="78" spans="1:7" x14ac:dyDescent="0.2">
      <c r="A78" s="3">
        <v>76</v>
      </c>
      <c r="B78" s="3">
        <v>195.60150354977529</v>
      </c>
      <c r="C78" s="4">
        <f t="shared" si="5"/>
        <v>194.66573680746183</v>
      </c>
      <c r="D78" s="1">
        <f t="shared" si="6"/>
        <v>0.93576674231346146</v>
      </c>
      <c r="E78" s="1">
        <f t="shared" si="7"/>
        <v>0.87079056136997224</v>
      </c>
      <c r="F78" s="1">
        <f t="shared" si="8"/>
        <v>0.75827620177103139</v>
      </c>
      <c r="G78" s="1">
        <f t="shared" si="9"/>
        <v>0.87565939601994824</v>
      </c>
    </row>
    <row r="79" spans="1:7" x14ac:dyDescent="0.2">
      <c r="A79" s="3">
        <v>77</v>
      </c>
      <c r="B79" s="3">
        <v>198.06824990805839</v>
      </c>
      <c r="C79" s="4">
        <f t="shared" si="5"/>
        <v>197.17194848911703</v>
      </c>
      <c r="D79" s="1">
        <f t="shared" si="6"/>
        <v>0.89630141894136273</v>
      </c>
      <c r="E79" s="1">
        <f t="shared" si="7"/>
        <v>-3.9465323372098737E-2</v>
      </c>
      <c r="F79" s="1">
        <f t="shared" si="8"/>
        <v>1.5575117488643229E-3</v>
      </c>
      <c r="G79" s="1">
        <f t="shared" si="9"/>
        <v>0.80335623359630026</v>
      </c>
    </row>
    <row r="80" spans="1:7" x14ac:dyDescent="0.2">
      <c r="A80" s="3">
        <v>78</v>
      </c>
      <c r="B80" s="3">
        <v>200.1555925759809</v>
      </c>
      <c r="C80" s="4">
        <f t="shared" si="5"/>
        <v>199.67816017077223</v>
      </c>
      <c r="D80" s="1">
        <f t="shared" si="6"/>
        <v>0.47743240520867403</v>
      </c>
      <c r="E80" s="1">
        <f t="shared" si="7"/>
        <v>-0.4188690137326887</v>
      </c>
      <c r="F80" s="1">
        <f t="shared" si="8"/>
        <v>0.17545125066539535</v>
      </c>
      <c r="G80" s="1">
        <f t="shared" si="9"/>
        <v>0.22794170154333951</v>
      </c>
    </row>
    <row r="81" spans="1:7" x14ac:dyDescent="0.2">
      <c r="A81" s="3">
        <v>79</v>
      </c>
      <c r="B81" s="3">
        <v>202.7162348373202</v>
      </c>
      <c r="C81" s="4">
        <f t="shared" si="5"/>
        <v>202.18437185242743</v>
      </c>
      <c r="D81" s="1">
        <f t="shared" si="6"/>
        <v>0.53186298489276851</v>
      </c>
      <c r="E81" s="1">
        <f t="shared" si="7"/>
        <v>5.4430579684094482E-2</v>
      </c>
      <c r="F81" s="1">
        <f t="shared" si="8"/>
        <v>2.9626880047465588E-3</v>
      </c>
      <c r="G81" s="1">
        <f t="shared" si="9"/>
        <v>0.28287823469904533</v>
      </c>
    </row>
    <row r="82" spans="1:7" x14ac:dyDescent="0.2">
      <c r="A82" s="3">
        <v>80</v>
      </c>
      <c r="B82" s="3">
        <v>203.1854189552553</v>
      </c>
      <c r="C82" s="4">
        <f t="shared" si="5"/>
        <v>204.69058353408269</v>
      </c>
      <c r="D82" s="1">
        <f t="shared" si="6"/>
        <v>-1.5051645788273902</v>
      </c>
      <c r="E82" s="1">
        <f t="shared" si="7"/>
        <v>-2.0370275637201587</v>
      </c>
      <c r="F82" s="1">
        <f t="shared" si="8"/>
        <v>4.1494812953556854</v>
      </c>
      <c r="G82" s="1">
        <f t="shared" si="9"/>
        <v>2.2655204093566348</v>
      </c>
    </row>
    <row r="83" spans="1:7" x14ac:dyDescent="0.2">
      <c r="A83" s="3">
        <v>81</v>
      </c>
      <c r="B83" s="3">
        <v>205.82866327636671</v>
      </c>
      <c r="C83" s="4">
        <f t="shared" si="5"/>
        <v>207.19679521573789</v>
      </c>
      <c r="D83" s="1">
        <f t="shared" si="6"/>
        <v>-1.3681319393711817</v>
      </c>
      <c r="E83" s="1">
        <f t="shared" si="7"/>
        <v>0.13703263945620847</v>
      </c>
      <c r="F83" s="1">
        <f t="shared" si="8"/>
        <v>1.8777944276335223E-2</v>
      </c>
      <c r="G83" s="1">
        <f t="shared" si="9"/>
        <v>1.871785003527551</v>
      </c>
    </row>
    <row r="84" spans="1:7" x14ac:dyDescent="0.2">
      <c r="A84" s="3">
        <v>82</v>
      </c>
      <c r="B84" s="3">
        <v>209.0200431926051</v>
      </c>
      <c r="C84" s="4">
        <f t="shared" si="5"/>
        <v>209.7030068973931</v>
      </c>
      <c r="D84" s="1">
        <f t="shared" si="6"/>
        <v>-0.68296370478799417</v>
      </c>
      <c r="E84" s="1">
        <f t="shared" si="7"/>
        <v>0.68516823458318754</v>
      </c>
      <c r="F84" s="1">
        <f t="shared" si="8"/>
        <v>0.46945550968184191</v>
      </c>
      <c r="G84" s="1">
        <f t="shared" si="9"/>
        <v>0.46643942205774247</v>
      </c>
    </row>
    <row r="85" spans="1:7" x14ac:dyDescent="0.2">
      <c r="A85" s="3">
        <v>83</v>
      </c>
      <c r="B85" s="3">
        <v>213.19392859882561</v>
      </c>
      <c r="C85" s="4">
        <f t="shared" si="5"/>
        <v>212.2092185790483</v>
      </c>
      <c r="D85" s="1">
        <f t="shared" si="6"/>
        <v>0.98471001977731021</v>
      </c>
      <c r="E85" s="1">
        <f t="shared" si="7"/>
        <v>1.6676737245653044</v>
      </c>
      <c r="F85" s="1">
        <f t="shared" si="8"/>
        <v>2.7811356516055148</v>
      </c>
      <c r="G85" s="1">
        <f t="shared" si="9"/>
        <v>0.96965382304983061</v>
      </c>
    </row>
    <row r="86" spans="1:7" x14ac:dyDescent="0.2">
      <c r="A86" s="3">
        <v>84</v>
      </c>
      <c r="B86" s="3">
        <v>215.0368726607868</v>
      </c>
      <c r="C86" s="4">
        <f t="shared" si="5"/>
        <v>214.7154302607035</v>
      </c>
      <c r="D86" s="1">
        <f t="shared" si="6"/>
        <v>0.32144240008329916</v>
      </c>
      <c r="E86" s="1">
        <f t="shared" si="7"/>
        <v>-0.66326761969401105</v>
      </c>
      <c r="F86" s="1">
        <f t="shared" si="8"/>
        <v>0.43992393533455926</v>
      </c>
      <c r="G86" s="1">
        <f t="shared" si="9"/>
        <v>0.10332521657131176</v>
      </c>
    </row>
    <row r="87" spans="1:7" x14ac:dyDescent="0.2">
      <c r="A87" s="3">
        <v>85</v>
      </c>
      <c r="B87" s="3">
        <v>216.7210045257363</v>
      </c>
      <c r="C87" s="4">
        <f t="shared" si="5"/>
        <v>217.2216419423587</v>
      </c>
      <c r="D87" s="1">
        <f t="shared" si="6"/>
        <v>-0.50063741662239636</v>
      </c>
      <c r="E87" s="1">
        <f t="shared" si="7"/>
        <v>-0.82207981670569552</v>
      </c>
      <c r="F87" s="1">
        <f t="shared" si="8"/>
        <v>0.6758152250348699</v>
      </c>
      <c r="G87" s="1">
        <f t="shared" si="9"/>
        <v>0.25063782292234688</v>
      </c>
    </row>
    <row r="88" spans="1:7" x14ac:dyDescent="0.2">
      <c r="A88" s="3">
        <v>86</v>
      </c>
      <c r="B88" s="3">
        <v>218.8750465770045</v>
      </c>
      <c r="C88" s="4">
        <f t="shared" si="5"/>
        <v>219.7278536240139</v>
      </c>
      <c r="D88" s="1">
        <f t="shared" si="6"/>
        <v>-0.85280704700940646</v>
      </c>
      <c r="E88" s="1">
        <f t="shared" si="7"/>
        <v>-0.3521696303870101</v>
      </c>
      <c r="F88" s="1">
        <f t="shared" si="8"/>
        <v>0.12402344856692331</v>
      </c>
      <c r="G88" s="1">
        <f t="shared" si="9"/>
        <v>0.72727985942890405</v>
      </c>
    </row>
    <row r="89" spans="1:7" x14ac:dyDescent="0.2">
      <c r="A89" s="3">
        <v>87</v>
      </c>
      <c r="B89" s="3">
        <v>222.51543937930569</v>
      </c>
      <c r="C89" s="4">
        <f t="shared" si="5"/>
        <v>222.23406530566911</v>
      </c>
      <c r="D89" s="1">
        <f t="shared" si="6"/>
        <v>0.2813740736365844</v>
      </c>
      <c r="E89" s="1">
        <f t="shared" si="7"/>
        <v>1.1341811206459909</v>
      </c>
      <c r="F89" s="1">
        <f t="shared" si="8"/>
        <v>1.2863668144297957</v>
      </c>
      <c r="G89" s="1">
        <f t="shared" si="9"/>
        <v>7.9171369314846016E-2</v>
      </c>
    </row>
    <row r="90" spans="1:7" x14ac:dyDescent="0.2">
      <c r="A90" s="3">
        <v>88</v>
      </c>
      <c r="B90" s="3">
        <v>225.3411026131042</v>
      </c>
      <c r="C90" s="4">
        <f t="shared" si="5"/>
        <v>224.74027698732431</v>
      </c>
      <c r="D90" s="1">
        <f t="shared" si="6"/>
        <v>0.60082562577989052</v>
      </c>
      <c r="E90" s="1">
        <f t="shared" si="7"/>
        <v>0.31945155214330612</v>
      </c>
      <c r="F90" s="1">
        <f t="shared" si="8"/>
        <v>0.10204929416676743</v>
      </c>
      <c r="G90" s="1">
        <f t="shared" si="9"/>
        <v>0.36099143259379701</v>
      </c>
    </row>
    <row r="91" spans="1:7" x14ac:dyDescent="0.2">
      <c r="A91" s="3">
        <v>89</v>
      </c>
      <c r="B91" s="3">
        <v>227.2431218867163</v>
      </c>
      <c r="C91" s="4">
        <f t="shared" si="5"/>
        <v>227.24648866897951</v>
      </c>
      <c r="D91" s="1">
        <f t="shared" si="6"/>
        <v>-3.3667822632139632E-3</v>
      </c>
      <c r="E91" s="1">
        <f t="shared" si="7"/>
        <v>-0.60419240804310448</v>
      </c>
      <c r="F91" s="1">
        <f t="shared" si="8"/>
        <v>0.36504846593692525</v>
      </c>
      <c r="G91" s="1">
        <f t="shared" si="9"/>
        <v>1.1335222807892137E-5</v>
      </c>
    </row>
    <row r="92" spans="1:7" x14ac:dyDescent="0.2">
      <c r="A92" s="3">
        <v>90</v>
      </c>
      <c r="B92" s="3">
        <v>230.30776494248639</v>
      </c>
      <c r="C92" s="4">
        <f t="shared" si="5"/>
        <v>229.75270035063471</v>
      </c>
      <c r="D92" s="1">
        <f t="shared" si="6"/>
        <v>0.555064591851675</v>
      </c>
      <c r="E92" s="1">
        <f t="shared" si="7"/>
        <v>0.55843137411488897</v>
      </c>
      <c r="F92" s="1">
        <f t="shared" si="8"/>
        <v>0.31184559959584307</v>
      </c>
      <c r="G92" s="1">
        <f t="shared" si="9"/>
        <v>0.30809670112746657</v>
      </c>
    </row>
    <row r="93" spans="1:7" x14ac:dyDescent="0.2">
      <c r="A93" s="3">
        <v>91</v>
      </c>
      <c r="B93" s="3">
        <v>232.84328950333719</v>
      </c>
      <c r="C93" s="4">
        <f t="shared" si="5"/>
        <v>232.25891203228991</v>
      </c>
      <c r="D93" s="1">
        <f t="shared" si="6"/>
        <v>0.58437747104727578</v>
      </c>
      <c r="E93" s="1">
        <f t="shared" si="7"/>
        <v>2.9312879195600772E-2</v>
      </c>
      <c r="F93" s="1">
        <f t="shared" si="8"/>
        <v>8.5924488673588459E-4</v>
      </c>
      <c r="G93" s="1">
        <f t="shared" si="9"/>
        <v>0.34149702866760961</v>
      </c>
    </row>
    <row r="94" spans="1:7" x14ac:dyDescent="0.2">
      <c r="A94" s="3">
        <v>92</v>
      </c>
      <c r="B94" s="3">
        <v>236.24327659320261</v>
      </c>
      <c r="C94" s="4">
        <f t="shared" si="5"/>
        <v>234.76512371394512</v>
      </c>
      <c r="D94" s="1">
        <f t="shared" si="6"/>
        <v>1.4781528792574932</v>
      </c>
      <c r="E94" s="1">
        <f t="shared" si="7"/>
        <v>0.89377540821021739</v>
      </c>
      <c r="F94" s="1">
        <f t="shared" si="8"/>
        <v>0.79883448032134075</v>
      </c>
      <c r="G94" s="1">
        <f t="shared" si="9"/>
        <v>2.1849359344572172</v>
      </c>
    </row>
    <row r="95" spans="1:7" x14ac:dyDescent="0.2">
      <c r="A95" s="3">
        <v>93</v>
      </c>
      <c r="B95" s="3">
        <v>237.79256818068481</v>
      </c>
      <c r="C95" s="4">
        <f t="shared" si="5"/>
        <v>237.27133539560032</v>
      </c>
      <c r="D95" s="1">
        <f t="shared" si="6"/>
        <v>0.52123278508449289</v>
      </c>
      <c r="E95" s="1">
        <f t="shared" si="7"/>
        <v>-0.95692009417300028</v>
      </c>
      <c r="F95" s="1">
        <f t="shared" si="8"/>
        <v>0.91569606663206371</v>
      </c>
      <c r="G95" s="1">
        <f t="shared" si="9"/>
        <v>0.27168361624693715</v>
      </c>
    </row>
    <row r="96" spans="1:7" x14ac:dyDescent="0.2">
      <c r="A96" s="3">
        <v>94</v>
      </c>
      <c r="B96" s="3">
        <v>239.90639239794999</v>
      </c>
      <c r="C96" s="4">
        <f t="shared" si="5"/>
        <v>239.77754707725552</v>
      </c>
      <c r="D96" s="1">
        <f t="shared" si="6"/>
        <v>0.12884532069446664</v>
      </c>
      <c r="E96" s="1">
        <f t="shared" si="7"/>
        <v>-0.39238746439002625</v>
      </c>
      <c r="F96" s="1">
        <f t="shared" si="8"/>
        <v>0.15396792221043412</v>
      </c>
      <c r="G96" s="1">
        <f t="shared" si="9"/>
        <v>1.6601116664859951E-2</v>
      </c>
    </row>
    <row r="97" spans="1:12" x14ac:dyDescent="0.2">
      <c r="A97" s="3">
        <v>95</v>
      </c>
      <c r="B97" s="3">
        <v>242.0330057652279</v>
      </c>
      <c r="C97" s="4">
        <f t="shared" si="5"/>
        <v>242.28375875891072</v>
      </c>
      <c r="D97" s="1">
        <f t="shared" si="6"/>
        <v>-0.25075299368282344</v>
      </c>
      <c r="E97" s="1">
        <f t="shared" si="7"/>
        <v>-0.37959831437729008</v>
      </c>
      <c r="F97" s="1">
        <f t="shared" si="8"/>
        <v>0.14409488027807996</v>
      </c>
      <c r="G97" s="1">
        <f t="shared" si="9"/>
        <v>6.2877063840898098E-2</v>
      </c>
    </row>
    <row r="98" spans="1:12" x14ac:dyDescent="0.2">
      <c r="A98" s="3">
        <v>96</v>
      </c>
      <c r="B98" s="3">
        <v>243.1628896640502</v>
      </c>
      <c r="C98" s="4">
        <f t="shared" si="5"/>
        <v>244.78997044056592</v>
      </c>
      <c r="D98" s="1">
        <f t="shared" si="6"/>
        <v>-1.6270807765157258</v>
      </c>
      <c r="E98" s="1">
        <f t="shared" si="7"/>
        <v>-1.3763277828329024</v>
      </c>
      <c r="F98" s="1">
        <f t="shared" si="8"/>
        <v>1.8942781657977328</v>
      </c>
      <c r="G98" s="1">
        <f t="shared" si="9"/>
        <v>2.6473918533070173</v>
      </c>
    </row>
    <row r="99" spans="1:12" x14ac:dyDescent="0.2">
      <c r="A99" s="3">
        <v>97</v>
      </c>
      <c r="B99" s="3">
        <v>246.32643200830469</v>
      </c>
      <c r="C99" s="4">
        <f t="shared" si="5"/>
        <v>247.29618212222113</v>
      </c>
      <c r="D99" s="1">
        <f t="shared" si="6"/>
        <v>-0.96975011391643307</v>
      </c>
      <c r="E99" s="1">
        <f t="shared" si="7"/>
        <v>0.65733066259929274</v>
      </c>
      <c r="F99" s="1">
        <f t="shared" si="8"/>
        <v>0.43208359999322521</v>
      </c>
      <c r="G99" s="1">
        <f t="shared" si="9"/>
        <v>0.94041528344093495</v>
      </c>
    </row>
    <row r="100" spans="1:12" x14ac:dyDescent="0.2">
      <c r="A100" s="3">
        <v>98</v>
      </c>
      <c r="B100" s="3">
        <v>249.32220087882371</v>
      </c>
      <c r="C100" s="4">
        <f t="shared" si="5"/>
        <v>249.80239380387633</v>
      </c>
      <c r="D100" s="1">
        <f t="shared" si="6"/>
        <v>-0.48019292505262001</v>
      </c>
      <c r="E100" s="1">
        <f t="shared" si="7"/>
        <v>0.48955718886381305</v>
      </c>
      <c r="F100" s="1">
        <f t="shared" si="8"/>
        <v>0.23966624116823912</v>
      </c>
      <c r="G100" s="1">
        <f t="shared" si="9"/>
        <v>0.23058524527059113</v>
      </c>
    </row>
    <row r="101" spans="1:12" x14ac:dyDescent="0.2">
      <c r="A101" s="3">
        <v>99</v>
      </c>
      <c r="B101" s="3">
        <v>251.96287415970141</v>
      </c>
      <c r="C101" s="4">
        <f t="shared" si="5"/>
        <v>252.30860548553153</v>
      </c>
      <c r="D101" s="1">
        <f t="shared" si="6"/>
        <v>-0.34573132583011557</v>
      </c>
      <c r="E101" s="1">
        <f t="shared" si="7"/>
        <v>0.13446159922250445</v>
      </c>
      <c r="F101" s="1">
        <f t="shared" si="8"/>
        <v>1.8079921665473408E-2</v>
      </c>
      <c r="G101" s="1">
        <f t="shared" si="9"/>
        <v>0.11953014966024954</v>
      </c>
      <c r="J101" s="1" t="s">
        <v>15</v>
      </c>
    </row>
    <row r="102" spans="1:12" x14ac:dyDescent="0.2">
      <c r="A102" s="3">
        <v>100</v>
      </c>
      <c r="B102" s="3">
        <v>254.33571219438599</v>
      </c>
      <c r="C102" s="5">
        <f t="shared" si="5"/>
        <v>254.81481716718673</v>
      </c>
      <c r="D102" s="6">
        <f t="shared" si="6"/>
        <v>-0.47910497280074082</v>
      </c>
      <c r="E102" s="6">
        <f t="shared" si="7"/>
        <v>-0.13337364697062526</v>
      </c>
      <c r="F102" s="6">
        <f t="shared" si="8"/>
        <v>1.7788529706244977E-2</v>
      </c>
      <c r="G102" s="6">
        <f t="shared" si="9"/>
        <v>0.2295415749623986</v>
      </c>
      <c r="H102" s="7" t="s">
        <v>8</v>
      </c>
      <c r="J102" s="9" t="s">
        <v>9</v>
      </c>
      <c r="K102" s="9" t="s">
        <v>10</v>
      </c>
      <c r="L102" s="9" t="s">
        <v>11</v>
      </c>
    </row>
    <row r="103" spans="1:12" x14ac:dyDescent="0.2">
      <c r="E103" s="8" t="s">
        <v>7</v>
      </c>
      <c r="F103" s="1">
        <f>SUM(F3:F102)</f>
        <v>91.274714708105932</v>
      </c>
      <c r="G103" s="1">
        <f>SUM(G3:G102)</f>
        <v>207.26828103379898</v>
      </c>
      <c r="H103" s="7">
        <f>F103/G103</f>
        <v>0.44036991213924276</v>
      </c>
      <c r="J103" s="1" t="s">
        <v>12</v>
      </c>
    </row>
    <row r="104" spans="1:12" x14ac:dyDescent="0.2">
      <c r="J104" s="1" t="s">
        <v>13</v>
      </c>
    </row>
    <row r="105" spans="1:12" x14ac:dyDescent="0.2">
      <c r="J105" s="1" t="s">
        <v>14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Vani X Oliveira Jr</cp:lastModifiedBy>
  <dcterms:created xsi:type="dcterms:W3CDTF">2024-11-19T11:53:52Z</dcterms:created>
  <dcterms:modified xsi:type="dcterms:W3CDTF">2024-11-30T00:46:22Z</dcterms:modified>
</cp:coreProperties>
</file>