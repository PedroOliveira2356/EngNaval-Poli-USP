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99E52B3D-730C-4FFB-899D-5C72C0292428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Leia-me" sheetId="1" state="hidden" r:id="rId1"/>
    <sheet name="Dados" sheetId="2" r:id="rId2"/>
    <sheet name="SES" sheetId="3" r:id="rId3"/>
    <sheet name="SES_varredura" sheetId="4" r:id="rId4"/>
    <sheet name="SES_alfa" sheetId="5" r:id="rId5"/>
    <sheet name="Holt_Aco" sheetId="6" r:id="rId6"/>
    <sheet name="Holt_Reparo" sheetId="7" r:id="rId7"/>
    <sheet name="HoltWinters" sheetId="8" r:id="rId8"/>
    <sheet name="Comparacao" sheetId="9" r:id="rId9"/>
  </sheets>
  <definedNames>
    <definedName name="solver_adj" localSheetId="2" hidden="1">SES!$B$4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SES!$B$4</definedName>
    <definedName name="solver_lhs2" localSheetId="2" hidden="1">SES!$B$4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SES!$B$12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3</definedName>
    <definedName name="solver_rhs1" localSheetId="2" hidden="1">1</definedName>
    <definedName name="solver_rhs2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3" l="1"/>
  <c r="D7" i="9"/>
  <c r="C7" i="9"/>
  <c r="B7" i="9"/>
  <c r="C6" i="9"/>
  <c r="B6" i="9"/>
  <c r="B5" i="9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G23" i="8"/>
  <c r="D23" i="8"/>
  <c r="D22" i="8"/>
  <c r="G20" i="8" s="1"/>
  <c r="D21" i="8"/>
  <c r="D20" i="8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E23" i="7" s="1"/>
  <c r="D22" i="7"/>
  <c r="D21" i="7"/>
  <c r="D20" i="7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E21" i="6" s="1"/>
  <c r="D20" i="6"/>
  <c r="E35" i="5"/>
  <c r="F36" i="5" s="1"/>
  <c r="G36" i="5" s="1"/>
  <c r="J34" i="5"/>
  <c r="I34" i="5"/>
  <c r="F34" i="5"/>
  <c r="G34" i="5" s="1"/>
  <c r="J33" i="5"/>
  <c r="I33" i="5"/>
  <c r="J32" i="5"/>
  <c r="I32" i="5"/>
  <c r="F32" i="5"/>
  <c r="G32" i="5" s="1"/>
  <c r="E32" i="5"/>
  <c r="E33" i="5" s="1"/>
  <c r="E34" i="5" s="1"/>
  <c r="F35" i="5" s="1"/>
  <c r="G35" i="5" s="1"/>
  <c r="H31" i="5"/>
  <c r="H32" i="5" s="1"/>
  <c r="H33" i="5" s="1"/>
  <c r="H34" i="5" s="1"/>
  <c r="I35" i="5" s="1"/>
  <c r="J35" i="5" s="1"/>
  <c r="E31" i="5"/>
  <c r="AF20" i="5"/>
  <c r="AE20" i="5"/>
  <c r="AF19" i="5"/>
  <c r="AE19" i="5"/>
  <c r="AF18" i="5"/>
  <c r="AE18" i="5"/>
  <c r="AF17" i="5"/>
  <c r="AE17" i="5"/>
  <c r="AF16" i="5"/>
  <c r="AE16" i="5"/>
  <c r="AF15" i="5"/>
  <c r="AE15" i="5"/>
  <c r="AF14" i="5"/>
  <c r="AE14" i="5"/>
  <c r="C14" i="5"/>
  <c r="B14" i="5"/>
  <c r="AF13" i="5"/>
  <c r="AE13" i="5"/>
  <c r="C13" i="5"/>
  <c r="B13" i="5"/>
  <c r="AF12" i="5"/>
  <c r="AE12" i="5"/>
  <c r="C12" i="5"/>
  <c r="B12" i="5"/>
  <c r="AF11" i="5"/>
  <c r="AE11" i="5"/>
  <c r="C11" i="5"/>
  <c r="B11" i="5"/>
  <c r="AF10" i="5"/>
  <c r="AE10" i="5"/>
  <c r="C10" i="5"/>
  <c r="B10" i="5"/>
  <c r="AF9" i="5"/>
  <c r="AE9" i="5"/>
  <c r="C9" i="5"/>
  <c r="B9" i="5"/>
  <c r="AF8" i="5"/>
  <c r="AE8" i="5"/>
  <c r="C8" i="5"/>
  <c r="B8" i="5"/>
  <c r="AF7" i="5"/>
  <c r="AE7" i="5"/>
  <c r="AF6" i="5"/>
  <c r="AE6" i="5"/>
  <c r="AF5" i="5"/>
  <c r="AE5" i="5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Q11" i="4"/>
  <c r="Q12" i="4" s="1"/>
  <c r="Q13" i="4" s="1"/>
  <c r="Q14" i="4" s="1"/>
  <c r="Q15" i="4" s="1"/>
  <c r="B11" i="4"/>
  <c r="U10" i="4"/>
  <c r="H10" i="4"/>
  <c r="G10" i="4"/>
  <c r="E10" i="4"/>
  <c r="B10" i="4"/>
  <c r="U9" i="4"/>
  <c r="Q9" i="4"/>
  <c r="Q10" i="4" s="1"/>
  <c r="P9" i="4"/>
  <c r="N9" i="4"/>
  <c r="M9" i="4"/>
  <c r="M10" i="4" s="1"/>
  <c r="L9" i="4"/>
  <c r="K9" i="4"/>
  <c r="J9" i="4"/>
  <c r="I9" i="4"/>
  <c r="H9" i="4"/>
  <c r="G9" i="4"/>
  <c r="E9" i="4"/>
  <c r="B9" i="4"/>
  <c r="F9" i="4" s="1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D8" i="3"/>
  <c r="D7" i="3"/>
  <c r="G21" i="3" l="1"/>
  <c r="H21" i="3" s="1"/>
  <c r="F21" i="3"/>
  <c r="G22" i="3" s="1"/>
  <c r="H22" i="3" s="1"/>
  <c r="U11" i="4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U26" i="4" s="1"/>
  <c r="U27" i="4" s="1"/>
  <c r="U28" i="4" s="1"/>
  <c r="U29" i="4" s="1"/>
  <c r="U30" i="4" s="1"/>
  <c r="U31" i="4" s="1"/>
  <c r="U32" i="4" s="1"/>
  <c r="L10" i="4"/>
  <c r="F23" i="7"/>
  <c r="G24" i="7"/>
  <c r="H24" i="7" s="1"/>
  <c r="E24" i="7"/>
  <c r="I10" i="4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E11" i="4"/>
  <c r="E12" i="4" s="1"/>
  <c r="E13" i="4" s="1"/>
  <c r="E14" i="4" s="1"/>
  <c r="F10" i="4"/>
  <c r="F6" i="4" s="1"/>
  <c r="F5" i="4" s="1"/>
  <c r="Q16" i="4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E16" i="4"/>
  <c r="E15" i="4"/>
  <c r="J10" i="4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F11" i="4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23" i="8"/>
  <c r="O9" i="4"/>
  <c r="K10" i="4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G11" i="4"/>
  <c r="E17" i="4"/>
  <c r="E18" i="4" s="1"/>
  <c r="H35" i="5"/>
  <c r="H11" i="4"/>
  <c r="E36" i="5"/>
  <c r="R9" i="4"/>
  <c r="N10" i="4"/>
  <c r="F21" i="6"/>
  <c r="E22" i="6" s="1"/>
  <c r="C9" i="4"/>
  <c r="S9" i="4"/>
  <c r="O10" i="4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G12" i="4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23" i="8"/>
  <c r="D9" i="4"/>
  <c r="T9" i="4"/>
  <c r="P10" i="4"/>
  <c r="L11" i="4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H12" i="4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M15" i="4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11" i="4"/>
  <c r="M12" i="4" s="1"/>
  <c r="M13" i="4" s="1"/>
  <c r="M14" i="4" s="1"/>
  <c r="F33" i="5"/>
  <c r="G33" i="5" s="1"/>
  <c r="G22" i="8"/>
  <c r="G21" i="8"/>
  <c r="F22" i="3" l="1"/>
  <c r="G23" i="3" s="1"/>
  <c r="H23" i="3" s="1"/>
  <c r="E19" i="4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F22" i="6"/>
  <c r="E23" i="6"/>
  <c r="G23" i="6"/>
  <c r="H23" i="6" s="1"/>
  <c r="H6" i="4"/>
  <c r="H5" i="4" s="1"/>
  <c r="G6" i="4"/>
  <c r="G5" i="4" s="1"/>
  <c r="F24" i="7"/>
  <c r="E25" i="7" s="1"/>
  <c r="I6" i="4"/>
  <c r="I5" i="4" s="1"/>
  <c r="O6" i="4"/>
  <c r="O5" i="4" s="1"/>
  <c r="U6" i="4"/>
  <c r="U5" i="4" s="1"/>
  <c r="G22" i="6"/>
  <c r="H22" i="6" s="1"/>
  <c r="T10" i="4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D10" i="4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F37" i="5"/>
  <c r="G37" i="5" s="1"/>
  <c r="E37" i="5"/>
  <c r="E24" i="8"/>
  <c r="H24" i="8"/>
  <c r="I24" i="8" s="1"/>
  <c r="J6" i="4"/>
  <c r="J5" i="4" s="1"/>
  <c r="S10" i="4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Q6" i="4"/>
  <c r="Q5" i="4" s="1"/>
  <c r="N11" i="4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K6" i="4"/>
  <c r="K5" i="4" s="1"/>
  <c r="M6" i="4"/>
  <c r="M5" i="4" s="1"/>
  <c r="L6" i="4"/>
  <c r="L5" i="4" s="1"/>
  <c r="L22" i="3"/>
  <c r="I22" i="3"/>
  <c r="K22" i="3" s="1"/>
  <c r="J22" i="3"/>
  <c r="P11" i="4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I36" i="5"/>
  <c r="J36" i="5" s="1"/>
  <c r="H36" i="5"/>
  <c r="R10" i="4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L21" i="3"/>
  <c r="I21" i="3"/>
  <c r="J21" i="3"/>
  <c r="J24" i="7"/>
  <c r="L24" i="7"/>
  <c r="I24" i="7"/>
  <c r="C10" i="4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F23" i="3" l="1"/>
  <c r="G24" i="3" s="1"/>
  <c r="H24" i="3" s="1"/>
  <c r="F25" i="7"/>
  <c r="G26" i="7" s="1"/>
  <c r="H26" i="7" s="1"/>
  <c r="E26" i="7"/>
  <c r="G25" i="7"/>
  <c r="H25" i="7" s="1"/>
  <c r="N6" i="4"/>
  <c r="N5" i="4" s="1"/>
  <c r="R6" i="4"/>
  <c r="R5" i="4" s="1"/>
  <c r="I37" i="5"/>
  <c r="J37" i="5" s="1"/>
  <c r="H37" i="5"/>
  <c r="M24" i="8"/>
  <c r="K24" i="8"/>
  <c r="J24" i="8"/>
  <c r="E38" i="5"/>
  <c r="F38" i="5"/>
  <c r="G38" i="5" s="1"/>
  <c r="F23" i="6"/>
  <c r="G24" i="6"/>
  <c r="H24" i="6" s="1"/>
  <c r="E24" i="6"/>
  <c r="D6" i="4"/>
  <c r="D5" i="4" s="1"/>
  <c r="T6" i="4"/>
  <c r="T5" i="4" s="1"/>
  <c r="K21" i="3"/>
  <c r="P6" i="4"/>
  <c r="P5" i="4" s="1"/>
  <c r="L23" i="6"/>
  <c r="I23" i="6"/>
  <c r="K23" i="6" s="1"/>
  <c r="J23" i="6"/>
  <c r="C6" i="4"/>
  <c r="C5" i="4" s="1"/>
  <c r="K24" i="7"/>
  <c r="L22" i="6"/>
  <c r="J22" i="6"/>
  <c r="I22" i="6"/>
  <c r="E6" i="4"/>
  <c r="E5" i="4" s="1"/>
  <c r="S6" i="4"/>
  <c r="S5" i="4" s="1"/>
  <c r="H25" i="8"/>
  <c r="I25" i="8" s="1"/>
  <c r="G24" i="8"/>
  <c r="F24" i="8"/>
  <c r="E25" i="8" s="1"/>
  <c r="L23" i="3"/>
  <c r="I23" i="3"/>
  <c r="K23" i="3" s="1"/>
  <c r="J23" i="3"/>
  <c r="F24" i="3" l="1"/>
  <c r="G25" i="3" s="1"/>
  <c r="H25" i="3" s="1"/>
  <c r="F25" i="8"/>
  <c r="H26" i="8" s="1"/>
  <c r="I26" i="8" s="1"/>
  <c r="G25" i="8"/>
  <c r="E26" i="8"/>
  <c r="L26" i="7"/>
  <c r="J26" i="7"/>
  <c r="I26" i="7"/>
  <c r="K26" i="7" s="1"/>
  <c r="H38" i="5"/>
  <c r="I38" i="5"/>
  <c r="J38" i="5" s="1"/>
  <c r="J25" i="8"/>
  <c r="L25" i="8" s="1"/>
  <c r="M25" i="8"/>
  <c r="K25" i="8"/>
  <c r="E39" i="5"/>
  <c r="F39" i="5"/>
  <c r="G39" i="5" s="1"/>
  <c r="F26" i="7"/>
  <c r="G27" i="7" s="1"/>
  <c r="H27" i="7" s="1"/>
  <c r="J24" i="6"/>
  <c r="L24" i="6"/>
  <c r="I24" i="6"/>
  <c r="K24" i="6" s="1"/>
  <c r="I24" i="3"/>
  <c r="L24" i="3"/>
  <c r="J24" i="3"/>
  <c r="F24" i="6"/>
  <c r="G25" i="6"/>
  <c r="H25" i="6" s="1"/>
  <c r="E25" i="6"/>
  <c r="L25" i="7"/>
  <c r="J25" i="7"/>
  <c r="I25" i="7"/>
  <c r="K22" i="6"/>
  <c r="C35" i="4"/>
  <c r="C34" i="4"/>
  <c r="L24" i="8"/>
  <c r="F25" i="3" l="1"/>
  <c r="G26" i="3" s="1"/>
  <c r="H26" i="3" s="1"/>
  <c r="L27" i="7"/>
  <c r="J27" i="7"/>
  <c r="I27" i="7"/>
  <c r="K27" i="7" s="1"/>
  <c r="M26" i="8"/>
  <c r="K26" i="8"/>
  <c r="J26" i="8"/>
  <c r="E27" i="7"/>
  <c r="K25" i="7"/>
  <c r="F40" i="5"/>
  <c r="G40" i="5" s="1"/>
  <c r="E40" i="5"/>
  <c r="L25" i="3"/>
  <c r="I25" i="3"/>
  <c r="K25" i="3" s="1"/>
  <c r="J25" i="3"/>
  <c r="F26" i="8"/>
  <c r="H27" i="8"/>
  <c r="I27" i="8" s="1"/>
  <c r="E27" i="8"/>
  <c r="G26" i="8"/>
  <c r="L25" i="6"/>
  <c r="J25" i="6"/>
  <c r="I25" i="6"/>
  <c r="K25" i="6" s="1"/>
  <c r="K24" i="3"/>
  <c r="I39" i="5"/>
  <c r="J39" i="5" s="1"/>
  <c r="H39" i="5"/>
  <c r="F25" i="6"/>
  <c r="E26" i="6" s="1"/>
  <c r="G26" i="6"/>
  <c r="H26" i="6" s="1"/>
  <c r="F26" i="3" l="1"/>
  <c r="F27" i="3" s="1"/>
  <c r="F26" i="6"/>
  <c r="G27" i="6" s="1"/>
  <c r="H27" i="6" s="1"/>
  <c r="E27" i="6"/>
  <c r="I26" i="6"/>
  <c r="L26" i="6"/>
  <c r="J26" i="6"/>
  <c r="F27" i="8"/>
  <c r="H28" i="8" s="1"/>
  <c r="I28" i="8" s="1"/>
  <c r="G27" i="8"/>
  <c r="L26" i="8"/>
  <c r="J26" i="3"/>
  <c r="I26" i="3"/>
  <c r="L26" i="3"/>
  <c r="F27" i="7"/>
  <c r="G28" i="7" s="1"/>
  <c r="H28" i="7" s="1"/>
  <c r="E28" i="7"/>
  <c r="I40" i="5"/>
  <c r="J40" i="5" s="1"/>
  <c r="H40" i="5"/>
  <c r="E41" i="5"/>
  <c r="F41" i="5"/>
  <c r="G41" i="5" s="1"/>
  <c r="M27" i="8"/>
  <c r="K27" i="8"/>
  <c r="J27" i="8"/>
  <c r="L27" i="8" s="1"/>
  <c r="G27" i="3" l="1"/>
  <c r="H27" i="3" s="1"/>
  <c r="J27" i="3" s="1"/>
  <c r="J28" i="8"/>
  <c r="M28" i="8"/>
  <c r="K28" i="8"/>
  <c r="L28" i="7"/>
  <c r="J28" i="7"/>
  <c r="I28" i="7"/>
  <c r="J27" i="6"/>
  <c r="I27" i="6"/>
  <c r="K27" i="6" s="1"/>
  <c r="L27" i="6"/>
  <c r="F42" i="5"/>
  <c r="G42" i="5" s="1"/>
  <c r="E42" i="5"/>
  <c r="E28" i="8"/>
  <c r="H41" i="5"/>
  <c r="I41" i="5"/>
  <c r="J41" i="5" s="1"/>
  <c r="F28" i="7"/>
  <c r="G29" i="7" s="1"/>
  <c r="H29" i="7" s="1"/>
  <c r="E29" i="7"/>
  <c r="G28" i="3"/>
  <c r="H28" i="3" s="1"/>
  <c r="F28" i="3"/>
  <c r="K26" i="6"/>
  <c r="K26" i="3"/>
  <c r="F27" i="6"/>
  <c r="G28" i="6" s="1"/>
  <c r="H28" i="6" s="1"/>
  <c r="E28" i="6"/>
  <c r="L27" i="3" l="1"/>
  <c r="I27" i="3"/>
  <c r="K27" i="3" s="1"/>
  <c r="J29" i="7"/>
  <c r="L29" i="7"/>
  <c r="I29" i="7"/>
  <c r="K29" i="7" s="1"/>
  <c r="I28" i="6"/>
  <c r="L28" i="6"/>
  <c r="J28" i="6"/>
  <c r="L28" i="3"/>
  <c r="J28" i="3"/>
  <c r="I28" i="3"/>
  <c r="H42" i="5"/>
  <c r="I42" i="5"/>
  <c r="J42" i="5" s="1"/>
  <c r="F43" i="5"/>
  <c r="G43" i="5" s="1"/>
  <c r="E43" i="5"/>
  <c r="F28" i="6"/>
  <c r="G29" i="6"/>
  <c r="H29" i="6" s="1"/>
  <c r="E29" i="6"/>
  <c r="G28" i="8"/>
  <c r="F28" i="8"/>
  <c r="H29" i="8" s="1"/>
  <c r="I29" i="8" s="1"/>
  <c r="E29" i="8"/>
  <c r="G29" i="3"/>
  <c r="H29" i="3" s="1"/>
  <c r="F29" i="3"/>
  <c r="K28" i="7"/>
  <c r="E30" i="7"/>
  <c r="F29" i="7"/>
  <c r="G30" i="7" s="1"/>
  <c r="H30" i="7" s="1"/>
  <c r="L28" i="8"/>
  <c r="J30" i="7" l="1"/>
  <c r="I30" i="7"/>
  <c r="L30" i="7"/>
  <c r="K29" i="8"/>
  <c r="J29" i="8"/>
  <c r="M29" i="8"/>
  <c r="K28" i="3"/>
  <c r="I43" i="5"/>
  <c r="J43" i="5" s="1"/>
  <c r="H43" i="5"/>
  <c r="F30" i="7"/>
  <c r="E31" i="7" s="1"/>
  <c r="F29" i="6"/>
  <c r="G30" i="6" s="1"/>
  <c r="H30" i="6" s="1"/>
  <c r="L29" i="3"/>
  <c r="I29" i="3"/>
  <c r="K29" i="3" s="1"/>
  <c r="J29" i="3"/>
  <c r="F29" i="8"/>
  <c r="H30" i="8" s="1"/>
  <c r="I30" i="8" s="1"/>
  <c r="G29" i="8"/>
  <c r="E30" i="8"/>
  <c r="I29" i="6"/>
  <c r="K29" i="6" s="1"/>
  <c r="L29" i="6"/>
  <c r="J29" i="6"/>
  <c r="F44" i="5"/>
  <c r="G44" i="5" s="1"/>
  <c r="E44" i="5"/>
  <c r="G30" i="3"/>
  <c r="H30" i="3" s="1"/>
  <c r="F30" i="3"/>
  <c r="K28" i="6"/>
  <c r="K30" i="8" l="1"/>
  <c r="M30" i="8"/>
  <c r="J30" i="8"/>
  <c r="L30" i="8" s="1"/>
  <c r="J30" i="6"/>
  <c r="L30" i="6"/>
  <c r="B15" i="6" s="1"/>
  <c r="I30" i="6"/>
  <c r="K30" i="6" s="1"/>
  <c r="B14" i="6" s="1"/>
  <c r="F31" i="7"/>
  <c r="G32" i="7"/>
  <c r="H32" i="7" s="1"/>
  <c r="E32" i="7"/>
  <c r="B12" i="6"/>
  <c r="B16" i="6"/>
  <c r="I44" i="5"/>
  <c r="J44" i="5" s="1"/>
  <c r="H44" i="5"/>
  <c r="G31" i="7"/>
  <c r="H31" i="7" s="1"/>
  <c r="E30" i="6"/>
  <c r="L30" i="3"/>
  <c r="J30" i="3"/>
  <c r="I30" i="3"/>
  <c r="F45" i="5"/>
  <c r="G45" i="5" s="1"/>
  <c r="E45" i="5"/>
  <c r="F30" i="8"/>
  <c r="H31" i="8" s="1"/>
  <c r="I31" i="8" s="1"/>
  <c r="G30" i="8"/>
  <c r="E31" i="8"/>
  <c r="L29" i="8"/>
  <c r="B11" i="6"/>
  <c r="K30" i="7"/>
  <c r="G31" i="3"/>
  <c r="H31" i="3" s="1"/>
  <c r="F31" i="3"/>
  <c r="K31" i="8" l="1"/>
  <c r="M31" i="8"/>
  <c r="J31" i="8"/>
  <c r="F32" i="7"/>
  <c r="G33" i="7"/>
  <c r="H33" i="7" s="1"/>
  <c r="E33" i="7"/>
  <c r="F30" i="6"/>
  <c r="M32" i="6" s="1"/>
  <c r="N32" i="6" s="1"/>
  <c r="E46" i="5"/>
  <c r="F46" i="5"/>
  <c r="G46" i="5" s="1"/>
  <c r="G32" i="3"/>
  <c r="H32" i="3" s="1"/>
  <c r="F32" i="3"/>
  <c r="F31" i="8"/>
  <c r="H32" i="8"/>
  <c r="I32" i="8" s="1"/>
  <c r="G31" i="8"/>
  <c r="E32" i="8"/>
  <c r="L32" i="7"/>
  <c r="I32" i="7"/>
  <c r="K32" i="7" s="1"/>
  <c r="J32" i="7"/>
  <c r="K30" i="3"/>
  <c r="I45" i="5"/>
  <c r="J45" i="5" s="1"/>
  <c r="H45" i="5"/>
  <c r="L31" i="3"/>
  <c r="I31" i="3"/>
  <c r="K31" i="3" s="1"/>
  <c r="J31" i="3"/>
  <c r="B17" i="6"/>
  <c r="B13" i="6"/>
  <c r="I31" i="7"/>
  <c r="L31" i="7"/>
  <c r="J31" i="7"/>
  <c r="O32" i="6" l="1"/>
  <c r="Q32" i="6" s="1"/>
  <c r="R32" i="6"/>
  <c r="P32" i="6"/>
  <c r="G31" i="6"/>
  <c r="H31" i="6" s="1"/>
  <c r="G32" i="8"/>
  <c r="F32" i="8"/>
  <c r="E33" i="8" s="1"/>
  <c r="F47" i="5"/>
  <c r="G47" i="5" s="1"/>
  <c r="E47" i="5"/>
  <c r="I46" i="5"/>
  <c r="J46" i="5" s="1"/>
  <c r="H46" i="5"/>
  <c r="M33" i="6"/>
  <c r="N33" i="6" s="1"/>
  <c r="L31" i="8"/>
  <c r="M34" i="6"/>
  <c r="N34" i="6" s="1"/>
  <c r="M31" i="6"/>
  <c r="N31" i="6" s="1"/>
  <c r="F33" i="7"/>
  <c r="G34" i="7"/>
  <c r="H34" i="7" s="1"/>
  <c r="E34" i="7"/>
  <c r="M32" i="8"/>
  <c r="K32" i="8"/>
  <c r="J32" i="8"/>
  <c r="L32" i="8" s="1"/>
  <c r="I32" i="3"/>
  <c r="K32" i="3" s="1"/>
  <c r="L32" i="3"/>
  <c r="J32" i="3"/>
  <c r="E31" i="6"/>
  <c r="L33" i="7"/>
  <c r="I33" i="7"/>
  <c r="K33" i="7" s="1"/>
  <c r="J33" i="7"/>
  <c r="K31" i="7"/>
  <c r="G33" i="3"/>
  <c r="H33" i="3" s="1"/>
  <c r="F33" i="3"/>
  <c r="F33" i="8" l="1"/>
  <c r="H34" i="8" s="1"/>
  <c r="I34" i="8" s="1"/>
  <c r="G33" i="8"/>
  <c r="E34" i="8"/>
  <c r="F48" i="5"/>
  <c r="G48" i="5" s="1"/>
  <c r="E48" i="5"/>
  <c r="F31" i="6"/>
  <c r="G32" i="6" s="1"/>
  <c r="H32" i="6" s="1"/>
  <c r="E32" i="6"/>
  <c r="P33" i="6"/>
  <c r="O33" i="6"/>
  <c r="Q33" i="6" s="1"/>
  <c r="R33" i="6"/>
  <c r="G34" i="3"/>
  <c r="H34" i="3" s="1"/>
  <c r="F34" i="3"/>
  <c r="L33" i="3"/>
  <c r="I33" i="3"/>
  <c r="K33" i="3" s="1"/>
  <c r="J33" i="3"/>
  <c r="H33" i="8"/>
  <c r="I33" i="8" s="1"/>
  <c r="L31" i="6"/>
  <c r="J31" i="6"/>
  <c r="I31" i="6"/>
  <c r="O34" i="6"/>
  <c r="Q34" i="6" s="1"/>
  <c r="R34" i="6"/>
  <c r="P34" i="6"/>
  <c r="I47" i="5"/>
  <c r="J47" i="5" s="1"/>
  <c r="H47" i="5"/>
  <c r="F34" i="7"/>
  <c r="G35" i="7"/>
  <c r="H35" i="7" s="1"/>
  <c r="E35" i="7"/>
  <c r="J34" i="7"/>
  <c r="I34" i="7"/>
  <c r="K34" i="7" s="1"/>
  <c r="L34" i="7"/>
  <c r="O31" i="6"/>
  <c r="R31" i="6"/>
  <c r="P31" i="6"/>
  <c r="L32" i="6" l="1"/>
  <c r="I32" i="6"/>
  <c r="K32" i="6" s="1"/>
  <c r="J32" i="6"/>
  <c r="M34" i="8"/>
  <c r="K34" i="8"/>
  <c r="J34" i="8"/>
  <c r="L34" i="8" s="1"/>
  <c r="G35" i="3"/>
  <c r="H35" i="3" s="1"/>
  <c r="F35" i="3"/>
  <c r="I48" i="5"/>
  <c r="J48" i="5" s="1"/>
  <c r="H48" i="5"/>
  <c r="L35" i="7"/>
  <c r="J35" i="7"/>
  <c r="I35" i="7"/>
  <c r="K35" i="7" s="1"/>
  <c r="E49" i="5"/>
  <c r="F49" i="5"/>
  <c r="G49" i="5" s="1"/>
  <c r="C12" i="6"/>
  <c r="C13" i="6"/>
  <c r="C17" i="6"/>
  <c r="C16" i="6"/>
  <c r="C15" i="6"/>
  <c r="F35" i="7"/>
  <c r="G36" i="7" s="1"/>
  <c r="H36" i="7" s="1"/>
  <c r="I34" i="3"/>
  <c r="K34" i="3" s="1"/>
  <c r="J34" i="3"/>
  <c r="L34" i="3"/>
  <c r="G33" i="6"/>
  <c r="H33" i="6" s="1"/>
  <c r="F32" i="6"/>
  <c r="E33" i="6"/>
  <c r="K31" i="6"/>
  <c r="F34" i="8"/>
  <c r="H35" i="8"/>
  <c r="I35" i="8" s="1"/>
  <c r="G34" i="8"/>
  <c r="E35" i="8"/>
  <c r="J33" i="8"/>
  <c r="L33" i="8" s="1"/>
  <c r="M33" i="8"/>
  <c r="K33" i="8"/>
  <c r="C11" i="6"/>
  <c r="Q31" i="6"/>
  <c r="C14" i="6" s="1"/>
  <c r="I36" i="7" l="1"/>
  <c r="K36" i="7" s="1"/>
  <c r="L36" i="7"/>
  <c r="J36" i="7"/>
  <c r="E36" i="7"/>
  <c r="H49" i="5"/>
  <c r="I49" i="5"/>
  <c r="J49" i="5" s="1"/>
  <c r="L35" i="3"/>
  <c r="I35" i="3"/>
  <c r="K35" i="3" s="1"/>
  <c r="J35" i="3"/>
  <c r="F50" i="5"/>
  <c r="G50" i="5" s="1"/>
  <c r="E50" i="5"/>
  <c r="F35" i="8"/>
  <c r="G35" i="8"/>
  <c r="H36" i="8"/>
  <c r="I36" i="8" s="1"/>
  <c r="E36" i="8"/>
  <c r="M35" i="8"/>
  <c r="K35" i="8"/>
  <c r="J35" i="8"/>
  <c r="L35" i="8" s="1"/>
  <c r="F33" i="6"/>
  <c r="G34" i="6" s="1"/>
  <c r="H34" i="6" s="1"/>
  <c r="E34" i="6"/>
  <c r="F34" i="6" s="1"/>
  <c r="I33" i="6"/>
  <c r="L33" i="6"/>
  <c r="J33" i="6"/>
  <c r="G36" i="3"/>
  <c r="H36" i="3" s="1"/>
  <c r="F36" i="3"/>
  <c r="J34" i="6" l="1"/>
  <c r="D16" i="6" s="1"/>
  <c r="I34" i="6"/>
  <c r="K34" i="6" s="1"/>
  <c r="L34" i="6"/>
  <c r="F51" i="5"/>
  <c r="G51" i="5" s="1"/>
  <c r="E51" i="5"/>
  <c r="J36" i="8"/>
  <c r="L36" i="8" s="1"/>
  <c r="M36" i="8"/>
  <c r="K36" i="8"/>
  <c r="G37" i="3"/>
  <c r="H37" i="3" s="1"/>
  <c r="F37" i="3"/>
  <c r="D13" i="6"/>
  <c r="D12" i="6"/>
  <c r="H50" i="5"/>
  <c r="I50" i="5"/>
  <c r="J50" i="5" s="1"/>
  <c r="D17" i="6"/>
  <c r="G36" i="8"/>
  <c r="F36" i="8"/>
  <c r="H37" i="8" s="1"/>
  <c r="I37" i="8" s="1"/>
  <c r="E37" i="8"/>
  <c r="L36" i="3"/>
  <c r="I36" i="3"/>
  <c r="K36" i="3" s="1"/>
  <c r="J36" i="3"/>
  <c r="D15" i="6"/>
  <c r="K33" i="6"/>
  <c r="D14" i="6" s="1"/>
  <c r="D11" i="6"/>
  <c r="F36" i="7"/>
  <c r="G37" i="7" s="1"/>
  <c r="H37" i="7" s="1"/>
  <c r="E37" i="7"/>
  <c r="J37" i="7" l="1"/>
  <c r="I37" i="7"/>
  <c r="K37" i="7" s="1"/>
  <c r="L37" i="7"/>
  <c r="K37" i="8"/>
  <c r="J37" i="8"/>
  <c r="L37" i="8" s="1"/>
  <c r="M37" i="8"/>
  <c r="L37" i="3"/>
  <c r="I37" i="3"/>
  <c r="K37" i="3" s="1"/>
  <c r="J37" i="3"/>
  <c r="G38" i="3"/>
  <c r="H38" i="3" s="1"/>
  <c r="F38" i="3"/>
  <c r="I51" i="5"/>
  <c r="J51" i="5" s="1"/>
  <c r="H51" i="5"/>
  <c r="F37" i="7"/>
  <c r="G38" i="7" s="1"/>
  <c r="H38" i="7" s="1"/>
  <c r="E38" i="7"/>
  <c r="F52" i="5"/>
  <c r="G52" i="5" s="1"/>
  <c r="E52" i="5"/>
  <c r="F37" i="8"/>
  <c r="H38" i="8" s="1"/>
  <c r="I38" i="8" s="1"/>
  <c r="G37" i="8"/>
  <c r="E38" i="8"/>
  <c r="I38" i="7" l="1"/>
  <c r="K38" i="7" s="1"/>
  <c r="L38" i="7"/>
  <c r="J38" i="7"/>
  <c r="K38" i="8"/>
  <c r="M38" i="8"/>
  <c r="J38" i="8"/>
  <c r="L38" i="8" s="1"/>
  <c r="I52" i="5"/>
  <c r="J52" i="5" s="1"/>
  <c r="H52" i="5"/>
  <c r="F38" i="7"/>
  <c r="G39" i="7"/>
  <c r="H39" i="7" s="1"/>
  <c r="E39" i="7"/>
  <c r="J38" i="3"/>
  <c r="L38" i="3"/>
  <c r="I38" i="3"/>
  <c r="K38" i="3" s="1"/>
  <c r="G39" i="3"/>
  <c r="H39" i="3" s="1"/>
  <c r="F39" i="3"/>
  <c r="F38" i="8"/>
  <c r="H39" i="8"/>
  <c r="I39" i="8" s="1"/>
  <c r="G38" i="8"/>
  <c r="E39" i="8"/>
  <c r="F53" i="5"/>
  <c r="G53" i="5" s="1"/>
  <c r="E53" i="5"/>
  <c r="I39" i="7" l="1"/>
  <c r="K39" i="7" s="1"/>
  <c r="L39" i="7"/>
  <c r="J39" i="7"/>
  <c r="F39" i="7"/>
  <c r="G40" i="7" s="1"/>
  <c r="H40" i="7" s="1"/>
  <c r="J39" i="3"/>
  <c r="L39" i="3"/>
  <c r="I39" i="3"/>
  <c r="K39" i="3" s="1"/>
  <c r="I53" i="5"/>
  <c r="J53" i="5" s="1"/>
  <c r="H53" i="5"/>
  <c r="E54" i="5"/>
  <c r="F54" i="5"/>
  <c r="G54" i="5" s="1"/>
  <c r="F39" i="8"/>
  <c r="E40" i="8" s="1"/>
  <c r="H40" i="8"/>
  <c r="I40" i="8" s="1"/>
  <c r="G39" i="8"/>
  <c r="K39" i="8"/>
  <c r="M39" i="8"/>
  <c r="J39" i="8"/>
  <c r="L39" i="8" s="1"/>
  <c r="G40" i="3"/>
  <c r="H40" i="3" s="1"/>
  <c r="F40" i="3"/>
  <c r="G40" i="8" l="1"/>
  <c r="F40" i="8"/>
  <c r="H41" i="8" s="1"/>
  <c r="I41" i="8" s="1"/>
  <c r="E41" i="8"/>
  <c r="J40" i="7"/>
  <c r="L40" i="7"/>
  <c r="I40" i="7"/>
  <c r="K40" i="7" s="1"/>
  <c r="E55" i="5"/>
  <c r="F55" i="5"/>
  <c r="G55" i="5" s="1"/>
  <c r="M40" i="8"/>
  <c r="K40" i="8"/>
  <c r="J40" i="8"/>
  <c r="L40" i="8" s="1"/>
  <c r="H54" i="5"/>
  <c r="I54" i="5"/>
  <c r="J54" i="5" s="1"/>
  <c r="L40" i="3"/>
  <c r="J40" i="3"/>
  <c r="I40" i="3"/>
  <c r="K40" i="3" s="1"/>
  <c r="E40" i="7"/>
  <c r="G41" i="3"/>
  <c r="H41" i="3" s="1"/>
  <c r="F41" i="3"/>
  <c r="J41" i="8" l="1"/>
  <c r="L41" i="8" s="1"/>
  <c r="M41" i="8"/>
  <c r="K41" i="8"/>
  <c r="G42" i="3"/>
  <c r="H42" i="3" s="1"/>
  <c r="F42" i="3"/>
  <c r="F56" i="5"/>
  <c r="E56" i="5"/>
  <c r="E41" i="7"/>
  <c r="F40" i="7"/>
  <c r="G41" i="7" s="1"/>
  <c r="H41" i="7" s="1"/>
  <c r="I55" i="5"/>
  <c r="J55" i="5" s="1"/>
  <c r="H55" i="5"/>
  <c r="F41" i="8"/>
  <c r="H42" i="8" s="1"/>
  <c r="I42" i="8" s="1"/>
  <c r="G41" i="8"/>
  <c r="E42" i="8"/>
  <c r="J41" i="3"/>
  <c r="L41" i="3"/>
  <c r="I41" i="3"/>
  <c r="K41" i="3" s="1"/>
  <c r="M42" i="8" l="1"/>
  <c r="K42" i="8"/>
  <c r="J42" i="8"/>
  <c r="L42" i="8" s="1"/>
  <c r="L41" i="7"/>
  <c r="J41" i="7"/>
  <c r="I41" i="7"/>
  <c r="K41" i="7" s="1"/>
  <c r="F42" i="8"/>
  <c r="H43" i="8"/>
  <c r="I43" i="8" s="1"/>
  <c r="G42" i="8"/>
  <c r="E43" i="8"/>
  <c r="I56" i="5"/>
  <c r="H56" i="5"/>
  <c r="E57" i="5"/>
  <c r="F57" i="5"/>
  <c r="G57" i="5" s="1"/>
  <c r="F41" i="7"/>
  <c r="G42" i="7" s="1"/>
  <c r="H42" i="7" s="1"/>
  <c r="G43" i="3"/>
  <c r="H43" i="3" s="1"/>
  <c r="F43" i="3"/>
  <c r="B21" i="5"/>
  <c r="G56" i="5"/>
  <c r="J42" i="3"/>
  <c r="L42" i="3"/>
  <c r="I42" i="3"/>
  <c r="K42" i="3" s="1"/>
  <c r="L42" i="7" l="1"/>
  <c r="J42" i="7"/>
  <c r="I42" i="7"/>
  <c r="K42" i="7" s="1"/>
  <c r="F58" i="5"/>
  <c r="G58" i="5" s="1"/>
  <c r="E58" i="5"/>
  <c r="J56" i="5"/>
  <c r="C21" i="5"/>
  <c r="F43" i="8"/>
  <c r="N45" i="8"/>
  <c r="O45" i="8" s="1"/>
  <c r="G43" i="8"/>
  <c r="N46" i="8"/>
  <c r="O46" i="8" s="1"/>
  <c r="N44" i="8"/>
  <c r="O44" i="8" s="1"/>
  <c r="H44" i="8"/>
  <c r="I44" i="8" s="1"/>
  <c r="N47" i="8"/>
  <c r="O47" i="8" s="1"/>
  <c r="E44" i="8"/>
  <c r="M47" i="3"/>
  <c r="G44" i="3"/>
  <c r="H44" i="3" s="1"/>
  <c r="F44" i="3"/>
  <c r="M46" i="3"/>
  <c r="N46" i="3" s="1"/>
  <c r="M45" i="3"/>
  <c r="N45" i="3" s="1"/>
  <c r="M44" i="3"/>
  <c r="N44" i="3" s="1"/>
  <c r="M43" i="8"/>
  <c r="B15" i="8" s="1"/>
  <c r="K43" i="8"/>
  <c r="J43" i="8"/>
  <c r="J43" i="3"/>
  <c r="L43" i="3"/>
  <c r="B15" i="3" s="1"/>
  <c r="I43" i="3"/>
  <c r="H57" i="5"/>
  <c r="I57" i="5"/>
  <c r="J57" i="5" s="1"/>
  <c r="E42" i="7"/>
  <c r="N47" i="3" l="1"/>
  <c r="R47" i="3" s="1"/>
  <c r="M49" i="3"/>
  <c r="S44" i="8"/>
  <c r="Q44" i="8"/>
  <c r="P44" i="8"/>
  <c r="F44" i="8"/>
  <c r="H45" i="8" s="1"/>
  <c r="I45" i="8" s="1"/>
  <c r="G44" i="8"/>
  <c r="J13" i="8" s="1"/>
  <c r="E45" i="8"/>
  <c r="S45" i="8"/>
  <c r="P45" i="8"/>
  <c r="R45" i="8" s="1"/>
  <c r="Q45" i="8"/>
  <c r="J44" i="8"/>
  <c r="M44" i="8"/>
  <c r="K44" i="8"/>
  <c r="L43" i="8"/>
  <c r="B14" i="8" s="1"/>
  <c r="B11" i="8"/>
  <c r="F59" i="5"/>
  <c r="G59" i="5" s="1"/>
  <c r="E59" i="5"/>
  <c r="F42" i="7"/>
  <c r="G43" i="7" s="1"/>
  <c r="H43" i="7" s="1"/>
  <c r="S46" i="8"/>
  <c r="Q46" i="8"/>
  <c r="P46" i="8"/>
  <c r="R46" i="8" s="1"/>
  <c r="B16" i="3"/>
  <c r="B13" i="3"/>
  <c r="B12" i="3"/>
  <c r="E5" i="9" s="1"/>
  <c r="B17" i="3"/>
  <c r="R44" i="3"/>
  <c r="P44" i="3"/>
  <c r="O44" i="3"/>
  <c r="R46" i="3"/>
  <c r="P46" i="3"/>
  <c r="O46" i="3"/>
  <c r="Q46" i="3" s="1"/>
  <c r="S47" i="8"/>
  <c r="Q47" i="8"/>
  <c r="P47" i="8"/>
  <c r="R47" i="8" s="1"/>
  <c r="H58" i="5"/>
  <c r="I58" i="5"/>
  <c r="J58" i="5" s="1"/>
  <c r="K43" i="3"/>
  <c r="B14" i="3" s="1"/>
  <c r="B11" i="3"/>
  <c r="B12" i="8"/>
  <c r="E7" i="9" s="1"/>
  <c r="B16" i="8"/>
  <c r="B13" i="8"/>
  <c r="B17" i="8"/>
  <c r="R45" i="3"/>
  <c r="P45" i="3"/>
  <c r="O45" i="3"/>
  <c r="Q45" i="3" s="1"/>
  <c r="G45" i="3"/>
  <c r="H45" i="3" s="1"/>
  <c r="F45" i="3"/>
  <c r="L44" i="3"/>
  <c r="I44" i="3"/>
  <c r="J44" i="3"/>
  <c r="O47" i="3" l="1"/>
  <c r="Q47" i="3" s="1"/>
  <c r="P47" i="3"/>
  <c r="O49" i="3"/>
  <c r="P49" i="3"/>
  <c r="C11" i="3"/>
  <c r="C15" i="3"/>
  <c r="L43" i="7"/>
  <c r="B15" i="7" s="1"/>
  <c r="J43" i="7"/>
  <c r="I43" i="7"/>
  <c r="J45" i="8"/>
  <c r="L45" i="8" s="1"/>
  <c r="M45" i="8"/>
  <c r="K45" i="8"/>
  <c r="C16" i="3"/>
  <c r="C13" i="3"/>
  <c r="C12" i="3"/>
  <c r="F5" i="9" s="1"/>
  <c r="C17" i="3"/>
  <c r="I45" i="3"/>
  <c r="K45" i="3" s="1"/>
  <c r="J45" i="3"/>
  <c r="L45" i="3"/>
  <c r="I59" i="5"/>
  <c r="J59" i="5" s="1"/>
  <c r="H59" i="5"/>
  <c r="G45" i="8"/>
  <c r="K13" i="8" s="1"/>
  <c r="F45" i="8"/>
  <c r="H46" i="8"/>
  <c r="I46" i="8" s="1"/>
  <c r="E46" i="8"/>
  <c r="E43" i="7"/>
  <c r="C11" i="8"/>
  <c r="R44" i="8"/>
  <c r="C14" i="8" s="1"/>
  <c r="H7" i="9" s="1"/>
  <c r="K44" i="3"/>
  <c r="F46" i="3"/>
  <c r="G46" i="3"/>
  <c r="H46" i="3" s="1"/>
  <c r="F60" i="5"/>
  <c r="G60" i="5" s="1"/>
  <c r="E60" i="5"/>
  <c r="C12" i="8"/>
  <c r="F7" i="9" s="1"/>
  <c r="C17" i="8"/>
  <c r="C16" i="8"/>
  <c r="C13" i="8"/>
  <c r="L44" i="8"/>
  <c r="Q44" i="3"/>
  <c r="C15" i="8"/>
  <c r="C14" i="3" l="1"/>
  <c r="H5" i="9" s="1"/>
  <c r="Q49" i="3"/>
  <c r="J46" i="3"/>
  <c r="I46" i="3"/>
  <c r="L46" i="3"/>
  <c r="F46" i="8"/>
  <c r="H47" i="8" s="1"/>
  <c r="I47" i="8" s="1"/>
  <c r="G46" i="8"/>
  <c r="L13" i="8" s="1"/>
  <c r="E47" i="8"/>
  <c r="G47" i="3"/>
  <c r="H47" i="3" s="1"/>
  <c r="F47" i="3"/>
  <c r="G49" i="3" s="1"/>
  <c r="M45" i="7"/>
  <c r="N45" i="7" s="1"/>
  <c r="M46" i="7"/>
  <c r="N46" i="7" s="1"/>
  <c r="F43" i="7"/>
  <c r="M47" i="7" s="1"/>
  <c r="N47" i="7" s="1"/>
  <c r="M44" i="7"/>
  <c r="N44" i="7" s="1"/>
  <c r="G44" i="7"/>
  <c r="H44" i="7" s="1"/>
  <c r="E44" i="7"/>
  <c r="K43" i="7"/>
  <c r="B14" i="7" s="1"/>
  <c r="B11" i="7"/>
  <c r="F61" i="5"/>
  <c r="G61" i="5" s="1"/>
  <c r="E61" i="5"/>
  <c r="J46" i="8"/>
  <c r="M46" i="8"/>
  <c r="K46" i="8"/>
  <c r="B16" i="7"/>
  <c r="B17" i="7"/>
  <c r="B12" i="7"/>
  <c r="E6" i="9" s="1"/>
  <c r="B13" i="7"/>
  <c r="I60" i="5"/>
  <c r="J60" i="5" s="1"/>
  <c r="H60" i="5"/>
  <c r="K46" i="3" l="1"/>
  <c r="O47" i="7"/>
  <c r="Q47" i="7" s="1"/>
  <c r="R47" i="7"/>
  <c r="P47" i="7"/>
  <c r="J47" i="8"/>
  <c r="L47" i="8" s="1"/>
  <c r="M47" i="8"/>
  <c r="K47" i="8"/>
  <c r="D16" i="8" s="1"/>
  <c r="D12" i="8"/>
  <c r="G7" i="9" s="1"/>
  <c r="I7" i="9" s="1"/>
  <c r="R45" i="7"/>
  <c r="P45" i="7"/>
  <c r="O45" i="7"/>
  <c r="Q45" i="7" s="1"/>
  <c r="D15" i="8"/>
  <c r="R46" i="7"/>
  <c r="O46" i="7"/>
  <c r="Q46" i="7" s="1"/>
  <c r="P46" i="7"/>
  <c r="G47" i="8"/>
  <c r="M13" i="8" s="1"/>
  <c r="F47" i="8"/>
  <c r="T50" i="8" s="1"/>
  <c r="T51" i="8"/>
  <c r="E62" i="5"/>
  <c r="F62" i="5"/>
  <c r="G62" i="5" s="1"/>
  <c r="I61" i="5"/>
  <c r="J61" i="5" s="1"/>
  <c r="H61" i="5"/>
  <c r="F44" i="7"/>
  <c r="G45" i="7" s="1"/>
  <c r="H45" i="7" s="1"/>
  <c r="E45" i="7"/>
  <c r="L47" i="3"/>
  <c r="D15" i="3" s="1"/>
  <c r="J47" i="3"/>
  <c r="D16" i="3" s="1"/>
  <c r="I47" i="3"/>
  <c r="K47" i="3" s="1"/>
  <c r="L46" i="8"/>
  <c r="D14" i="8" s="1"/>
  <c r="D11" i="8"/>
  <c r="L44" i="7"/>
  <c r="J44" i="7"/>
  <c r="I44" i="7"/>
  <c r="P44" i="7"/>
  <c r="R44" i="7"/>
  <c r="O44" i="7"/>
  <c r="D14" i="3" l="1"/>
  <c r="K49" i="3"/>
  <c r="D11" i="3"/>
  <c r="I49" i="3"/>
  <c r="J49" i="3"/>
  <c r="L45" i="7"/>
  <c r="J45" i="7"/>
  <c r="I45" i="7"/>
  <c r="K45" i="7" s="1"/>
  <c r="F45" i="7"/>
  <c r="G46" i="7"/>
  <c r="H46" i="7" s="1"/>
  <c r="E46" i="7"/>
  <c r="C15" i="7"/>
  <c r="D17" i="3"/>
  <c r="D12" i="3"/>
  <c r="D13" i="8"/>
  <c r="I62" i="5"/>
  <c r="J62" i="5" s="1"/>
  <c r="H62" i="5"/>
  <c r="K44" i="7"/>
  <c r="T49" i="8"/>
  <c r="D13" i="3"/>
  <c r="Q44" i="7"/>
  <c r="C14" i="7" s="1"/>
  <c r="H6" i="9" s="1"/>
  <c r="C11" i="7"/>
  <c r="C13" i="7"/>
  <c r="C12" i="7"/>
  <c r="F6" i="9" s="1"/>
  <c r="C17" i="7"/>
  <c r="C16" i="7"/>
  <c r="F63" i="5"/>
  <c r="G63" i="5" s="1"/>
  <c r="E63" i="5"/>
  <c r="T48" i="8"/>
  <c r="D17" i="8"/>
  <c r="F64" i="5" l="1"/>
  <c r="G64" i="5" s="1"/>
  <c r="E64" i="5"/>
  <c r="L46" i="7"/>
  <c r="I46" i="7"/>
  <c r="J46" i="7"/>
  <c r="G5" i="9"/>
  <c r="I5" i="9" s="1"/>
  <c r="J12" i="3"/>
  <c r="F46" i="7"/>
  <c r="G47" i="7" s="1"/>
  <c r="H47" i="7" s="1"/>
  <c r="E47" i="7"/>
  <c r="F47" i="7" s="1"/>
  <c r="I63" i="5"/>
  <c r="J63" i="5" s="1"/>
  <c r="H63" i="5"/>
  <c r="L47" i="7" l="1"/>
  <c r="D15" i="7" s="1"/>
  <c r="I47" i="7"/>
  <c r="K47" i="7" s="1"/>
  <c r="J47" i="7"/>
  <c r="K46" i="7"/>
  <c r="D14" i="7" s="1"/>
  <c r="D11" i="7"/>
  <c r="I64" i="5"/>
  <c r="J64" i="5" s="1"/>
  <c r="H64" i="5"/>
  <c r="D13" i="7"/>
  <c r="D12" i="7"/>
  <c r="G6" i="9" s="1"/>
  <c r="I6" i="9" s="1"/>
  <c r="D17" i="7"/>
  <c r="D16" i="7"/>
  <c r="E65" i="5"/>
  <c r="F65" i="5"/>
  <c r="G65" i="5" s="1"/>
  <c r="H65" i="5" l="1"/>
  <c r="I65" i="5"/>
  <c r="J65" i="5" s="1"/>
  <c r="F66" i="5"/>
  <c r="G66" i="5" s="1"/>
  <c r="E66" i="5"/>
  <c r="H66" i="5" l="1"/>
  <c r="I66" i="5"/>
  <c r="J66" i="5" s="1"/>
  <c r="F67" i="5"/>
  <c r="G67" i="5" s="1"/>
  <c r="E67" i="5"/>
  <c r="F68" i="5" l="1"/>
  <c r="G68" i="5" s="1"/>
  <c r="E68" i="5"/>
  <c r="I67" i="5"/>
  <c r="J67" i="5" s="1"/>
  <c r="H67" i="5"/>
  <c r="I68" i="5" l="1"/>
  <c r="J68" i="5" s="1"/>
  <c r="H68" i="5"/>
  <c r="F69" i="5"/>
  <c r="G69" i="5" s="1"/>
  <c r="E69" i="5"/>
  <c r="E70" i="5" l="1"/>
  <c r="F70" i="5"/>
  <c r="G70" i="5" s="1"/>
  <c r="B17" i="5" s="1"/>
  <c r="I69" i="5"/>
  <c r="J69" i="5" s="1"/>
  <c r="H69" i="5"/>
  <c r="H70" i="5" l="1"/>
  <c r="I70" i="5"/>
  <c r="J70" i="5" s="1"/>
  <c r="C17" i="5" s="1"/>
  <c r="D17" i="5" s="1"/>
  <c r="E71" i="5"/>
  <c r="F71" i="5"/>
  <c r="G71" i="5" s="1"/>
  <c r="F72" i="5" l="1"/>
  <c r="G72" i="5" s="1"/>
  <c r="E72" i="5"/>
  <c r="I71" i="5"/>
  <c r="J71" i="5" s="1"/>
  <c r="H71" i="5"/>
  <c r="E73" i="5" l="1"/>
  <c r="F73" i="5"/>
  <c r="G73" i="5" s="1"/>
  <c r="I72" i="5"/>
  <c r="J72" i="5" s="1"/>
  <c r="H72" i="5"/>
  <c r="H73" i="5" l="1"/>
  <c r="I73" i="5"/>
  <c r="J73" i="5" s="1"/>
  <c r="F74" i="5"/>
  <c r="G74" i="5" s="1"/>
  <c r="E74" i="5"/>
  <c r="F75" i="5" l="1"/>
  <c r="G75" i="5" s="1"/>
  <c r="E75" i="5"/>
  <c r="H74" i="5"/>
  <c r="I74" i="5"/>
  <c r="J74" i="5" s="1"/>
  <c r="I75" i="5" l="1"/>
  <c r="J75" i="5" s="1"/>
  <c r="H75" i="5"/>
  <c r="F76" i="5"/>
  <c r="G76" i="5" s="1"/>
  <c r="E76" i="5"/>
  <c r="F77" i="5" l="1"/>
  <c r="G77" i="5" s="1"/>
  <c r="E77" i="5"/>
  <c r="I76" i="5"/>
  <c r="J76" i="5" s="1"/>
  <c r="H76" i="5"/>
  <c r="I77" i="5" l="1"/>
  <c r="J77" i="5" s="1"/>
  <c r="H77" i="5"/>
  <c r="E78" i="5"/>
  <c r="F78" i="5"/>
  <c r="G78" i="5" s="1"/>
  <c r="F79" i="5" l="1"/>
  <c r="G79" i="5" s="1"/>
  <c r="E79" i="5"/>
  <c r="I78" i="5"/>
  <c r="J78" i="5" s="1"/>
  <c r="H78" i="5"/>
  <c r="I79" i="5" l="1"/>
  <c r="J79" i="5" s="1"/>
  <c r="H79" i="5"/>
  <c r="F80" i="5"/>
  <c r="G80" i="5" s="1"/>
  <c r="B18" i="5" s="1"/>
  <c r="E80" i="5"/>
  <c r="E81" i="5" l="1"/>
  <c r="F81" i="5"/>
  <c r="G81" i="5" s="1"/>
  <c r="I80" i="5"/>
  <c r="J80" i="5" s="1"/>
  <c r="C18" i="5" s="1"/>
  <c r="D18" i="5" s="1"/>
  <c r="H80" i="5"/>
  <c r="H81" i="5" l="1"/>
  <c r="I81" i="5"/>
  <c r="J81" i="5" s="1"/>
  <c r="F82" i="5"/>
  <c r="G82" i="5" s="1"/>
  <c r="E82" i="5"/>
  <c r="F83" i="5" l="1"/>
  <c r="G83" i="5" s="1"/>
  <c r="E83" i="5"/>
  <c r="H82" i="5"/>
  <c r="I82" i="5"/>
  <c r="J82" i="5" s="1"/>
  <c r="F84" i="5" l="1"/>
  <c r="G84" i="5" s="1"/>
  <c r="E84" i="5"/>
  <c r="I83" i="5"/>
  <c r="J83" i="5" s="1"/>
  <c r="H83" i="5"/>
  <c r="F85" i="5" l="1"/>
  <c r="G85" i="5" s="1"/>
  <c r="E85" i="5"/>
  <c r="I84" i="5"/>
  <c r="J84" i="5" s="1"/>
  <c r="H84" i="5"/>
  <c r="E86" i="5" l="1"/>
  <c r="F86" i="5"/>
  <c r="G86" i="5" s="1"/>
  <c r="I85" i="5"/>
  <c r="J85" i="5" s="1"/>
  <c r="H85" i="5"/>
  <c r="H86" i="5" l="1"/>
  <c r="I86" i="5"/>
  <c r="J86" i="5" s="1"/>
  <c r="E87" i="5"/>
  <c r="F87" i="5"/>
  <c r="G87" i="5" s="1"/>
  <c r="F88" i="5" l="1"/>
  <c r="G88" i="5" s="1"/>
  <c r="E88" i="5"/>
  <c r="I87" i="5"/>
  <c r="J87" i="5" s="1"/>
  <c r="H87" i="5"/>
  <c r="I88" i="5" l="1"/>
  <c r="J88" i="5" s="1"/>
  <c r="H88" i="5"/>
  <c r="E89" i="5"/>
  <c r="F89" i="5"/>
  <c r="G89" i="5" s="1"/>
  <c r="F90" i="5" l="1"/>
  <c r="G90" i="5" s="1"/>
  <c r="B19" i="5" s="1"/>
  <c r="E90" i="5"/>
  <c r="H89" i="5"/>
  <c r="I89" i="5"/>
  <c r="J89" i="5" s="1"/>
  <c r="D19" i="5" l="1"/>
  <c r="H90" i="5"/>
  <c r="I90" i="5"/>
  <c r="J90" i="5" s="1"/>
  <c r="C1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5" authorId="0" shapeId="0" xr:uid="{00000000-0006-0000-0400-000001000000}">
      <text>
        <r>
          <rPr>
            <sz val="10"/>
            <rFont val="Arial"/>
            <family val="2"/>
          </rPr>
          <t>Outlier pontual (+45) inserido de propósito.</t>
        </r>
      </text>
    </comment>
  </commentList>
</comments>
</file>

<file path=xl/sharedStrings.xml><?xml version="1.0" encoding="utf-8"?>
<sst xmlns="http://schemas.openxmlformats.org/spreadsheetml/2006/main" count="647" uniqueCount="265">
  <si>
    <t>PNV-3421 · Aula 06 · Suavizamento Exponencial — planilha de apoio</t>
  </si>
  <si>
    <t>Suavizamento Exponencial Simples (SES), Método de Holt (tendência) e Holt-Winters (tendência + sazonalidade)</t>
  </si>
  <si>
    <t>Como usar</t>
  </si>
  <si>
    <t>Células AMARELAS com texto AZUL são parâmetros: altere-as e toda a planilha (tabelas, medidas de erro e gráficos) é recalculada.</t>
  </si>
  <si>
    <t>Linhas azul-claras = período de TREINO; linhas cinza = período de TESTE; linhas laranja-claras = inicialização do modelo.</t>
  </si>
  <si>
    <t>Convenção de erro: e = Y − Ŷ (real − previsto). MPE &gt; 0 ⇒ o modelo subestima; MPE &lt; 0 ⇒ superestima.</t>
  </si>
  <si>
    <t>Abas</t>
  </si>
  <si>
    <t>Dados</t>
  </si>
  <si>
    <t>As duas séries da aula: demanda trimestral por reparo naval (28 trimestres, 1990–1996) e consumo mensal de aço (15 meses).</t>
  </si>
  <si>
    <t>SES</t>
  </si>
  <si>
    <t>Suavizamento exponencial simples na série de reparo naval. Treino t=1–24, teste t=25–28.</t>
  </si>
  <si>
    <t>SES_varredura</t>
  </si>
  <si>
    <t>Calcula o MSE de treino do SES para α = 0,05; 0,10; …; 0,95 e mostra a curva MSE × α (sem precisar do Solver).</t>
  </si>
  <si>
    <t>SES_alfa</t>
  </si>
  <si>
    <t>Experimento α = 0,1 × α = 0,9: série sintética estável com ruído, um outlier (t=25) e uma mudança de patamar (t=41).</t>
  </si>
  <si>
    <t>Holt_Aco</t>
  </si>
  <si>
    <t>Método de Holt na série de aço (tendência pura). Treino t=1–11, teste t=12–15.</t>
  </si>
  <si>
    <t>Holt_Reparo</t>
  </si>
  <si>
    <t>Método de Holt na série de reparo naval: capta a tendência, mas não a sazonalidade.</t>
  </si>
  <si>
    <t>HoltWinters</t>
  </si>
  <si>
    <t>Holt-Winters multiplicativo (L=4) na série de reparo naval, com previsão operacional para 1997.</t>
  </si>
  <si>
    <t>Comparacao</t>
  </si>
  <si>
    <t>SES × Holt × Holt-Winters no mesmo período de teste (t=25–28), com gráfico.</t>
  </si>
  <si>
    <t>Dois protocolos de previsão no teste</t>
  </si>
  <si>
    <t>A · Origem fixa</t>
  </si>
  <si>
    <t>O modelo é ajustado até o fim do treino e prevê, de uma só vez, h = 1, 2, 3, 4 períodos à frente. Nenhum dado do teste é usado.</t>
  </si>
  <si>
    <t>B · Um passo à frente (rolling)</t>
  </si>
  <si>
    <t>Os parâmetros ficam fixos (escolhidos no treino), mas o modelo incorpora cada observação do teste assim que ela ocorre e prevê só o período seguinte.</t>
  </si>
  <si>
    <t>Escolhendo os parâmetros com o Solver (Dados → Solver)</t>
  </si>
  <si>
    <t>Objetivo</t>
  </si>
  <si>
    <t>Célula 'SSE' da coluna TREINO no quadro de medidas de erro de cada aba → Minimizar.</t>
  </si>
  <si>
    <t>Células variáveis</t>
  </si>
  <si>
    <t>As células amarelas de parâmetro (α; α e β; α, β e γ).</t>
  </si>
  <si>
    <t>Restrições</t>
  </si>
  <si>
    <t>0 ≤ parâmetro ≤ 1. Método: GRG Não Linear (use 'Multistart' no Holt-Winters, que tem vários mínimos locais).</t>
  </si>
  <si>
    <t>Regra de ouro</t>
  </si>
  <si>
    <t>NUNCA inclua o período de teste no objetivo do Solver. O teste serve só para medir o erro de previsão.</t>
  </si>
  <si>
    <t>Valores iniciais dos parâmetros</t>
  </si>
  <si>
    <t>SES α=0,34, Holt_Aco (α=0,28; β=0,26) e Holt_Reparo (α=0,24; β=0,25) são os ótimos do treino encontrados no notebook. HoltWinters usa os parâmetros dos slides (α=0,8; β=0,1; γ=0,3); o ótimo do treino no notebook é (0,85; 0,10; 0,95).</t>
  </si>
  <si>
    <t>Fonte dos dados</t>
  </si>
  <si>
    <t>Séries da aula (slides 5 e 17), adaptadas de Hanke &amp; Reitsch (1998), Business Forecasting, 6ª ed. A série da aba SES_alfa é sintética (nível 100 → 140 + ruído normal σ=10, semente 3421, outlier +45 em t=25).</t>
  </si>
  <si>
    <t>Dados da aula</t>
  </si>
  <si>
    <t>Série principal (treino t=1–24, teste t=25–28) e série de aço (treino t=1–11, teste t=12–15)</t>
  </si>
  <si>
    <t>t</t>
  </si>
  <si>
    <t>Ano</t>
  </si>
  <si>
    <t>Trimestre</t>
  </si>
  <si>
    <t>Demanda Y (unid. de serviço)</t>
  </si>
  <si>
    <t>Conjunto</t>
  </si>
  <si>
    <t>t (mês)</t>
  </si>
  <si>
    <t>Consumo de aço (t)</t>
  </si>
  <si>
    <t>1990</t>
  </si>
  <si>
    <t>Treino</t>
  </si>
  <si>
    <t>1991</t>
  </si>
  <si>
    <t>1992</t>
  </si>
  <si>
    <t>Teste</t>
  </si>
  <si>
    <t>1993</t>
  </si>
  <si>
    <t>1994</t>
  </si>
  <si>
    <t>1995</t>
  </si>
  <si>
    <t>1996</t>
  </si>
  <si>
    <t>Suavizamento Exponencial Simples (SES) — demanda de reparo naval</t>
  </si>
  <si>
    <t>S(t) = α·Y(t) + (1−α)·S(t−1)  |  Previsão: Ŷ(t+1) = S(t)  (reta horizontal para qualquer horizonte)  |  Inicialização: S(1) = Y(1)</t>
  </si>
  <si>
    <t>α (nível)</t>
  </si>
  <si>
    <t>← altere aqui (0 &lt; α &lt; 1). Ótimo no treino ≈ 0,34</t>
  </si>
  <si>
    <t>Forma de correção de erro: S(t) = S(t−1) + α·[Y(t) − S(t−1)]</t>
  </si>
  <si>
    <t>Idade média dos dados = (1−α)/α =</t>
  </si>
  <si>
    <t>períodos</t>
  </si>
  <si>
    <t>MM equivalente n = (2−α)/α =</t>
  </si>
  <si>
    <t>Medida</t>
  </si>
  <si>
    <t>TREINO
(ajuste, t=2–24)</t>
  </si>
  <si>
    <t>TESTE A
(origem fixa)</t>
  </si>
  <si>
    <t>TESTE B
(rolling)</t>
  </si>
  <si>
    <t>MAD</t>
  </si>
  <si>
    <t>← Solver: minimizar B16 (SSE do treino) alterando B4</t>
  </si>
  <si>
    <t>MSE</t>
  </si>
  <si>
    <t>Erro de previsão / erro de ajuste (MSE, teste B):</t>
  </si>
  <si>
    <t>RMSE</t>
  </si>
  <si>
    <t>MAPE</t>
  </si>
  <si>
    <t>MPE</t>
  </si>
  <si>
    <t>SSE</t>
  </si>
  <si>
    <t>n</t>
  </si>
  <si>
    <t>Trim.</t>
  </si>
  <si>
    <t>Y</t>
  </si>
  <si>
    <t>S(t) nível</t>
  </si>
  <si>
    <t>Ŷ(t) = S(t−1)
(1 passo, rolling)</t>
  </si>
  <si>
    <t>Erro e = Y − Ŷ</t>
  </si>
  <si>
    <t>|e|</t>
  </si>
  <si>
    <t>e²</t>
  </si>
  <si>
    <t>|e|/Y</t>
  </si>
  <si>
    <t>e/Y</t>
  </si>
  <si>
    <t>Ŷ origem fixa
(= S(24))</t>
  </si>
  <si>
    <t>SES — varredura de α no período de TREINO (t = 1–24)</t>
  </si>
  <si>
    <t>Cada coluna roda o SES com um α diferente; a linha MSE mostra o erro de ajuste. O teste (t=25–28) NÃO entra aqui.</t>
  </si>
  <si>
    <t>α</t>
  </si>
  <si>
    <t>MSE treino</t>
  </si>
  <si>
    <t>SSE treino</t>
  </si>
  <si>
    <t>S(t)
α=0.05</t>
  </si>
  <si>
    <t>S(t)
α=0.10</t>
  </si>
  <si>
    <t>S(t)
α=0.15</t>
  </si>
  <si>
    <t>S(t)
α=0.20</t>
  </si>
  <si>
    <t>S(t)
α=0.25</t>
  </si>
  <si>
    <t>S(t)
α=0.30</t>
  </si>
  <si>
    <t>S(t)
α=0.35</t>
  </si>
  <si>
    <t>S(t)
α=0.40</t>
  </si>
  <si>
    <t>S(t)
α=0.45</t>
  </si>
  <si>
    <t>S(t)
α=0.50</t>
  </si>
  <si>
    <t>S(t)
α=0.55</t>
  </si>
  <si>
    <t>S(t)
α=0.60</t>
  </si>
  <si>
    <t>S(t)
α=0.65</t>
  </si>
  <si>
    <t>S(t)
α=0.70</t>
  </si>
  <si>
    <t>S(t)
α=0.75</t>
  </si>
  <si>
    <t>S(t)
α=0.80</t>
  </si>
  <si>
    <t>S(t)
α=0.85</t>
  </si>
  <si>
    <t>S(t)
α=0.90</t>
  </si>
  <si>
    <t>S(t)
α=0.95</t>
  </si>
  <si>
    <t>Melhor α da grade:</t>
  </si>
  <si>
    <t>MSE mínimo:</t>
  </si>
  <si>
    <t>Refine com o Solver na aba SES (ótimo contínuo ≈ 0,335). Os valores de α desta linha 4 também podem ser editados.</t>
  </si>
  <si>
    <t>Quando usar α = 0,1 e quando usar α = 0,9?</t>
  </si>
  <si>
    <t>Série SINTÉTICA: nível 100 (t=1–40) → 140 (t=41–60), ruído σ=10, outlier em t=25. α pequeno filtra ruído; α grande acompanha mudanças.</t>
  </si>
  <si>
    <t>α₁ (suave)</t>
  </si>
  <si>
    <t>k (defasagem)</t>
  </si>
  <si>
    <t>peso α₁</t>
  </si>
  <si>
    <t>peso α₂</t>
  </si>
  <si>
    <t>α₂ (reativo)</t>
  </si>
  <si>
    <t>Propriedade</t>
  </si>
  <si>
    <t>α₁</t>
  </si>
  <si>
    <t>α₂</t>
  </si>
  <si>
    <t>Interpretação</t>
  </si>
  <si>
    <t>Peso do dado mais recente</t>
  </si>
  <si>
    <t>fração do erro que é corrigida a cada período</t>
  </si>
  <si>
    <t>Idade média dos dados (períodos)</t>
  </si>
  <si>
    <t>quão 'antigas' são, em média, as observações usadas</t>
  </si>
  <si>
    <t>Média móvel equivalente (n)</t>
  </si>
  <si>
    <t>MM com a mesma idade média</t>
  </si>
  <si>
    <t>Meia-vida (períodos)</t>
  </si>
  <si>
    <t>após quantos períodos um dado vale metade</t>
  </si>
  <si>
    <t>Variância da previsão (× σ² do ruído)</t>
  </si>
  <si>
    <t>quanto ruído passa para a previsão (série estável)</t>
  </si>
  <si>
    <t>Períodos p/ absorver 90% de um degrau</t>
  </si>
  <si>
    <t>velocidade de reação a mudança de patamar</t>
  </si>
  <si>
    <t>Razão sinal-ruído q para a qual α é ótimo</t>
  </si>
  <si>
    <t>q = σ²(mudança de nível)/σ²(ruído)</t>
  </si>
  <si>
    <t>Trecho</t>
  </si>
  <si>
    <t>MSE α₁</t>
  </si>
  <si>
    <t>MSE α₂</t>
  </si>
  <si>
    <t>Vencedor</t>
  </si>
  <si>
    <t>Estável (t=2–40)</t>
  </si>
  <si>
    <t>Logo após a mudança (t=41–50)</t>
  </si>
  <si>
    <t>Novo patamar estabilizado (t=51–60)</t>
  </si>
  <si>
    <t>Previsão para t=26 (logo após o outlier; real = 112):</t>
  </si>
  <si>
    <t>Use α ≈ 0,1 quando…</t>
  </si>
  <si>
    <t>nível estável + ruído alto; outliers pontuais (greve, erro de registro); custo alto de reagir a alarmes falsos; horizonte de planejamento. Ex.: nível médio de maré, sobressalentes de rotina, demanda madura de docagem.</t>
  </si>
  <si>
    <t>Use α ≈ 0,9 quando…</t>
  </si>
  <si>
    <t>o nível muda com frequência e persiste (passeio aleatório); ruído baixo; mudança estrutural recente; custo alto de atraso. Ex.: preço do bunker, índices de frete, consumo logo após a entrada de novos navios.</t>
  </si>
  <si>
    <t>Alerta</t>
  </si>
  <si>
    <t>α ótimo próximo de 1 costuma denunciar tendência ou sazonalidade não modeladas → use Holt ou Holt-Winters, não um α maior.</t>
  </si>
  <si>
    <t>Nível verdadeiro</t>
  </si>
  <si>
    <t>S(t) α₁</t>
  </si>
  <si>
    <t>Ŷ(t) α₁</t>
  </si>
  <si>
    <t>e² α₁</t>
  </si>
  <si>
    <t>S(t) α₂</t>
  </si>
  <si>
    <t>Ŷ(t) α₂</t>
  </si>
  <si>
    <t>e² α₂</t>
  </si>
  <si>
    <t>estável</t>
  </si>
  <si>
    <t>pós-mudança</t>
  </si>
  <si>
    <t>novo patamar</t>
  </si>
  <si>
    <t>Método de Holt — consumo mensal de aço naval</t>
  </si>
  <si>
    <t>A(t)=α·Y(t)+(1−α)[A(t−1)+T(t−1)]  |  T(t)=β[A(t)−A(t−1)]+(1−β)T(t−1)  |  Ŷ(t+p)=A(t)+p·T(t)  |  Início: A(2)=Y(2), T(2)=Y(2)−Y(1)</t>
  </si>
  <si>
    <t>← 0 &lt; α &lt; 1</t>
  </si>
  <si>
    <t>β (tendência)</t>
  </si>
  <si>
    <t>← 0 &lt; β &lt; 1</t>
  </si>
  <si>
    <t>Referência dos slides (mesmo teste t=12–15): média móvel n=3 → MSE 102,8; média móvel dupla n=3 → MSE 34,1.</t>
  </si>
  <si>
    <t>TREINO
(ajuste, t=3–11)</t>
  </si>
  <si>
    <t>← Solver: minimizar B16 (SSE do treino) alterando B4:B5</t>
  </si>
  <si>
    <t>Rótulo</t>
  </si>
  <si>
    <t>A(t) nível</t>
  </si>
  <si>
    <t>T(t) tendência</t>
  </si>
  <si>
    <t>Ŷ(t) = A(t−1)+T(t−1)
(1 passo, rolling)</t>
  </si>
  <si>
    <t>Ŷ origem fixa
= A(fim treino) + p·T(fim treino)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</si>
  <si>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</si>
  <si>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</si>
  <si>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</si>
  <si>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</si>
  <si>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</si>
  <si>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</si>
  <si>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</si>
  <si>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</si>
  <si>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</si>
  <si>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</si>
  <si>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</si>
  <si>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</si>
  <si>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mês 13</t>
  </si>
  <si>
    <t>mês 14</t>
  </si>
  <si>
    <t>mês 15</t>
  </si>
  <si>
    <t>Método de Holt — demanda de reparo naval</t>
  </si>
  <si>
    <t>Mesmas equações; início pelo 1º ano: A(4)=média(Y1..Y4), T(4)=[média(Y5..Y8) − média(Y1..Y4)]/4. Capta a tendência, não a sazonalidade.</t>
  </si>
  <si>
    <t>Observe no gráfico: a previsão 'passa pelo meio' do ciclo sazonal — erra para baixo no T1 e para cima no T3.</t>
  </si>
  <si>
    <t>TREINO
(ajuste, t=5–24)</t>
  </si>
  <si>
    <t>1990-T1</t>
  </si>
  <si>
    <t>1990-T2</t>
  </si>
  <si>
    <t>1990-T3</t>
  </si>
  <si>
    <t>1990-T4</t>
  </si>
  <si>
    <t>1991-T1</t>
  </si>
  <si>
    <t>1991-T2</t>
  </si>
  <si>
    <t>1991-T3</t>
  </si>
  <si>
    <t>1991-T4</t>
  </si>
  <si>
    <t>1992-T1</t>
  </si>
  <si>
    <t>1992-T2</t>
  </si>
  <si>
    <t>1992-T3</t>
  </si>
  <si>
    <t>1992-T4</t>
  </si>
  <si>
    <t>1993-T1</t>
  </si>
  <si>
    <t>1993-T2</t>
  </si>
  <si>
    <t>1993-T3</t>
  </si>
  <si>
    <t>1993-T4</t>
  </si>
  <si>
    <t>1994-T1</t>
  </si>
  <si>
    <t>1994-T2</t>
  </si>
  <si>
    <t>1994-T3</t>
  </si>
  <si>
    <t>1994-T4</t>
  </si>
  <si>
    <t>1995-T1</t>
  </si>
  <si>
    <t>1995-T2</t>
  </si>
  <si>
    <t>1995-T3</t>
  </si>
  <si>
    <t>1995-T4</t>
  </si>
  <si>
    <t>1996-T1</t>
  </si>
  <si>
    <t>1996-T2</t>
  </si>
  <si>
    <t>1996-T3</t>
  </si>
  <si>
    <t>1996-T4</t>
  </si>
  <si>
    <t>Holt-Winters multiplicativo (L = 4) — demanda de reparo naval</t>
  </si>
  <si>
    <t>A(t)=α·Y(t)/S(t−L)+(1−α)[A(t−1)+T(t−1)]  |  T(t)=β[A(t)−A(t−1)]+(1−β)T(t−1)  |  S(t)=γ·Y(t)/A(t)+(1−γ)S(t−L)  |  Ŷ(t+p)=[A(t)+p·T(t)]·S(t−L+p)</t>
  </si>
  <si>
    <t>← parâmetros dos slides</t>
  </si>
  <si>
    <t>γ (sazonalidade)</t>
  </si>
  <si>
    <t>← ótimo do treino no notebook: (0,85; 0,10; 0,95)</t>
  </si>
  <si>
    <t>Início: A(4)=média(Y1..Y4); T(4)=[média(Y5..Y8)−média(Y1..Y4)]/4; S(1..4)=Y(i)/A(4).</t>
  </si>
  <si>
    <t>← Solver: minimizar B16 (SSE do treino) alterando B4:B6 (use Multistart)</t>
  </si>
  <si>
    <t>Índices sazonais finais S25..S28 →</t>
  </si>
  <si>
    <t>S(t) índice sazonal</t>
  </si>
  <si>
    <t>Ŷ(t)=[A(t−1)+T(t−1)]·S(t−4)
(1 passo, rolling)</t>
  </si>
  <si>
    <t>Ŷ origem fixa (t=24)
=[A24+p·T24]·S(20+p)</t>
  </si>
  <si>
    <t>Previsão operacional 1997
=[A28+p·T28]·S(24+p)</t>
  </si>
  <si>
    <t>1997-T1</t>
  </si>
  <si>
    <t>Futuro</t>
  </si>
  <si>
    <t>1997-T2</t>
  </si>
  <si>
    <t>1997-T3</t>
  </si>
  <si>
    <t>1997-T4</t>
  </si>
  <si>
    <t>Comparação: SES × Holt × Holt-Winters — mesmo dataset (reparo naval), mesmo teste (t = 25–28)</t>
  </si>
  <si>
    <t>Valores lidos das outras abas: mude os parâmetros lá e esta tabela se atualiza.</t>
  </si>
  <si>
    <t>Método</t>
  </si>
  <si>
    <t>β</t>
  </si>
  <si>
    <t>γ</t>
  </si>
  <si>
    <t>MSE ajuste (treino)</t>
  </si>
  <si>
    <t>MSE teste A (origem fixa)</t>
  </si>
  <si>
    <t>MSE teste B (rolling)</t>
  </si>
  <si>
    <t>MAPE teste A</t>
  </si>
  <si>
    <t>Teste B / ajuste</t>
  </si>
  <si>
    <t>O que captura</t>
  </si>
  <si>
    <t>—</t>
  </si>
  <si>
    <t>nível</t>
  </si>
  <si>
    <t>Holt</t>
  </si>
  <si>
    <t>nível + tendência</t>
  </si>
  <si>
    <t>Holt-Winters</t>
  </si>
  <si>
    <t>nível + tendência + sazonalidade</t>
  </si>
  <si>
    <t>Leituras-chave</t>
  </si>
  <si>
    <t>1. SES e Holt têm erro de teste da ordem de dezenas de milhares: nenhum dos dois modela a sazonalidade.</t>
  </si>
  <si>
    <t>2. O Holt-Winters reduz o erro de teste em mais de 20 vezes: é o único que modela tendência E sazonalidade.</t>
  </si>
  <si>
    <t>3. Compare 'ajuste' e 'teste': um bom ajuste no passado não garante boa previsão (ajuste não é previsão).</t>
  </si>
  <si>
    <t>4. Na série de aço (aba Holt_Aco), sem sazonalidade, o Holt tem MSE de teste ≈ 38–45, contra 102,8 da média móvel simples (slides).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</si>
</sst>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0.00\×"/>
    <numFmt numFmtId="167" formatCode="0.0%"/>
    <numFmt numFmtId="168" formatCode="0.000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0B3C5D"/>
      <name val="Arial"/>
      <family val="2"/>
    </font>
    <font>
      <i/>
      <sz val="10"/>
      <color rgb="FF555555"/>
      <name val="Arial"/>
      <family val="2"/>
    </font>
    <font>
      <b/>
      <sz val="11"/>
      <color rgb="FF0B3C5D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0000FF"/>
      <name val="Arial"/>
      <family val="2"/>
    </font>
    <font>
      <sz val="10"/>
      <color rgb="FF008000"/>
      <name val="Arial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3C5D"/>
        <bgColor rgb="FF333333"/>
      </patternFill>
    </fill>
    <fill>
      <patternFill patternType="solid">
        <fgColor rgb="FFEAF2F8"/>
        <bgColor rgb="FFE8F8F5"/>
      </patternFill>
    </fill>
    <fill>
      <patternFill patternType="solid">
        <fgColor rgb="FFE5E5E5"/>
        <bgColor rgb="FFD9D9D9"/>
      </patternFill>
    </fill>
    <fill>
      <patternFill patternType="solid">
        <fgColor rgb="FFF4F6F7"/>
        <bgColor rgb="FFEAF2F8"/>
      </patternFill>
    </fill>
    <fill>
      <patternFill patternType="solid">
        <fgColor rgb="FFFDEBD0"/>
        <bgColor rgb="FFE5E5E5"/>
      </patternFill>
    </fill>
    <fill>
      <patternFill patternType="solid">
        <fgColor rgb="FFE8F8F5"/>
        <bgColor rgb="FFEAF2F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68">
    <xf numFmtId="0" fontId="0" fillId="0" borderId="0" xfId="0"/>
    <xf numFmtId="0" fontId="5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0" xfId="0" applyFont="1"/>
    <xf numFmtId="2" fontId="8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/>
    <xf numFmtId="0" fontId="6" fillId="6" borderId="1" xfId="0" applyFont="1" applyFill="1" applyBorder="1"/>
    <xf numFmtId="165" fontId="5" fillId="6" borderId="1" xfId="0" applyNumberFormat="1" applyFont="1" applyFill="1" applyBorder="1" applyAlignment="1">
      <alignment horizontal="center"/>
    </xf>
    <xf numFmtId="166" fontId="6" fillId="0" borderId="0" xfId="0" applyNumberFormat="1" applyFont="1"/>
    <xf numFmtId="167" fontId="5" fillId="6" borderId="1" xfId="0" applyNumberFormat="1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4" fontId="5" fillId="7" borderId="1" xfId="0" applyNumberFormat="1" applyFont="1" applyFill="1" applyBorder="1" applyAlignment="1">
      <alignment horizontal="center"/>
    </xf>
    <xf numFmtId="167" fontId="5" fillId="7" borderId="1" xfId="0" applyNumberFormat="1" applyFont="1" applyFill="1" applyBorder="1" applyAlignment="1">
      <alignment horizontal="center"/>
    </xf>
    <xf numFmtId="4" fontId="5" fillId="4" borderId="1" xfId="0" applyNumberFormat="1" applyFont="1" applyFill="1" applyBorder="1" applyAlignment="1">
      <alignment horizontal="center"/>
    </xf>
    <xf numFmtId="167" fontId="5" fillId="4" borderId="1" xfId="0" applyNumberFormat="1" applyFont="1" applyFill="1" applyBorder="1" applyAlignment="1">
      <alignment horizontal="center"/>
    </xf>
    <xf numFmtId="4" fontId="5" fillId="5" borderId="1" xfId="0" applyNumberFormat="1" applyFont="1" applyFill="1" applyBorder="1" applyAlignment="1">
      <alignment horizontal="center"/>
    </xf>
    <xf numFmtId="167" fontId="5" fillId="5" borderId="1" xfId="0" applyNumberFormat="1" applyFont="1" applyFill="1" applyBorder="1" applyAlignment="1">
      <alignment horizontal="center"/>
    </xf>
    <xf numFmtId="2" fontId="8" fillId="2" borderId="1" xfId="0" applyNumberFormat="1" applyFont="1" applyFill="1" applyBorder="1"/>
    <xf numFmtId="3" fontId="5" fillId="6" borderId="1" xfId="0" applyNumberFormat="1" applyFont="1" applyFill="1" applyBorder="1"/>
    <xf numFmtId="1" fontId="5" fillId="7" borderId="1" xfId="0" applyNumberFormat="1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2" fontId="6" fillId="0" borderId="0" xfId="0" applyNumberFormat="1" applyFont="1"/>
    <xf numFmtId="3" fontId="0" fillId="0" borderId="0" xfId="0" applyNumberFormat="1"/>
    <xf numFmtId="0" fontId="5" fillId="0" borderId="1" xfId="0" applyFont="1" applyBorder="1"/>
    <xf numFmtId="168" fontId="5" fillId="0" borderId="1" xfId="0" applyNumberFormat="1" applyFont="1" applyBorder="1"/>
    <xf numFmtId="9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5" fontId="5" fillId="5" borderId="1" xfId="0" applyNumberFormat="1" applyFont="1" applyFill="1" applyBorder="1" applyAlignment="1">
      <alignment horizontal="center"/>
    </xf>
    <xf numFmtId="2" fontId="6" fillId="0" borderId="1" xfId="0" applyNumberFormat="1" applyFont="1" applyBorder="1"/>
    <xf numFmtId="168" fontId="5" fillId="7" borderId="1" xfId="0" applyNumberFormat="1" applyFont="1" applyFill="1" applyBorder="1" applyAlignment="1">
      <alignment horizontal="center"/>
    </xf>
    <xf numFmtId="168" fontId="5" fillId="4" borderId="1" xfId="0" applyNumberFormat="1" applyFont="1" applyFill="1" applyBorder="1" applyAlignment="1">
      <alignment horizontal="center"/>
    </xf>
    <xf numFmtId="168" fontId="5" fillId="5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4" fontId="5" fillId="8" borderId="1" xfId="0" applyNumberFormat="1" applyFont="1" applyFill="1" applyBorder="1" applyAlignment="1">
      <alignment horizontal="center"/>
    </xf>
    <xf numFmtId="168" fontId="5" fillId="8" borderId="1" xfId="0" applyNumberFormat="1" applyFont="1" applyFill="1" applyBorder="1" applyAlignment="1">
      <alignment horizontal="center"/>
    </xf>
    <xf numFmtId="167" fontId="5" fillId="8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65" fontId="6" fillId="6" borderId="1" xfId="0" applyNumberFormat="1" applyFont="1" applyFill="1" applyBorder="1" applyAlignment="1">
      <alignment horizontal="center"/>
    </xf>
    <xf numFmtId="167" fontId="6" fillId="6" borderId="1" xfId="0" applyNumberFormat="1" applyFont="1" applyFill="1" applyBorder="1" applyAlignment="1">
      <alignment horizontal="center"/>
    </xf>
    <xf numFmtId="1" fontId="6" fillId="6" borderId="1" xfId="0" applyNumberFormat="1" applyFont="1" applyFill="1" applyBorder="1" applyAlignment="1">
      <alignment horizontal="center"/>
    </xf>
    <xf numFmtId="4" fontId="6" fillId="5" borderId="1" xfId="0" applyNumberFormat="1" applyFont="1" applyFill="1" applyBorder="1" applyAlignment="1">
      <alignment horizontal="center"/>
    </xf>
    <xf numFmtId="4" fontId="10" fillId="0" borderId="0" xfId="0" applyNumberFormat="1" applyFont="1"/>
    <xf numFmtId="167" fontId="6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98C"/>
      <rgbColor rgb="FFBBBBBB"/>
      <rgbColor rgb="FF878787"/>
      <rgbColor rgb="FF9999FF"/>
      <rgbColor rgb="FFD1495B"/>
      <rgbColor rgb="FFFDEBD0"/>
      <rgbColor rgb="FFE8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E5E5E5"/>
      <rgbColor rgb="FFF4F6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AE49"/>
      <rgbColor rgb="FFFF6600"/>
      <rgbColor rgb="FF555555"/>
      <rgbColor rgb="FF9DB4C0"/>
      <rgbColor rgb="FF0B3C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Demanda trimestral por reparo naval (1990–1996)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Demanda</c:v>
          </c:tx>
          <c:spPr>
            <a:ln w="21960">
              <a:solidFill>
                <a:srgbClr val="0B3C5D"/>
              </a:solidFill>
              <a:round/>
            </a:ln>
          </c:spPr>
          <c:marker>
            <c:symbol val="circle"/>
            <c:size val="6"/>
            <c:spPr>
              <a:solidFill>
                <a:srgbClr val="0B3C5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Dados!$A$5:$A$32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Dados!$D$4:$D$32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500</c:v>
                </c:pt>
                <c:pt idx="2">
                  <c:v>350</c:v>
                </c:pt>
                <c:pt idx="3">
                  <c:v>250</c:v>
                </c:pt>
                <c:pt idx="4">
                  <c:v>400</c:v>
                </c:pt>
                <c:pt idx="5">
                  <c:v>450</c:v>
                </c:pt>
                <c:pt idx="6">
                  <c:v>350</c:v>
                </c:pt>
                <c:pt idx="7">
                  <c:v>200</c:v>
                </c:pt>
                <c:pt idx="8">
                  <c:v>300</c:v>
                </c:pt>
                <c:pt idx="9">
                  <c:v>350</c:v>
                </c:pt>
                <c:pt idx="10">
                  <c:v>200</c:v>
                </c:pt>
                <c:pt idx="11">
                  <c:v>150</c:v>
                </c:pt>
                <c:pt idx="12">
                  <c:v>400</c:v>
                </c:pt>
                <c:pt idx="13">
                  <c:v>550</c:v>
                </c:pt>
                <c:pt idx="14">
                  <c:v>350</c:v>
                </c:pt>
                <c:pt idx="15">
                  <c:v>250</c:v>
                </c:pt>
                <c:pt idx="16">
                  <c:v>550</c:v>
                </c:pt>
                <c:pt idx="17">
                  <c:v>550</c:v>
                </c:pt>
                <c:pt idx="18">
                  <c:v>400</c:v>
                </c:pt>
                <c:pt idx="19">
                  <c:v>350</c:v>
                </c:pt>
                <c:pt idx="20">
                  <c:v>600</c:v>
                </c:pt>
                <c:pt idx="21">
                  <c:v>750</c:v>
                </c:pt>
                <c:pt idx="22">
                  <c:v>500</c:v>
                </c:pt>
                <c:pt idx="23">
                  <c:v>400</c:v>
                </c:pt>
                <c:pt idx="24">
                  <c:v>650</c:v>
                </c:pt>
                <c:pt idx="25">
                  <c:v>850</c:v>
                </c:pt>
                <c:pt idx="26">
                  <c:v>600</c:v>
                </c:pt>
                <c:pt idx="27">
                  <c:v>450</c:v>
                </c:pt>
                <c:pt idx="28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06-42A0-ADCD-5E61F667C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8137274"/>
        <c:axId val="88111829"/>
      </c:lineChart>
      <c:catAx>
        <c:axId val="281372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Trimestre (t)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8111829"/>
        <c:crosses val="autoZero"/>
        <c:auto val="1"/>
        <c:lblAlgn val="ctr"/>
        <c:lblOffset val="100"/>
        <c:noMultiLvlLbl val="0"/>
      </c:catAx>
      <c:valAx>
        <c:axId val="88111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Unidades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81372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Consumo mensal de aço naval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Consumo</c:v>
          </c:tx>
          <c:spPr>
            <a:ln w="21960">
              <a:solidFill>
                <a:srgbClr val="0B3C5D"/>
              </a:solidFill>
              <a:round/>
            </a:ln>
          </c:spPr>
          <c:marker>
            <c:symbol val="circle"/>
            <c:size val="6"/>
            <c:spPr>
              <a:solidFill>
                <a:srgbClr val="0B3C5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Dados!$G$5:$G$19</c:f>
              <c:numCache>
                <c:formatCode>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Dados!$H$4:$H$19</c:f>
              <c:numCache>
                <c:formatCode>0</c:formatCode>
                <c:ptCount val="16"/>
                <c:pt idx="0" formatCode="General">
                  <c:v>0</c:v>
                </c:pt>
                <c:pt idx="1">
                  <c:v>654</c:v>
                </c:pt>
                <c:pt idx="2">
                  <c:v>658</c:v>
                </c:pt>
                <c:pt idx="3">
                  <c:v>665</c:v>
                </c:pt>
                <c:pt idx="4">
                  <c:v>672</c:v>
                </c:pt>
                <c:pt idx="5">
                  <c:v>673</c:v>
                </c:pt>
                <c:pt idx="6">
                  <c:v>671</c:v>
                </c:pt>
                <c:pt idx="7">
                  <c:v>693</c:v>
                </c:pt>
                <c:pt idx="8">
                  <c:v>694</c:v>
                </c:pt>
                <c:pt idx="9">
                  <c:v>701</c:v>
                </c:pt>
                <c:pt idx="10">
                  <c:v>703</c:v>
                </c:pt>
                <c:pt idx="11">
                  <c:v>702</c:v>
                </c:pt>
                <c:pt idx="12">
                  <c:v>710</c:v>
                </c:pt>
                <c:pt idx="13">
                  <c:v>712</c:v>
                </c:pt>
                <c:pt idx="14">
                  <c:v>711</c:v>
                </c:pt>
                <c:pt idx="15">
                  <c:v>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0E-44C6-B6CD-D30A29E75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684437"/>
        <c:axId val="93789663"/>
      </c:lineChart>
      <c:catAx>
        <c:axId val="436844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Mês (t)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3789663"/>
        <c:crosses val="autoZero"/>
        <c:auto val="1"/>
        <c:lblAlgn val="ctr"/>
        <c:lblOffset val="100"/>
        <c:noMultiLvlLbl val="0"/>
      </c:catAx>
      <c:valAx>
        <c:axId val="93789663"/>
        <c:scaling>
          <c:orientation val="minMax"/>
          <c:min val="6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Toneladas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36844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SES: ajuste (treino) e previsão (teste)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 observado</c:v>
          </c:tx>
          <c:spPr>
            <a:ln w="21960">
              <a:solidFill>
                <a:srgbClr val="0B3C5D"/>
              </a:solidFill>
              <a:round/>
            </a:ln>
          </c:spPr>
          <c:marker>
            <c:symbol val="circle"/>
            <c:size val="6"/>
            <c:spPr>
              <a:solidFill>
                <a:srgbClr val="0B3C5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SES!$A$20:$A$47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SES!$E$19:$E$47</c:f>
              <c:numCache>
                <c:formatCode>#,##0.00</c:formatCode>
                <c:ptCount val="29"/>
                <c:pt idx="0" formatCode="General">
                  <c:v>0</c:v>
                </c:pt>
                <c:pt idx="1">
                  <c:v>500</c:v>
                </c:pt>
                <c:pt idx="2">
                  <c:v>350</c:v>
                </c:pt>
                <c:pt idx="3">
                  <c:v>250</c:v>
                </c:pt>
                <c:pt idx="4">
                  <c:v>400</c:v>
                </c:pt>
                <c:pt idx="5">
                  <c:v>450</c:v>
                </c:pt>
                <c:pt idx="6">
                  <c:v>350</c:v>
                </c:pt>
                <c:pt idx="7">
                  <c:v>200</c:v>
                </c:pt>
                <c:pt idx="8">
                  <c:v>300</c:v>
                </c:pt>
                <c:pt idx="9">
                  <c:v>350</c:v>
                </c:pt>
                <c:pt idx="10">
                  <c:v>200</c:v>
                </c:pt>
                <c:pt idx="11">
                  <c:v>150</c:v>
                </c:pt>
                <c:pt idx="12">
                  <c:v>400</c:v>
                </c:pt>
                <c:pt idx="13">
                  <c:v>550</c:v>
                </c:pt>
                <c:pt idx="14">
                  <c:v>350</c:v>
                </c:pt>
                <c:pt idx="15">
                  <c:v>250</c:v>
                </c:pt>
                <c:pt idx="16">
                  <c:v>550</c:v>
                </c:pt>
                <c:pt idx="17">
                  <c:v>550</c:v>
                </c:pt>
                <c:pt idx="18">
                  <c:v>400</c:v>
                </c:pt>
                <c:pt idx="19">
                  <c:v>350</c:v>
                </c:pt>
                <c:pt idx="20">
                  <c:v>600</c:v>
                </c:pt>
                <c:pt idx="21">
                  <c:v>750</c:v>
                </c:pt>
                <c:pt idx="22">
                  <c:v>500</c:v>
                </c:pt>
                <c:pt idx="23">
                  <c:v>400</c:v>
                </c:pt>
                <c:pt idx="24">
                  <c:v>650</c:v>
                </c:pt>
                <c:pt idx="25">
                  <c:v>850</c:v>
                </c:pt>
                <c:pt idx="26">
                  <c:v>600</c:v>
                </c:pt>
                <c:pt idx="27">
                  <c:v>450</c:v>
                </c:pt>
                <c:pt idx="28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12-4C8C-BFC7-B08288D2D5CD}"/>
            </c:ext>
          </c:extLst>
        </c:ser>
        <c:ser>
          <c:idx val="1"/>
          <c:order val="1"/>
          <c:tx>
            <c:v>Ŷ 1 passo (rolling)</c:v>
          </c:tx>
          <c:spPr>
            <a:ln w="2196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SES!$A$20:$A$47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SES!$G$19:$G$47</c:f>
              <c:numCache>
                <c:formatCode>#,##0.00</c:formatCode>
                <c:ptCount val="29"/>
                <c:pt idx="0" formatCode="General">
                  <c:v>0</c:v>
                </c:pt>
                <c:pt idx="2">
                  <c:v>500</c:v>
                </c:pt>
                <c:pt idx="3">
                  <c:v>449.68914297647018</c:v>
                </c:pt>
                <c:pt idx="4">
                  <c:v>382.71226350020089</c:v>
                </c:pt>
                <c:pt idx="5">
                  <c:v>388.51066909554652</c:v>
                </c:pt>
                <c:pt idx="6">
                  <c:v>409.13454199958971</c:v>
                </c:pt>
                <c:pt idx="7">
                  <c:v>389.3004787483012</c:v>
                </c:pt>
                <c:pt idx="8">
                  <c:v>325.80801660969098</c:v>
                </c:pt>
                <c:pt idx="9">
                  <c:v>317.15186038495068</c:v>
                </c:pt>
                <c:pt idx="10">
                  <c:v>328.16931408936199</c:v>
                </c:pt>
                <c:pt idx="11">
                  <c:v>285.18059384967012</c:v>
                </c:pt>
                <c:pt idx="12">
                  <c:v>239.84025031949272</c:v>
                </c:pt>
                <c:pt idx="13">
                  <c:v>293.55874543349489</c:v>
                </c:pt>
                <c:pt idx="14">
                  <c:v>379.57060738969528</c:v>
                </c:pt>
                <c:pt idx="15">
                  <c:v>369.65245671981597</c:v>
                </c:pt>
                <c:pt idx="16">
                  <c:v>329.52033910285093</c:v>
                </c:pt>
                <c:pt idx="17">
                  <c:v>403.47047707613632</c:v>
                </c:pt>
                <c:pt idx="18">
                  <c:v>452.61731625979326</c:v>
                </c:pt>
                <c:pt idx="19">
                  <c:v>434.96916775773786</c:v>
                </c:pt>
                <c:pt idx="20">
                  <c:v>406.47002342128542</c:v>
                </c:pt>
                <c:pt idx="21">
                  <c:v>471.38108329741067</c:v>
                </c:pt>
                <c:pt idx="22">
                  <c:v>564.83145984590897</c:v>
                </c:pt>
                <c:pt idx="23">
                  <c:v>543.08661779968065</c:v>
                </c:pt>
                <c:pt idx="24">
                  <c:v>495.09454866567938</c:v>
                </c:pt>
                <c:pt idx="25">
                  <c:v>547.0507220939885</c:v>
                </c:pt>
                <c:pt idx="26">
                  <c:v>648.66164080139492</c:v>
                </c:pt>
                <c:pt idx="27">
                  <c:v>632.34024844879923</c:v>
                </c:pt>
                <c:pt idx="28">
                  <c:v>571.18228731984959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12-4C8C-BFC7-B08288D2D5CD}"/>
            </c:ext>
          </c:extLst>
        </c:ser>
        <c:ser>
          <c:idx val="2"/>
          <c:order val="2"/>
          <c:tx>
            <c:v>Ŷ origem fixa</c:v>
          </c:tx>
          <c:spPr>
            <a:ln w="21960">
              <a:solidFill>
                <a:srgbClr val="00798C"/>
              </a:solidFill>
              <a:prstDash val="dash"/>
              <a:round/>
            </a:ln>
          </c:spPr>
          <c:marker>
            <c:symbol val="square"/>
            <c:size val="6"/>
            <c:spPr>
              <a:solidFill>
                <a:srgbClr val="00798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SES!$A$20:$A$47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SES!$M$19:$M$47</c:f>
              <c:numCache>
                <c:formatCode>#,##0.00</c:formatCode>
                <c:ptCount val="29"/>
                <c:pt idx="0" formatCode="General">
                  <c:v>0</c:v>
                </c:pt>
                <c:pt idx="25">
                  <c:v>547.0507220939885</c:v>
                </c:pt>
                <c:pt idx="26">
                  <c:v>547.0507220939885</c:v>
                </c:pt>
                <c:pt idx="27">
                  <c:v>547.0507220939885</c:v>
                </c:pt>
                <c:pt idx="28">
                  <c:v>547.0507220939885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12-4C8C-BFC7-B08288D2D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0032660"/>
        <c:axId val="85855751"/>
      </c:lineChart>
      <c:catAx>
        <c:axId val="800326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Trimestre (t)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5855751"/>
        <c:crosses val="autoZero"/>
        <c:auto val="1"/>
        <c:lblAlgn val="ctr"/>
        <c:lblOffset val="100"/>
        <c:noMultiLvlLbl val="0"/>
      </c:catAx>
      <c:valAx>
        <c:axId val="858557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Demanda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00326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MSE de ajuste (treino) × 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MSE treino</c:v>
          </c:tx>
          <c:spPr>
            <a:ln w="47520">
              <a:solidFill>
                <a:srgbClr val="D1495B"/>
              </a:solidFill>
              <a:round/>
            </a:ln>
          </c:spPr>
          <c:marker>
            <c:symbol val="circle"/>
            <c:size val="6"/>
            <c:spPr>
              <a:solidFill>
                <a:srgbClr val="D1495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SES_varredura!$C$4:$U$4</c:f>
              <c:numCache>
                <c:formatCode>0.00</c:formatCode>
                <c:ptCount val="19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</c:numCache>
            </c:numRef>
          </c:xVal>
          <c:yVal>
            <c:numRef>
              <c:f>SES_varredura!$C$5:$U$5</c:f>
              <c:numCache>
                <c:formatCode>#,##0</c:formatCode>
                <c:ptCount val="19"/>
                <c:pt idx="0">
                  <c:v>27233.615619857301</c:v>
                </c:pt>
                <c:pt idx="1">
                  <c:v>25316.573084462136</c:v>
                </c:pt>
                <c:pt idx="2">
                  <c:v>23715.501113214439</c:v>
                </c:pt>
                <c:pt idx="3">
                  <c:v>22539.24307568929</c:v>
                </c:pt>
                <c:pt idx="4">
                  <c:v>21819.720455036517</c:v>
                </c:pt>
                <c:pt idx="5">
                  <c:v>21481.405908014145</c:v>
                </c:pt>
                <c:pt idx="6">
                  <c:v>21429.427278163512</c:v>
                </c:pt>
                <c:pt idx="7">
                  <c:v>21582.880332174413</c:v>
                </c:pt>
                <c:pt idx="8">
                  <c:v>21879.734286898569</c:v>
                </c:pt>
                <c:pt idx="9">
                  <c:v>22273.392537438096</c:v>
                </c:pt>
                <c:pt idx="10">
                  <c:v>22728.188135218108</c:v>
                </c:pt>
                <c:pt idx="11">
                  <c:v>23215.735887798528</c:v>
                </c:pt>
                <c:pt idx="12">
                  <c:v>23712.383252889318</c:v>
                </c:pt>
                <c:pt idx="13">
                  <c:v>24197.592392829425</c:v>
                </c:pt>
                <c:pt idx="14">
                  <c:v>24653.03875356328</c:v>
                </c:pt>
                <c:pt idx="15">
                  <c:v>25062.242148462323</c:v>
                </c:pt>
                <c:pt idx="16">
                  <c:v>25410.578436206328</c:v>
                </c:pt>
                <c:pt idx="17">
                  <c:v>25685.540294000832</c:v>
                </c:pt>
                <c:pt idx="18">
                  <c:v>25877.127864018177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1C-4263-BB2B-BE72527EC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65479"/>
        <c:axId val="30743331"/>
      </c:scatterChart>
      <c:valAx>
        <c:axId val="39365479"/>
        <c:scaling>
          <c:orientation val="minMax"/>
          <c:max val="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0743331"/>
        <c:crosses val="autoZero"/>
        <c:crossBetween val="midCat"/>
      </c:valAx>
      <c:valAx>
        <c:axId val="30743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MSE treino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936547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α = 0,1 </a:t>
            </a: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filtra ruído; 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α = 0,9 </a:t>
            </a: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acompanha a mudança de patamar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 observado</c:v>
          </c:tx>
          <c:spPr>
            <a:ln w="21960">
              <a:solidFill>
                <a:srgbClr val="0B3C5D"/>
              </a:solidFill>
              <a:round/>
            </a:ln>
          </c:spPr>
          <c:marker>
            <c:symbol val="circle"/>
            <c:size val="6"/>
            <c:spPr>
              <a:solidFill>
                <a:srgbClr val="0B3C5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SES_alfa!$A$31:$A$90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SES_alfa!$B$30:$B$90</c:f>
              <c:numCache>
                <c:formatCode>0</c:formatCode>
                <c:ptCount val="61"/>
                <c:pt idx="0" formatCode="General">
                  <c:v>0</c:v>
                </c:pt>
                <c:pt idx="1">
                  <c:v>113</c:v>
                </c:pt>
                <c:pt idx="2">
                  <c:v>96</c:v>
                </c:pt>
                <c:pt idx="3">
                  <c:v>105</c:v>
                </c:pt>
                <c:pt idx="4">
                  <c:v>105</c:v>
                </c:pt>
                <c:pt idx="5">
                  <c:v>84</c:v>
                </c:pt>
                <c:pt idx="6">
                  <c:v>110</c:v>
                </c:pt>
                <c:pt idx="7">
                  <c:v>75</c:v>
                </c:pt>
                <c:pt idx="8">
                  <c:v>113</c:v>
                </c:pt>
                <c:pt idx="9">
                  <c:v>100</c:v>
                </c:pt>
                <c:pt idx="10">
                  <c:v>108</c:v>
                </c:pt>
                <c:pt idx="11">
                  <c:v>89</c:v>
                </c:pt>
                <c:pt idx="12">
                  <c:v>117</c:v>
                </c:pt>
                <c:pt idx="13">
                  <c:v>93</c:v>
                </c:pt>
                <c:pt idx="14">
                  <c:v>87</c:v>
                </c:pt>
                <c:pt idx="15">
                  <c:v>108</c:v>
                </c:pt>
                <c:pt idx="16">
                  <c:v>102</c:v>
                </c:pt>
                <c:pt idx="17">
                  <c:v>112</c:v>
                </c:pt>
                <c:pt idx="18">
                  <c:v>111</c:v>
                </c:pt>
                <c:pt idx="19">
                  <c:v>97</c:v>
                </c:pt>
                <c:pt idx="20">
                  <c:v>120</c:v>
                </c:pt>
                <c:pt idx="21">
                  <c:v>108</c:v>
                </c:pt>
                <c:pt idx="22">
                  <c:v>112</c:v>
                </c:pt>
                <c:pt idx="23">
                  <c:v>92</c:v>
                </c:pt>
                <c:pt idx="24">
                  <c:v>96</c:v>
                </c:pt>
                <c:pt idx="25">
                  <c:v>140</c:v>
                </c:pt>
                <c:pt idx="26">
                  <c:v>112</c:v>
                </c:pt>
                <c:pt idx="27">
                  <c:v>100</c:v>
                </c:pt>
                <c:pt idx="28">
                  <c:v>110</c:v>
                </c:pt>
                <c:pt idx="29">
                  <c:v>110</c:v>
                </c:pt>
                <c:pt idx="30">
                  <c:v>87</c:v>
                </c:pt>
                <c:pt idx="31">
                  <c:v>93</c:v>
                </c:pt>
                <c:pt idx="32">
                  <c:v>101</c:v>
                </c:pt>
                <c:pt idx="33">
                  <c:v>121</c:v>
                </c:pt>
                <c:pt idx="34">
                  <c:v>83</c:v>
                </c:pt>
                <c:pt idx="35">
                  <c:v>100</c:v>
                </c:pt>
                <c:pt idx="36">
                  <c:v>93</c:v>
                </c:pt>
                <c:pt idx="37">
                  <c:v>97</c:v>
                </c:pt>
                <c:pt idx="38">
                  <c:v>86</c:v>
                </c:pt>
                <c:pt idx="39">
                  <c:v>110</c:v>
                </c:pt>
                <c:pt idx="40">
                  <c:v>94</c:v>
                </c:pt>
                <c:pt idx="41">
                  <c:v>132</c:v>
                </c:pt>
                <c:pt idx="42">
                  <c:v>150</c:v>
                </c:pt>
                <c:pt idx="43">
                  <c:v>148</c:v>
                </c:pt>
                <c:pt idx="44">
                  <c:v>138</c:v>
                </c:pt>
                <c:pt idx="45">
                  <c:v>130</c:v>
                </c:pt>
                <c:pt idx="46">
                  <c:v>141</c:v>
                </c:pt>
                <c:pt idx="47">
                  <c:v>141</c:v>
                </c:pt>
                <c:pt idx="48">
                  <c:v>154</c:v>
                </c:pt>
                <c:pt idx="49">
                  <c:v>133</c:v>
                </c:pt>
                <c:pt idx="50">
                  <c:v>129</c:v>
                </c:pt>
                <c:pt idx="51">
                  <c:v>148</c:v>
                </c:pt>
                <c:pt idx="52">
                  <c:v>138</c:v>
                </c:pt>
                <c:pt idx="53">
                  <c:v>133</c:v>
                </c:pt>
                <c:pt idx="54">
                  <c:v>135</c:v>
                </c:pt>
                <c:pt idx="55">
                  <c:v>127</c:v>
                </c:pt>
                <c:pt idx="56">
                  <c:v>152</c:v>
                </c:pt>
                <c:pt idx="57">
                  <c:v>137</c:v>
                </c:pt>
                <c:pt idx="58">
                  <c:v>132</c:v>
                </c:pt>
                <c:pt idx="59">
                  <c:v>154</c:v>
                </c:pt>
                <c:pt idx="60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40-4059-98BB-66C82AD28F29}"/>
            </c:ext>
          </c:extLst>
        </c:ser>
        <c:ser>
          <c:idx val="1"/>
          <c:order val="1"/>
          <c:tx>
            <c:v>Previsão α₁</c:v>
          </c:tx>
          <c:spPr>
            <a:ln w="2196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SES_alfa!$A$31:$A$90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SES_alfa!$F$30:$F$90</c:f>
              <c:numCache>
                <c:formatCode>#,##0.0</c:formatCode>
                <c:ptCount val="61"/>
                <c:pt idx="0" formatCode="General">
                  <c:v>0</c:v>
                </c:pt>
                <c:pt idx="2">
                  <c:v>113</c:v>
                </c:pt>
                <c:pt idx="3">
                  <c:v>111.30000000000001</c:v>
                </c:pt>
                <c:pt idx="4">
                  <c:v>110.67000000000002</c:v>
                </c:pt>
                <c:pt idx="5">
                  <c:v>110.10300000000002</c:v>
                </c:pt>
                <c:pt idx="6">
                  <c:v>107.49270000000003</c:v>
                </c:pt>
                <c:pt idx="7">
                  <c:v>107.74343000000003</c:v>
                </c:pt>
                <c:pt idx="8">
                  <c:v>104.46908700000003</c:v>
                </c:pt>
                <c:pt idx="9">
                  <c:v>105.32217830000003</c:v>
                </c:pt>
                <c:pt idx="10">
                  <c:v>104.78996047000003</c:v>
                </c:pt>
                <c:pt idx="11">
                  <c:v>105.11096442300003</c:v>
                </c:pt>
                <c:pt idx="12">
                  <c:v>103.49986798070003</c:v>
                </c:pt>
                <c:pt idx="13">
                  <c:v>104.84988118263003</c:v>
                </c:pt>
                <c:pt idx="14">
                  <c:v>103.66489306436702</c:v>
                </c:pt>
                <c:pt idx="15">
                  <c:v>101.99840375793032</c:v>
                </c:pt>
                <c:pt idx="16">
                  <c:v>102.59856338213729</c:v>
                </c:pt>
                <c:pt idx="17">
                  <c:v>102.53870704392357</c:v>
                </c:pt>
                <c:pt idx="18">
                  <c:v>103.48483633953121</c:v>
                </c:pt>
                <c:pt idx="19">
                  <c:v>104.2363527055781</c:v>
                </c:pt>
                <c:pt idx="20">
                  <c:v>103.51271743502029</c:v>
                </c:pt>
                <c:pt idx="21">
                  <c:v>105.16144569151827</c:v>
                </c:pt>
                <c:pt idx="22">
                  <c:v>105.44530112236644</c:v>
                </c:pt>
                <c:pt idx="23">
                  <c:v>106.1007710101298</c:v>
                </c:pt>
                <c:pt idx="24">
                  <c:v>104.69069390911683</c:v>
                </c:pt>
                <c:pt idx="25">
                  <c:v>103.82162451820514</c:v>
                </c:pt>
                <c:pt idx="26">
                  <c:v>107.43946206638464</c:v>
                </c:pt>
                <c:pt idx="27">
                  <c:v>107.89551585974618</c:v>
                </c:pt>
                <c:pt idx="28">
                  <c:v>107.10596427377156</c:v>
                </c:pt>
                <c:pt idx="29">
                  <c:v>107.39536784639441</c:v>
                </c:pt>
                <c:pt idx="30">
                  <c:v>107.65583106175497</c:v>
                </c:pt>
                <c:pt idx="31">
                  <c:v>105.59024795557947</c:v>
                </c:pt>
                <c:pt idx="32">
                  <c:v>104.33122316002152</c:v>
                </c:pt>
                <c:pt idx="33">
                  <c:v>103.99810084401938</c:v>
                </c:pt>
                <c:pt idx="34">
                  <c:v>105.69829075961744</c:v>
                </c:pt>
                <c:pt idx="35">
                  <c:v>103.4284616836557</c:v>
                </c:pt>
                <c:pt idx="36">
                  <c:v>103.08561551529013</c:v>
                </c:pt>
                <c:pt idx="37">
                  <c:v>102.07705396376112</c:v>
                </c:pt>
                <c:pt idx="38">
                  <c:v>101.56934856738501</c:v>
                </c:pt>
                <c:pt idx="39">
                  <c:v>100.0124137106465</c:v>
                </c:pt>
                <c:pt idx="40">
                  <c:v>101.01117233958185</c:v>
                </c:pt>
                <c:pt idx="41">
                  <c:v>100.31005510562368</c:v>
                </c:pt>
                <c:pt idx="42">
                  <c:v>103.47904959506131</c:v>
                </c:pt>
                <c:pt idx="43">
                  <c:v>108.13114463555519</c:v>
                </c:pt>
                <c:pt idx="44">
                  <c:v>112.11803017199966</c:v>
                </c:pt>
                <c:pt idx="45">
                  <c:v>114.70622715479969</c:v>
                </c:pt>
                <c:pt idx="46">
                  <c:v>116.23560443931973</c:v>
                </c:pt>
                <c:pt idx="47">
                  <c:v>118.71204399538777</c:v>
                </c:pt>
                <c:pt idx="48">
                  <c:v>120.94083959584901</c:v>
                </c:pt>
                <c:pt idx="49">
                  <c:v>124.24675563626413</c:v>
                </c:pt>
                <c:pt idx="50">
                  <c:v>125.12208007263771</c:v>
                </c:pt>
                <c:pt idx="51">
                  <c:v>125.50987206537395</c:v>
                </c:pt>
                <c:pt idx="52">
                  <c:v>127.75888485883655</c:v>
                </c:pt>
                <c:pt idx="53">
                  <c:v>128.78299637295291</c:v>
                </c:pt>
                <c:pt idx="54">
                  <c:v>129.20469673565762</c:v>
                </c:pt>
                <c:pt idx="55">
                  <c:v>129.78422706209187</c:v>
                </c:pt>
                <c:pt idx="56">
                  <c:v>129.50580435588267</c:v>
                </c:pt>
                <c:pt idx="57">
                  <c:v>131.75522392029441</c:v>
                </c:pt>
                <c:pt idx="58">
                  <c:v>132.27970152826498</c:v>
                </c:pt>
                <c:pt idx="59">
                  <c:v>132.25173137543848</c:v>
                </c:pt>
                <c:pt idx="60">
                  <c:v>134.42655823789462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40-4059-98BB-66C82AD28F29}"/>
            </c:ext>
          </c:extLst>
        </c:ser>
        <c:ser>
          <c:idx val="2"/>
          <c:order val="2"/>
          <c:tx>
            <c:v>Previsão α₂</c:v>
          </c:tx>
          <c:spPr>
            <a:ln w="21960">
              <a:solidFill>
                <a:srgbClr val="007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SES_alfa!$A$31:$A$90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SES_alfa!$I$30:$I$90</c:f>
              <c:numCache>
                <c:formatCode>#,##0.0</c:formatCode>
                <c:ptCount val="61"/>
                <c:pt idx="0" formatCode="General">
                  <c:v>0</c:v>
                </c:pt>
                <c:pt idx="2">
                  <c:v>113</c:v>
                </c:pt>
                <c:pt idx="3">
                  <c:v>97.7</c:v>
                </c:pt>
                <c:pt idx="4">
                  <c:v>104.27</c:v>
                </c:pt>
                <c:pt idx="5">
                  <c:v>104.92699999999999</c:v>
                </c:pt>
                <c:pt idx="6">
                  <c:v>86.092700000000008</c:v>
                </c:pt>
                <c:pt idx="7">
                  <c:v>107.60927</c:v>
                </c:pt>
                <c:pt idx="8">
                  <c:v>78.260926999999995</c:v>
                </c:pt>
                <c:pt idx="9">
                  <c:v>109.52609270000001</c:v>
                </c:pt>
                <c:pt idx="10">
                  <c:v>100.95260927</c:v>
                </c:pt>
                <c:pt idx="11">
                  <c:v>107.295260927</c:v>
                </c:pt>
                <c:pt idx="12">
                  <c:v>90.829526092700007</c:v>
                </c:pt>
                <c:pt idx="13">
                  <c:v>114.38295260926999</c:v>
                </c:pt>
                <c:pt idx="14">
                  <c:v>95.138295260926995</c:v>
                </c:pt>
                <c:pt idx="15">
                  <c:v>87.81382952609269</c:v>
                </c:pt>
                <c:pt idx="16">
                  <c:v>105.98138295260927</c:v>
                </c:pt>
                <c:pt idx="17">
                  <c:v>102.39813829526092</c:v>
                </c:pt>
                <c:pt idx="18">
                  <c:v>111.03981382952608</c:v>
                </c:pt>
                <c:pt idx="19">
                  <c:v>111.00398138295262</c:v>
                </c:pt>
                <c:pt idx="20">
                  <c:v>98.400398138295259</c:v>
                </c:pt>
                <c:pt idx="21">
                  <c:v>117.84003981382952</c:v>
                </c:pt>
                <c:pt idx="22">
                  <c:v>108.98400398138295</c:v>
                </c:pt>
                <c:pt idx="23">
                  <c:v>111.69840039813829</c:v>
                </c:pt>
                <c:pt idx="24">
                  <c:v>93.969840039813818</c:v>
                </c:pt>
                <c:pt idx="25">
                  <c:v>95.796984003981379</c:v>
                </c:pt>
                <c:pt idx="26">
                  <c:v>135.57969840039814</c:v>
                </c:pt>
                <c:pt idx="27">
                  <c:v>114.35796984003981</c:v>
                </c:pt>
                <c:pt idx="28">
                  <c:v>101.43579698400399</c:v>
                </c:pt>
                <c:pt idx="29">
                  <c:v>109.1435796984004</c:v>
                </c:pt>
                <c:pt idx="30">
                  <c:v>109.91435796984004</c:v>
                </c:pt>
                <c:pt idx="31">
                  <c:v>89.291435796984004</c:v>
                </c:pt>
                <c:pt idx="32">
                  <c:v>92.629143579698393</c:v>
                </c:pt>
                <c:pt idx="33">
                  <c:v>100.16291435796984</c:v>
                </c:pt>
                <c:pt idx="34">
                  <c:v>118.91629143579699</c:v>
                </c:pt>
                <c:pt idx="35">
                  <c:v>86.591629143579695</c:v>
                </c:pt>
                <c:pt idx="36">
                  <c:v>98.659162914357964</c:v>
                </c:pt>
                <c:pt idx="37">
                  <c:v>93.565916291435798</c:v>
                </c:pt>
                <c:pt idx="38">
                  <c:v>96.656591629143577</c:v>
                </c:pt>
                <c:pt idx="39">
                  <c:v>87.065659162914358</c:v>
                </c:pt>
                <c:pt idx="40">
                  <c:v>107.70656591629144</c:v>
                </c:pt>
                <c:pt idx="41">
                  <c:v>95.370656591629142</c:v>
                </c:pt>
                <c:pt idx="42">
                  <c:v>128.3370656591629</c:v>
                </c:pt>
                <c:pt idx="43">
                  <c:v>147.83370656591629</c:v>
                </c:pt>
                <c:pt idx="44">
                  <c:v>147.98337065659163</c:v>
                </c:pt>
                <c:pt idx="45">
                  <c:v>138.99833706565917</c:v>
                </c:pt>
                <c:pt idx="46">
                  <c:v>130.89983370656591</c:v>
                </c:pt>
                <c:pt idx="47">
                  <c:v>139.9899833706566</c:v>
                </c:pt>
                <c:pt idx="48">
                  <c:v>140.89899833706568</c:v>
                </c:pt>
                <c:pt idx="49">
                  <c:v>152.68989983370656</c:v>
                </c:pt>
                <c:pt idx="50">
                  <c:v>134.96898998337065</c:v>
                </c:pt>
                <c:pt idx="51">
                  <c:v>129.59689899833708</c:v>
                </c:pt>
                <c:pt idx="52">
                  <c:v>146.15968989983372</c:v>
                </c:pt>
                <c:pt idx="53">
                  <c:v>138.81596898998336</c:v>
                </c:pt>
                <c:pt idx="54">
                  <c:v>133.58159689899833</c:v>
                </c:pt>
                <c:pt idx="55">
                  <c:v>134.85815968989982</c:v>
                </c:pt>
                <c:pt idx="56">
                  <c:v>127.78581596898998</c:v>
                </c:pt>
                <c:pt idx="57">
                  <c:v>149.578581596899</c:v>
                </c:pt>
                <c:pt idx="58">
                  <c:v>138.2578581596899</c:v>
                </c:pt>
                <c:pt idx="59">
                  <c:v>132.62578581596898</c:v>
                </c:pt>
                <c:pt idx="60">
                  <c:v>151.86257858159689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40-4059-98BB-66C82AD28F29}"/>
            </c:ext>
          </c:extLst>
        </c:ser>
        <c:ser>
          <c:idx val="3"/>
          <c:order val="3"/>
          <c:tx>
            <c:v>Nível verdadeiro</c:v>
          </c:tx>
          <c:spPr>
            <a:ln w="21960">
              <a:solidFill>
                <a:srgbClr val="EDAE49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SES_alfa!$A$31:$A$90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SES_alfa!$C$30:$C$90</c:f>
              <c:numCache>
                <c:formatCode>#,##0.0</c:formatCode>
                <c:ptCount val="61"/>
                <c:pt idx="0" formatCode="General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140</c:v>
                </c:pt>
                <c:pt idx="42">
                  <c:v>140</c:v>
                </c:pt>
                <c:pt idx="43">
                  <c:v>140</c:v>
                </c:pt>
                <c:pt idx="44">
                  <c:v>140</c:v>
                </c:pt>
                <c:pt idx="45">
                  <c:v>140</c:v>
                </c:pt>
                <c:pt idx="46">
                  <c:v>140</c:v>
                </c:pt>
                <c:pt idx="47">
                  <c:v>140</c:v>
                </c:pt>
                <c:pt idx="48">
                  <c:v>140</c:v>
                </c:pt>
                <c:pt idx="49">
                  <c:v>140</c:v>
                </c:pt>
                <c:pt idx="50">
                  <c:v>140</c:v>
                </c:pt>
                <c:pt idx="51">
                  <c:v>140</c:v>
                </c:pt>
                <c:pt idx="52">
                  <c:v>140</c:v>
                </c:pt>
                <c:pt idx="53">
                  <c:v>140</c:v>
                </c:pt>
                <c:pt idx="54">
                  <c:v>140</c:v>
                </c:pt>
                <c:pt idx="55">
                  <c:v>140</c:v>
                </c:pt>
                <c:pt idx="56">
                  <c:v>140</c:v>
                </c:pt>
                <c:pt idx="57">
                  <c:v>140</c:v>
                </c:pt>
                <c:pt idx="58">
                  <c:v>140</c:v>
                </c:pt>
                <c:pt idx="59">
                  <c:v>140</c:v>
                </c:pt>
                <c:pt idx="60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40-4059-98BB-66C82AD28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621487"/>
        <c:axId val="70628043"/>
      </c:lineChart>
      <c:catAx>
        <c:axId val="216214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0628043"/>
        <c:crosses val="autoZero"/>
        <c:auto val="1"/>
        <c:lblAlgn val="ctr"/>
        <c:lblOffset val="100"/>
        <c:noMultiLvlLbl val="0"/>
      </c:catAx>
      <c:valAx>
        <c:axId val="70628043"/>
        <c:scaling>
          <c:orientation val="minMax"/>
          <c:min val="6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16214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Peso de cada observação passada: 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α(1−α)^</a:t>
            </a: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SES_alfa!$AE$4</c:f>
              <c:strCache>
                <c:ptCount val="1"/>
                <c:pt idx="0">
                  <c:v>peso α₁</c:v>
                </c:pt>
              </c:strCache>
            </c:strRef>
          </c:tx>
          <c:spPr>
            <a:solidFill>
              <a:srgbClr val="0B3C5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SES_alfa!$AD$5:$AD$20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SES_alfa!$AE$5:$AE$20</c:f>
              <c:numCache>
                <c:formatCode>0.000</c:formatCode>
                <c:ptCount val="16"/>
                <c:pt idx="0">
                  <c:v>0.1</c:v>
                </c:pt>
                <c:pt idx="1">
                  <c:v>9.0000000000000011E-2</c:v>
                </c:pt>
                <c:pt idx="2">
                  <c:v>8.1000000000000016E-2</c:v>
                </c:pt>
                <c:pt idx="3">
                  <c:v>7.2900000000000006E-2</c:v>
                </c:pt>
                <c:pt idx="4">
                  <c:v>6.5610000000000016E-2</c:v>
                </c:pt>
                <c:pt idx="5">
                  <c:v>5.9049000000000018E-2</c:v>
                </c:pt>
                <c:pt idx="6">
                  <c:v>5.314410000000002E-2</c:v>
                </c:pt>
                <c:pt idx="7">
                  <c:v>4.7829690000000015E-2</c:v>
                </c:pt>
                <c:pt idx="8">
                  <c:v>4.3046721000000017E-2</c:v>
                </c:pt>
                <c:pt idx="9">
                  <c:v>3.874204890000002E-2</c:v>
                </c:pt>
                <c:pt idx="10">
                  <c:v>3.4867844010000017E-2</c:v>
                </c:pt>
                <c:pt idx="11">
                  <c:v>3.138105960900002E-2</c:v>
                </c:pt>
                <c:pt idx="12">
                  <c:v>2.8242953648100019E-2</c:v>
                </c:pt>
                <c:pt idx="13">
                  <c:v>2.541865828329002E-2</c:v>
                </c:pt>
                <c:pt idx="14">
                  <c:v>2.2876792454961017E-2</c:v>
                </c:pt>
                <c:pt idx="15">
                  <c:v>2.0589113209464913E-2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7-4569-8B34-EB18FF55F7C5}"/>
            </c:ext>
          </c:extLst>
        </c:ser>
        <c:ser>
          <c:idx val="1"/>
          <c:order val="1"/>
          <c:tx>
            <c:strRef>
              <c:f>SES_alfa!$AF$4</c:f>
              <c:strCache>
                <c:ptCount val="1"/>
                <c:pt idx="0">
                  <c:v>peso α₂</c:v>
                </c:pt>
              </c:strCache>
            </c:strRef>
          </c:tx>
          <c:spPr>
            <a:solidFill>
              <a:srgbClr val="D1495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SES_alfa!$AD$5:$AD$20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SES_alfa!$AF$5:$AF$20</c:f>
              <c:numCache>
                <c:formatCode>0.000</c:formatCode>
                <c:ptCount val="16"/>
                <c:pt idx="0">
                  <c:v>0.9</c:v>
                </c:pt>
                <c:pt idx="1">
                  <c:v>8.9999999999999983E-2</c:v>
                </c:pt>
                <c:pt idx="2">
                  <c:v>8.9999999999999959E-3</c:v>
                </c:pt>
                <c:pt idx="3">
                  <c:v>8.9999999999999943E-4</c:v>
                </c:pt>
                <c:pt idx="4">
                  <c:v>8.9999999999999911E-5</c:v>
                </c:pt>
                <c:pt idx="5">
                  <c:v>8.9999999999999884E-6</c:v>
                </c:pt>
                <c:pt idx="6">
                  <c:v>8.9999999999999869E-7</c:v>
                </c:pt>
                <c:pt idx="7">
                  <c:v>8.9999999999999853E-8</c:v>
                </c:pt>
                <c:pt idx="8">
                  <c:v>8.9999999999999813E-9</c:v>
                </c:pt>
                <c:pt idx="9">
                  <c:v>8.9999999999999782E-10</c:v>
                </c:pt>
                <c:pt idx="10">
                  <c:v>8.9999999999999767E-11</c:v>
                </c:pt>
                <c:pt idx="11">
                  <c:v>8.9999999999999754E-12</c:v>
                </c:pt>
                <c:pt idx="12">
                  <c:v>8.9999999999999707E-13</c:v>
                </c:pt>
                <c:pt idx="13">
                  <c:v>8.9999999999999692E-14</c:v>
                </c:pt>
                <c:pt idx="14">
                  <c:v>8.999999999999968E-15</c:v>
                </c:pt>
                <c:pt idx="15">
                  <c:v>8.9999999999999668E-16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D7-4569-8B34-EB18FF55F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71198"/>
        <c:axId val="92657344"/>
      </c:barChart>
      <c:catAx>
        <c:axId val="910711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2657344"/>
        <c:crosses val="autoZero"/>
        <c:auto val="1"/>
        <c:lblAlgn val="ctr"/>
        <c:lblOffset val="100"/>
        <c:noMultiLvlLbl val="0"/>
      </c:catAx>
      <c:valAx>
        <c:axId val="926573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peso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10711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Método de Holt: ajuste e previsão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 observado</c:v>
          </c:tx>
          <c:spPr>
            <a:ln w="21960">
              <a:solidFill>
                <a:srgbClr val="0B3C5D"/>
              </a:solidFill>
              <a:round/>
            </a:ln>
          </c:spPr>
          <c:marker>
            <c:symbol val="circle"/>
            <c:size val="6"/>
            <c:spPr>
              <a:solidFill>
                <a:srgbClr val="0B3C5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Holt_Aco!$A$20:$A$34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Holt_Aco!$D$19:$D$34</c:f>
              <c:numCache>
                <c:formatCode>#,##0.00</c:formatCode>
                <c:ptCount val="16"/>
                <c:pt idx="0" formatCode="General">
                  <c:v>0</c:v>
                </c:pt>
                <c:pt idx="1">
                  <c:v>654</c:v>
                </c:pt>
                <c:pt idx="2">
                  <c:v>658</c:v>
                </c:pt>
                <c:pt idx="3">
                  <c:v>665</c:v>
                </c:pt>
                <c:pt idx="4">
                  <c:v>672</c:v>
                </c:pt>
                <c:pt idx="5">
                  <c:v>673</c:v>
                </c:pt>
                <c:pt idx="6">
                  <c:v>671</c:v>
                </c:pt>
                <c:pt idx="7">
                  <c:v>693</c:v>
                </c:pt>
                <c:pt idx="8">
                  <c:v>694</c:v>
                </c:pt>
                <c:pt idx="9">
                  <c:v>701</c:v>
                </c:pt>
                <c:pt idx="10">
                  <c:v>703</c:v>
                </c:pt>
                <c:pt idx="11">
                  <c:v>702</c:v>
                </c:pt>
                <c:pt idx="12">
                  <c:v>710</c:v>
                </c:pt>
                <c:pt idx="13">
                  <c:v>712</c:v>
                </c:pt>
                <c:pt idx="14">
                  <c:v>711</c:v>
                </c:pt>
                <c:pt idx="15">
                  <c:v>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F-468B-9EA1-A01DFE0418F7}"/>
            </c:ext>
          </c:extLst>
        </c:ser>
        <c:ser>
          <c:idx val="1"/>
          <c:order val="1"/>
          <c:tx>
            <c:v>Ŷ 1 passo (rolling)</c:v>
          </c:tx>
          <c:spPr>
            <a:ln w="2196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Holt_Aco!$A$20:$A$34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Holt_Aco!$G$19:$G$34</c:f>
              <c:numCache>
                <c:formatCode>#,##0.00</c:formatCode>
                <c:ptCount val="16"/>
                <c:pt idx="0" formatCode="General">
                  <c:v>0</c:v>
                </c:pt>
                <c:pt idx="3">
                  <c:v>662</c:v>
                </c:pt>
                <c:pt idx="4">
                  <c:v>667.05840000000001</c:v>
                </c:pt>
                <c:pt idx="5">
                  <c:v>673.02019647999998</c:v>
                </c:pt>
                <c:pt idx="6">
                  <c:v>677.59121964185601</c:v>
                </c:pt>
                <c:pt idx="7">
                  <c:v>679.84251552846513</c:v>
                </c:pt>
                <c:pt idx="8">
                  <c:v>688.58131343635148</c:v>
                </c:pt>
                <c:pt idx="9">
                  <c:v>695.54772831186335</c:v>
                </c:pt>
                <c:pt idx="10">
                  <c:v>702.92047240112834</c:v>
                </c:pt>
                <c:pt idx="11">
                  <c:v>708.79463775459681</c:v>
                </c:pt>
                <c:pt idx="12">
                  <c:v>712.24938718055955</c:v>
                </c:pt>
                <c:pt idx="13">
                  <c:v>716.813051380508</c:v>
                </c:pt>
                <c:pt idx="14">
                  <c:v>720.30849946396995</c:v>
                </c:pt>
                <c:pt idx="15">
                  <c:v>721.86756332308551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0F-468B-9EA1-A01DFE0418F7}"/>
            </c:ext>
          </c:extLst>
        </c:ser>
        <c:ser>
          <c:idx val="2"/>
          <c:order val="2"/>
          <c:tx>
            <c:v>Ŷ origem fixa</c:v>
          </c:tx>
          <c:spPr>
            <a:ln w="21960">
              <a:solidFill>
                <a:srgbClr val="00798C"/>
              </a:solidFill>
              <a:prstDash val="dash"/>
              <a:round/>
            </a:ln>
          </c:spPr>
          <c:marker>
            <c:symbol val="square"/>
            <c:size val="6"/>
            <c:spPr>
              <a:solidFill>
                <a:srgbClr val="00798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Holt_Aco!$A$20:$A$34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Holt_Aco!$M$19:$M$34</c:f>
              <c:numCache>
                <c:formatCode>#,##0.00</c:formatCode>
                <c:ptCount val="16"/>
                <c:pt idx="0" formatCode="General">
                  <c:v>0</c:v>
                </c:pt>
                <c:pt idx="12">
                  <c:v>712.24938718055955</c:v>
                </c:pt>
                <c:pt idx="13">
                  <c:v>717.60663517780938</c:v>
                </c:pt>
                <c:pt idx="14">
                  <c:v>722.96388317505921</c:v>
                </c:pt>
                <c:pt idx="15">
                  <c:v>728.32113117230892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0F-468B-9EA1-A01DFE041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5294771"/>
        <c:axId val="98801171"/>
      </c:lineChart>
      <c:catAx>
        <c:axId val="652947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8801171"/>
        <c:crosses val="autoZero"/>
        <c:auto val="1"/>
        <c:lblAlgn val="ctr"/>
        <c:lblOffset val="100"/>
        <c:noMultiLvlLbl val="0"/>
      </c:catAx>
      <c:valAx>
        <c:axId val="98801171"/>
        <c:scaling>
          <c:orientation val="minMax"/>
          <c:min val="64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52947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Método de Holt: ajuste e previsão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 observado</c:v>
          </c:tx>
          <c:spPr>
            <a:ln w="21960">
              <a:solidFill>
                <a:srgbClr val="0B3C5D"/>
              </a:solidFill>
              <a:round/>
            </a:ln>
          </c:spPr>
          <c:marker>
            <c:symbol val="circle"/>
            <c:size val="6"/>
            <c:spPr>
              <a:solidFill>
                <a:srgbClr val="0B3C5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Holt_Reparo!$A$20:$A$47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Holt_Reparo!$D$19:$D$47</c:f>
              <c:numCache>
                <c:formatCode>#,##0.00</c:formatCode>
                <c:ptCount val="29"/>
                <c:pt idx="0" formatCode="General">
                  <c:v>0</c:v>
                </c:pt>
                <c:pt idx="1">
                  <c:v>500</c:v>
                </c:pt>
                <c:pt idx="2">
                  <c:v>350</c:v>
                </c:pt>
                <c:pt idx="3">
                  <c:v>250</c:v>
                </c:pt>
                <c:pt idx="4">
                  <c:v>400</c:v>
                </c:pt>
                <c:pt idx="5">
                  <c:v>450</c:v>
                </c:pt>
                <c:pt idx="6">
                  <c:v>350</c:v>
                </c:pt>
                <c:pt idx="7">
                  <c:v>200</c:v>
                </c:pt>
                <c:pt idx="8">
                  <c:v>300</c:v>
                </c:pt>
                <c:pt idx="9">
                  <c:v>350</c:v>
                </c:pt>
                <c:pt idx="10">
                  <c:v>200</c:v>
                </c:pt>
                <c:pt idx="11">
                  <c:v>150</c:v>
                </c:pt>
                <c:pt idx="12">
                  <c:v>400</c:v>
                </c:pt>
                <c:pt idx="13">
                  <c:v>550</c:v>
                </c:pt>
                <c:pt idx="14">
                  <c:v>350</c:v>
                </c:pt>
                <c:pt idx="15">
                  <c:v>250</c:v>
                </c:pt>
                <c:pt idx="16">
                  <c:v>550</c:v>
                </c:pt>
                <c:pt idx="17">
                  <c:v>550</c:v>
                </c:pt>
                <c:pt idx="18">
                  <c:v>400</c:v>
                </c:pt>
                <c:pt idx="19">
                  <c:v>350</c:v>
                </c:pt>
                <c:pt idx="20">
                  <c:v>600</c:v>
                </c:pt>
                <c:pt idx="21">
                  <c:v>750</c:v>
                </c:pt>
                <c:pt idx="22">
                  <c:v>500</c:v>
                </c:pt>
                <c:pt idx="23">
                  <c:v>400</c:v>
                </c:pt>
                <c:pt idx="24">
                  <c:v>650</c:v>
                </c:pt>
                <c:pt idx="25">
                  <c:v>850</c:v>
                </c:pt>
                <c:pt idx="26">
                  <c:v>600</c:v>
                </c:pt>
                <c:pt idx="27">
                  <c:v>450</c:v>
                </c:pt>
                <c:pt idx="28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8-40BD-A334-36214E6167BE}"/>
            </c:ext>
          </c:extLst>
        </c:ser>
        <c:ser>
          <c:idx val="1"/>
          <c:order val="1"/>
          <c:tx>
            <c:v>Ŷ 1 passo (rolling)</c:v>
          </c:tx>
          <c:spPr>
            <a:ln w="2196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Holt_Reparo!$A$20:$A$47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Holt_Reparo!$G$19:$G$47</c:f>
              <c:numCache>
                <c:formatCode>#,##0.00</c:formatCode>
                <c:ptCount val="29"/>
                <c:pt idx="0" formatCode="General">
                  <c:v>0</c:v>
                </c:pt>
                <c:pt idx="5">
                  <c:v>362.5</c:v>
                </c:pt>
                <c:pt idx="6">
                  <c:v>376.25</c:v>
                </c:pt>
                <c:pt idx="7">
                  <c:v>361.125</c:v>
                </c:pt>
                <c:pt idx="8">
                  <c:v>303.96249999999998</c:v>
                </c:pt>
                <c:pt idx="9">
                  <c:v>284.28124999999994</c:v>
                </c:pt>
                <c:pt idx="10">
                  <c:v>285.26662499999992</c:v>
                </c:pt>
                <c:pt idx="11">
                  <c:v>244.89951249999996</c:v>
                </c:pt>
                <c:pt idx="12">
                  <c:v>196.52653624999996</c:v>
                </c:pt>
                <c:pt idx="13">
                  <c:v>231.97148212499997</c:v>
                </c:pt>
                <c:pt idx="14">
                  <c:v>313.99135206249997</c:v>
                </c:pt>
                <c:pt idx="15">
                  <c:v>330.48697209125004</c:v>
                </c:pt>
                <c:pt idx="16">
                  <c:v>314.19442498762504</c:v>
                </c:pt>
                <c:pt idx="17">
                  <c:v>387.96042368961258</c:v>
                </c:pt>
                <c:pt idx="18">
                  <c:v>453.74495728174634</c:v>
                </c:pt>
                <c:pt idx="19">
                  <c:v>464.51650537486324</c:v>
                </c:pt>
                <c:pt idx="20">
                  <c:v>453.83189160314026</c:v>
                </c:pt>
                <c:pt idx="21">
                  <c:v>514.48167164044241</c:v>
                </c:pt>
                <c:pt idx="22">
                  <c:v>610.70660417036538</c:v>
                </c:pt>
                <c:pt idx="23">
                  <c:v>617.19515664288508</c:v>
                </c:pt>
                <c:pt idx="24">
                  <c:v>585.09474712342694</c:v>
                </c:pt>
                <c:pt idx="25">
                  <c:v>624.59275106123312</c:v>
                </c:pt>
                <c:pt idx="26">
                  <c:v>716.13566899029172</c:v>
                </c:pt>
                <c:pt idx="27">
                  <c:v>718.74014647695878</c:v>
                </c:pt>
                <c:pt idx="28">
                  <c:v>668.5951405782082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98-40BD-A334-36214E6167BE}"/>
            </c:ext>
          </c:extLst>
        </c:ser>
        <c:ser>
          <c:idx val="2"/>
          <c:order val="2"/>
          <c:tx>
            <c:v>Ŷ origem fixa</c:v>
          </c:tx>
          <c:spPr>
            <a:ln w="21960">
              <a:solidFill>
                <a:srgbClr val="00798C"/>
              </a:solidFill>
              <a:prstDash val="dash"/>
              <a:round/>
            </a:ln>
          </c:spPr>
          <c:marker>
            <c:symbol val="square"/>
            <c:size val="6"/>
            <c:spPr>
              <a:solidFill>
                <a:srgbClr val="00798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Holt_Reparo!$A$20:$A$47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Holt_Reparo!$M$19:$M$47</c:f>
              <c:numCache>
                <c:formatCode>#,##0.00</c:formatCode>
                <c:ptCount val="29"/>
                <c:pt idx="0" formatCode="General">
                  <c:v>0</c:v>
                </c:pt>
                <c:pt idx="25">
                  <c:v>624.59275106123312</c:v>
                </c:pt>
                <c:pt idx="26">
                  <c:v>648.51349430866173</c:v>
                </c:pt>
                <c:pt idx="27">
                  <c:v>672.43423755609035</c:v>
                </c:pt>
                <c:pt idx="28">
                  <c:v>696.35498080351897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98-40BD-A334-36214E616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091492"/>
        <c:axId val="81728457"/>
      </c:lineChart>
      <c:catAx>
        <c:axId val="70914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1728457"/>
        <c:crosses val="autoZero"/>
        <c:auto val="1"/>
        <c:lblAlgn val="ctr"/>
        <c:lblOffset val="100"/>
        <c:noMultiLvlLbl val="0"/>
      </c:catAx>
      <c:valAx>
        <c:axId val="817284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0914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Holt-Winters: ajuste, previsão do teste e previsão para 1997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 observado</c:v>
          </c:tx>
          <c:spPr>
            <a:ln w="21960">
              <a:solidFill>
                <a:srgbClr val="0B3C5D"/>
              </a:solidFill>
              <a:round/>
            </a:ln>
          </c:spPr>
          <c:marker>
            <c:symbol val="circle"/>
            <c:size val="6"/>
            <c:spPr>
              <a:solidFill>
                <a:srgbClr val="0B3C5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HoltWinters!$A$20:$A$51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HoltWinters!$D$19:$D$51</c:f>
              <c:numCache>
                <c:formatCode>#,##0.00</c:formatCode>
                <c:ptCount val="33"/>
                <c:pt idx="0" formatCode="General">
                  <c:v>0</c:v>
                </c:pt>
                <c:pt idx="1">
                  <c:v>500</c:v>
                </c:pt>
                <c:pt idx="2">
                  <c:v>350</c:v>
                </c:pt>
                <c:pt idx="3">
                  <c:v>250</c:v>
                </c:pt>
                <c:pt idx="4">
                  <c:v>400</c:v>
                </c:pt>
                <c:pt idx="5">
                  <c:v>450</c:v>
                </c:pt>
                <c:pt idx="6">
                  <c:v>350</c:v>
                </c:pt>
                <c:pt idx="7">
                  <c:v>200</c:v>
                </c:pt>
                <c:pt idx="8">
                  <c:v>300</c:v>
                </c:pt>
                <c:pt idx="9">
                  <c:v>350</c:v>
                </c:pt>
                <c:pt idx="10">
                  <c:v>200</c:v>
                </c:pt>
                <c:pt idx="11">
                  <c:v>150</c:v>
                </c:pt>
                <c:pt idx="12">
                  <c:v>400</c:v>
                </c:pt>
                <c:pt idx="13">
                  <c:v>550</c:v>
                </c:pt>
                <c:pt idx="14">
                  <c:v>350</c:v>
                </c:pt>
                <c:pt idx="15">
                  <c:v>250</c:v>
                </c:pt>
                <c:pt idx="16">
                  <c:v>550</c:v>
                </c:pt>
                <c:pt idx="17">
                  <c:v>550</c:v>
                </c:pt>
                <c:pt idx="18">
                  <c:v>400</c:v>
                </c:pt>
                <c:pt idx="19">
                  <c:v>350</c:v>
                </c:pt>
                <c:pt idx="20">
                  <c:v>600</c:v>
                </c:pt>
                <c:pt idx="21">
                  <c:v>750</c:v>
                </c:pt>
                <c:pt idx="22">
                  <c:v>500</c:v>
                </c:pt>
                <c:pt idx="23">
                  <c:v>400</c:v>
                </c:pt>
                <c:pt idx="24">
                  <c:v>650</c:v>
                </c:pt>
                <c:pt idx="25">
                  <c:v>850</c:v>
                </c:pt>
                <c:pt idx="26">
                  <c:v>600</c:v>
                </c:pt>
                <c:pt idx="27">
                  <c:v>450</c:v>
                </c:pt>
                <c:pt idx="28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2-47E6-BCF5-34D09D6E52BD}"/>
            </c:ext>
          </c:extLst>
        </c:ser>
        <c:ser>
          <c:idx val="1"/>
          <c:order val="1"/>
          <c:tx>
            <c:v>Ŷ 1 passo (rolling)</c:v>
          </c:tx>
          <c:spPr>
            <a:ln w="2196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HoltWinters!$A$20:$A$51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HoltWinters!$H$19:$H$51</c:f>
              <c:numCache>
                <c:formatCode>#,##0.00</c:formatCode>
                <c:ptCount val="33"/>
                <c:pt idx="0" formatCode="General">
                  <c:v>0</c:v>
                </c:pt>
                <c:pt idx="5">
                  <c:v>483.33333333333331</c:v>
                </c:pt>
                <c:pt idx="6">
                  <c:v>306.13333333333333</c:v>
                </c:pt>
                <c:pt idx="7">
                  <c:v>236.5733333333333</c:v>
                </c:pt>
                <c:pt idx="8">
                  <c:v>315.56607999999994</c:v>
                </c:pt>
                <c:pt idx="9">
                  <c:v>355.59896036593665</c:v>
                </c:pt>
                <c:pt idx="10">
                  <c:v>233.12466304776325</c:v>
                </c:pt>
                <c:pt idx="11">
                  <c:v>132.07908330466302</c:v>
                </c:pt>
                <c:pt idx="12">
                  <c:v>217.66921489110618</c:v>
                </c:pt>
                <c:pt idx="13">
                  <c:v>448.66913933832825</c:v>
                </c:pt>
                <c:pt idx="14">
                  <c:v>374.44050105854234</c:v>
                </c:pt>
                <c:pt idx="15">
                  <c:v>253.45222035845379</c:v>
                </c:pt>
                <c:pt idx="16">
                  <c:v>413.31432617737016</c:v>
                </c:pt>
                <c:pt idx="17">
                  <c:v>653.51420666701324</c:v>
                </c:pt>
                <c:pt idx="18">
                  <c:v>398.22086130675865</c:v>
                </c:pt>
                <c:pt idx="19">
                  <c:v>288.67902901719947</c:v>
                </c:pt>
                <c:pt idx="20">
                  <c:v>578.64668374498217</c:v>
                </c:pt>
                <c:pt idx="21">
                  <c:v>727.61447326194559</c:v>
                </c:pt>
                <c:pt idx="22">
                  <c:v>534.60065902722806</c:v>
                </c:pt>
                <c:pt idx="23">
                  <c:v>374.23252779283763</c:v>
                </c:pt>
                <c:pt idx="24">
                  <c:v>671.97204446334956</c:v>
                </c:pt>
                <c:pt idx="25">
                  <c:v>797.15327667107215</c:v>
                </c:pt>
                <c:pt idx="26">
                  <c:v>598.32599778953261</c:v>
                </c:pt>
                <c:pt idx="27">
                  <c:v>448.08139689727824</c:v>
                </c:pt>
                <c:pt idx="28">
                  <c:v>760.7161592646778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82-47E6-BCF5-34D09D6E52BD}"/>
            </c:ext>
          </c:extLst>
        </c:ser>
        <c:ser>
          <c:idx val="2"/>
          <c:order val="2"/>
          <c:tx>
            <c:v>Ŷ origem fixa (teste)</c:v>
          </c:tx>
          <c:spPr>
            <a:ln w="21960">
              <a:solidFill>
                <a:srgbClr val="00798C"/>
              </a:solidFill>
              <a:prstDash val="dash"/>
              <a:round/>
            </a:ln>
          </c:spPr>
          <c:marker>
            <c:symbol val="square"/>
            <c:size val="6"/>
            <c:spPr>
              <a:solidFill>
                <a:srgbClr val="00798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HoltWinters!$A$20:$A$51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HoltWinters!$N$19:$N$51</c:f>
              <c:numCache>
                <c:formatCode>#,##0.00</c:formatCode>
                <c:ptCount val="33"/>
                <c:pt idx="0" formatCode="General">
                  <c:v>0</c:v>
                </c:pt>
                <c:pt idx="25">
                  <c:v>797.15327667107215</c:v>
                </c:pt>
                <c:pt idx="26">
                  <c:v>565.99567775442279</c:v>
                </c:pt>
                <c:pt idx="27">
                  <c:v>421.29177484174011</c:v>
                </c:pt>
                <c:pt idx="28">
                  <c:v>709.98481244976108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82-47E6-BCF5-34D09D6E52BD}"/>
            </c:ext>
          </c:extLst>
        </c:ser>
        <c:ser>
          <c:idx val="3"/>
          <c:order val="3"/>
          <c:tx>
            <c:v>Previsão 1997</c:v>
          </c:tx>
          <c:spPr>
            <a:ln w="21960">
              <a:solidFill>
                <a:srgbClr val="EDAE49"/>
              </a:solidFill>
              <a:prstDash val="dash"/>
              <a:round/>
            </a:ln>
          </c:spPr>
          <c:marker>
            <c:symbol val="triangle"/>
            <c:size val="6"/>
            <c:spPr>
              <a:solidFill>
                <a:srgbClr val="EDAE4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HoltWinters!$A$20:$A$51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HoltWinters!$T$19:$T$51</c:f>
              <c:numCache>
                <c:formatCode>#,##0.00</c:formatCode>
                <c:ptCount val="33"/>
                <c:pt idx="0" formatCode="General">
                  <c:v>0</c:v>
                </c:pt>
                <c:pt idx="29">
                  <c:v>869.90852690562144</c:v>
                </c:pt>
                <c:pt idx="30">
                  <c:v>613.65173766469013</c:v>
                </c:pt>
                <c:pt idx="31">
                  <c:v>455.53321501151714</c:v>
                </c:pt>
                <c:pt idx="32">
                  <c:v>761.5224405700701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82-47E6-BCF5-34D09D6E5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6429580"/>
        <c:axId val="47467515"/>
      </c:lineChart>
      <c:catAx>
        <c:axId val="964295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Trimestre (t)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7467515"/>
        <c:crosses val="autoZero"/>
        <c:auto val="1"/>
        <c:lblAlgn val="ctr"/>
        <c:lblOffset val="100"/>
        <c:noMultiLvlLbl val="0"/>
      </c:catAx>
      <c:valAx>
        <c:axId val="474675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Demanda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64295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Índices sazonais S(t) ao longo do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S(t)</c:v>
          </c:tx>
          <c:spPr>
            <a:ln w="28440">
              <a:solidFill>
                <a:srgbClr val="00798C"/>
              </a:solidFill>
              <a:round/>
            </a:ln>
          </c:spPr>
          <c:marker>
            <c:symbol val="circle"/>
            <c:size val="5"/>
            <c:spPr>
              <a:solidFill>
                <a:srgbClr val="00798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HoltWinters!$A$20:$A$47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HoltWinters!$G$19:$G$47</c:f>
              <c:numCache>
                <c:formatCode>0.000</c:formatCode>
                <c:ptCount val="29"/>
                <c:pt idx="0" formatCode="General">
                  <c:v>0</c:v>
                </c:pt>
                <c:pt idx="1">
                  <c:v>1.3333333333333333</c:v>
                </c:pt>
                <c:pt idx="2">
                  <c:v>0.93333333333333335</c:v>
                </c:pt>
                <c:pt idx="3">
                  <c:v>0.66666666666666663</c:v>
                </c:pt>
                <c:pt idx="4">
                  <c:v>1.0666666666666667</c:v>
                </c:pt>
                <c:pt idx="5">
                  <c:v>1.3274939172749392</c:v>
                </c:pt>
                <c:pt idx="6">
                  <c:v>0.94053245805981045</c:v>
                </c:pt>
                <c:pt idx="7">
                  <c:v>0.65961008279416367</c:v>
                </c:pt>
                <c:pt idx="8">
                  <c:v>1.0633800098420432</c:v>
                </c:pt>
                <c:pt idx="9">
                  <c:v>1.3262238232506247</c:v>
                </c:pt>
                <c:pt idx="10">
                  <c:v>0.93148568320106073</c:v>
                </c:pt>
                <c:pt idx="11">
                  <c:v>0.66445415672609398</c:v>
                </c:pt>
                <c:pt idx="12">
                  <c:v>1.0953803722526292</c:v>
                </c:pt>
                <c:pt idx="13">
                  <c:v>1.3414451356573798</c:v>
                </c:pt>
                <c:pt idx="14">
                  <c:v>0.92763669922903491</c:v>
                </c:pt>
                <c:pt idx="15">
                  <c:v>0.6639051508374324</c:v>
                </c:pt>
                <c:pt idx="16">
                  <c:v>1.1125680640783318</c:v>
                </c:pt>
                <c:pt idx="17">
                  <c:v>1.3268464388630412</c:v>
                </c:pt>
                <c:pt idx="18">
                  <c:v>0.92788447879787439</c:v>
                </c:pt>
                <c:pt idx="19">
                  <c:v>0.67113766355126547</c:v>
                </c:pt>
                <c:pt idx="20">
                  <c:v>1.1149607967770916</c:v>
                </c:pt>
                <c:pt idx="21">
                  <c:v>1.3292368810598547</c:v>
                </c:pt>
                <c:pt idx="22">
                  <c:v>0.92408442283799008</c:v>
                </c:pt>
                <c:pt idx="23">
                  <c:v>0.67376554869386385</c:v>
                </c:pt>
                <c:pt idx="24">
                  <c:v>1.1127146313573901</c:v>
                </c:pt>
                <c:pt idx="25">
                  <c:v>1.3342578423444298</c:v>
                </c:pt>
                <c:pt idx="26">
                  <c:v>0.92423920114104607</c:v>
                </c:pt>
                <c:pt idx="27">
                  <c:v>0.67393805428116349</c:v>
                </c:pt>
                <c:pt idx="28">
                  <c:v>1.1070225383273533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5D-4EE4-ACDB-ABF65A6F7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8892238"/>
        <c:axId val="91571079"/>
      </c:lineChart>
      <c:catAx>
        <c:axId val="988922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1571079"/>
        <c:crosses val="autoZero"/>
        <c:auto val="1"/>
        <c:lblAlgn val="ctr"/>
        <c:lblOffset val="100"/>
        <c:noMultiLvlLbl val="0"/>
      </c:catAx>
      <c:valAx>
        <c:axId val="91571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88922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MSE: ajuste (treino) × previsão (teste)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Comparacao!$E$4</c:f>
              <c:strCache>
                <c:ptCount val="1"/>
                <c:pt idx="0">
                  <c:v>MSE ajuste (treino)</c:v>
                </c:pt>
              </c:strCache>
            </c:strRef>
          </c:tx>
          <c:spPr>
            <a:solidFill>
              <a:srgbClr val="9DB4C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Comparacao!$A$5:$A$7</c:f>
              <c:strCache>
                <c:ptCount val="3"/>
                <c:pt idx="0">
                  <c:v>SES</c:v>
                </c:pt>
                <c:pt idx="1">
                  <c:v>Holt</c:v>
                </c:pt>
                <c:pt idx="2">
                  <c:v>Holt-Winters</c:v>
                </c:pt>
              </c:strCache>
            </c:strRef>
          </c:cat>
          <c:val>
            <c:numRef>
              <c:f>Comparacao!$E$5:$E$7</c:f>
              <c:numCache>
                <c:formatCode>#,##0</c:formatCode>
                <c:ptCount val="3"/>
                <c:pt idx="0">
                  <c:v>21420.139552114262</c:v>
                </c:pt>
                <c:pt idx="1">
                  <c:v>22178.796772311067</c:v>
                </c:pt>
                <c:pt idx="2">
                  <c:v>4332.4689291150307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0-449E-8363-E8702DD51453}"/>
            </c:ext>
          </c:extLst>
        </c:ser>
        <c:ser>
          <c:idx val="1"/>
          <c:order val="1"/>
          <c:tx>
            <c:strRef>
              <c:f>Comparacao!$F$4</c:f>
              <c:strCache>
                <c:ptCount val="1"/>
                <c:pt idx="0">
                  <c:v>MSE teste A (origem fixa)</c:v>
                </c:pt>
              </c:strCache>
            </c:strRef>
          </c:tx>
          <c:spPr>
            <a:solidFill>
              <a:srgbClr val="0B3C5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Comparacao!$A$5:$A$7</c:f>
              <c:strCache>
                <c:ptCount val="3"/>
                <c:pt idx="0">
                  <c:v>SES</c:v>
                </c:pt>
                <c:pt idx="1">
                  <c:v>Holt</c:v>
                </c:pt>
                <c:pt idx="2">
                  <c:v>Holt-Winters</c:v>
                </c:pt>
              </c:strCache>
            </c:strRef>
          </c:cat>
          <c:val>
            <c:numRef>
              <c:f>Comparacao!$F$5:$F$7</c:f>
              <c:numCache>
                <c:formatCode>#,##0</c:formatCode>
                <c:ptCount val="3"/>
                <c:pt idx="0">
                  <c:v>31848.553821369183</c:v>
                </c:pt>
                <c:pt idx="1">
                  <c:v>25663.065801570436</c:v>
                </c:pt>
                <c:pt idx="2">
                  <c:v>1218.2321923448885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40-449E-8363-E8702DD51453}"/>
            </c:ext>
          </c:extLst>
        </c:ser>
        <c:ser>
          <c:idx val="2"/>
          <c:order val="2"/>
          <c:tx>
            <c:strRef>
              <c:f>Comparacao!$G$4</c:f>
              <c:strCache>
                <c:ptCount val="1"/>
                <c:pt idx="0">
                  <c:v>MSE teste B (rolling)</c:v>
                </c:pt>
              </c:strCache>
            </c:strRef>
          </c:tx>
          <c:spPr>
            <a:solidFill>
              <a:srgbClr val="D1495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Comparacao!$A$5:$A$7</c:f>
              <c:strCache>
                <c:ptCount val="3"/>
                <c:pt idx="0">
                  <c:v>SES</c:v>
                </c:pt>
                <c:pt idx="1">
                  <c:v>Holt</c:v>
                </c:pt>
                <c:pt idx="2">
                  <c:v>Holt-Winters</c:v>
                </c:pt>
              </c:strCache>
            </c:strRef>
          </c:cat>
          <c:val>
            <c:numRef>
              <c:f>Comparacao!$G$5:$G$7</c:f>
              <c:numCache>
                <c:formatCode>#,##0</c:formatCode>
                <c:ptCount val="3"/>
                <c:pt idx="0">
                  <c:v>35997.047393443347</c:v>
                </c:pt>
                <c:pt idx="1">
                  <c:v>34375.863252431394</c:v>
                </c:pt>
                <c:pt idx="2">
                  <c:v>1621.4278709310975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40-449E-8363-E8702DD51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614640"/>
        <c:axId val="95491245"/>
      </c:barChart>
      <c:catAx>
        <c:axId val="4961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5491245"/>
        <c:crosses val="autoZero"/>
        <c:auto val="1"/>
        <c:lblAlgn val="ctr"/>
        <c:lblOffset val="100"/>
        <c:noMultiLvlLbl val="0"/>
      </c:catAx>
      <c:valAx>
        <c:axId val="954912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96146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160920</xdr:rowOff>
    </xdr:from>
    <xdr:to>
      <xdr:col>21</xdr:col>
      <xdr:colOff>473040</xdr:colOff>
      <xdr:row>18</xdr:row>
      <xdr:rowOff>9720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21</xdr:row>
      <xdr:rowOff>160560</xdr:rowOff>
    </xdr:from>
    <xdr:to>
      <xdr:col>21</xdr:col>
      <xdr:colOff>473040</xdr:colOff>
      <xdr:row>38</xdr:row>
      <xdr:rowOff>161640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</xdr:row>
      <xdr:rowOff>160920</xdr:rowOff>
    </xdr:from>
    <xdr:to>
      <xdr:col>33</xdr:col>
      <xdr:colOff>78480</xdr:colOff>
      <xdr:row>20</xdr:row>
      <xdr:rowOff>5760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34</xdr:row>
      <xdr:rowOff>160560</xdr:rowOff>
    </xdr:from>
    <xdr:to>
      <xdr:col>14</xdr:col>
      <xdr:colOff>135720</xdr:colOff>
      <xdr:row>51</xdr:row>
      <xdr:rowOff>161640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160920</xdr:rowOff>
    </xdr:from>
    <xdr:to>
      <xdr:col>26</xdr:col>
      <xdr:colOff>187200</xdr:colOff>
      <xdr:row>20</xdr:row>
      <xdr:rowOff>22680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27</xdr:row>
      <xdr:rowOff>160920</xdr:rowOff>
    </xdr:from>
    <xdr:to>
      <xdr:col>26</xdr:col>
      <xdr:colOff>187200</xdr:colOff>
      <xdr:row>43</xdr:row>
      <xdr:rowOff>9720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</xdr:row>
      <xdr:rowOff>160920</xdr:rowOff>
    </xdr:from>
    <xdr:to>
      <xdr:col>33</xdr:col>
      <xdr:colOff>78480</xdr:colOff>
      <xdr:row>20</xdr:row>
      <xdr:rowOff>5760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</xdr:row>
      <xdr:rowOff>160920</xdr:rowOff>
    </xdr:from>
    <xdr:to>
      <xdr:col>33</xdr:col>
      <xdr:colOff>78480</xdr:colOff>
      <xdr:row>20</xdr:row>
      <xdr:rowOff>5760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2</xdr:row>
      <xdr:rowOff>160920</xdr:rowOff>
    </xdr:from>
    <xdr:to>
      <xdr:col>35</xdr:col>
      <xdr:colOff>78480</xdr:colOff>
      <xdr:row>20</xdr:row>
      <xdr:rowOff>5760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0</xdr:colOff>
      <xdr:row>26</xdr:row>
      <xdr:rowOff>160920</xdr:rowOff>
    </xdr:from>
    <xdr:to>
      <xdr:col>35</xdr:col>
      <xdr:colOff>78480</xdr:colOff>
      <xdr:row>41</xdr:row>
      <xdr:rowOff>182880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160560</xdr:rowOff>
    </xdr:from>
    <xdr:to>
      <xdr:col>8</xdr:col>
      <xdr:colOff>730080</xdr:colOff>
      <xdr:row>33</xdr:row>
      <xdr:rowOff>140760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showGridLines="0" topLeftCell="A18" zoomScaleNormal="100" workbookViewId="0">
      <selection activeCell="A34" sqref="A34"/>
    </sheetView>
  </sheetViews>
  <sheetFormatPr defaultColWidth="8.6640625" defaultRowHeight="14.4" x14ac:dyDescent="0.3"/>
  <cols>
    <col min="1" max="1" width="34" customWidth="1"/>
    <col min="2" max="2" width="110" customWidth="1"/>
  </cols>
  <sheetData>
    <row r="1" spans="1:2" ht="17.399999999999999" x14ac:dyDescent="0.3">
      <c r="A1" s="4" t="s">
        <v>0</v>
      </c>
    </row>
    <row r="2" spans="1:2" x14ac:dyDescent="0.3">
      <c r="A2" s="5" t="s">
        <v>1</v>
      </c>
    </row>
    <row r="4" spans="1:2" ht="15" customHeight="1" x14ac:dyDescent="0.3">
      <c r="A4" s="3" t="s">
        <v>2</v>
      </c>
      <c r="B4" s="3"/>
    </row>
    <row r="5" spans="1:2" ht="15" customHeight="1" x14ac:dyDescent="0.3">
      <c r="A5" s="2" t="s">
        <v>3</v>
      </c>
      <c r="B5" s="2"/>
    </row>
    <row r="6" spans="1:2" ht="15" customHeight="1" x14ac:dyDescent="0.3">
      <c r="A6" s="1" t="s">
        <v>4</v>
      </c>
      <c r="B6" s="1"/>
    </row>
    <row r="7" spans="1:2" ht="15" customHeight="1" x14ac:dyDescent="0.3">
      <c r="A7" s="1" t="s">
        <v>5</v>
      </c>
      <c r="B7" s="1"/>
    </row>
    <row r="8" spans="1:2" x14ac:dyDescent="0.3">
      <c r="A8" s="1"/>
      <c r="B8" s="1"/>
    </row>
    <row r="9" spans="1:2" ht="15" customHeight="1" x14ac:dyDescent="0.3">
      <c r="A9" s="3" t="s">
        <v>6</v>
      </c>
      <c r="B9" s="3"/>
    </row>
    <row r="10" spans="1:2" ht="30" customHeight="1" x14ac:dyDescent="0.3">
      <c r="A10" s="7" t="s">
        <v>7</v>
      </c>
      <c r="B10" s="6" t="s">
        <v>8</v>
      </c>
    </row>
    <row r="11" spans="1:2" ht="15.75" customHeight="1" x14ac:dyDescent="0.3">
      <c r="A11" s="7" t="s">
        <v>9</v>
      </c>
      <c r="B11" s="6" t="s">
        <v>10</v>
      </c>
    </row>
    <row r="12" spans="1:2" ht="30" customHeight="1" x14ac:dyDescent="0.3">
      <c r="A12" s="7" t="s">
        <v>11</v>
      </c>
      <c r="B12" s="6" t="s">
        <v>12</v>
      </c>
    </row>
    <row r="13" spans="1:2" ht="30" customHeight="1" x14ac:dyDescent="0.3">
      <c r="A13" s="7" t="s">
        <v>13</v>
      </c>
      <c r="B13" s="6" t="s">
        <v>14</v>
      </c>
    </row>
    <row r="14" spans="1:2" ht="15.75" customHeight="1" x14ac:dyDescent="0.3">
      <c r="A14" s="7" t="s">
        <v>15</v>
      </c>
      <c r="B14" s="6" t="s">
        <v>16</v>
      </c>
    </row>
    <row r="15" spans="1:2" ht="15.75" customHeight="1" x14ac:dyDescent="0.3">
      <c r="A15" s="7" t="s">
        <v>17</v>
      </c>
      <c r="B15" s="6" t="s">
        <v>18</v>
      </c>
    </row>
    <row r="16" spans="1:2" ht="15.75" customHeight="1" x14ac:dyDescent="0.3">
      <c r="A16" s="7" t="s">
        <v>19</v>
      </c>
      <c r="B16" s="6" t="s">
        <v>20</v>
      </c>
    </row>
    <row r="17" spans="1:2" ht="15.75" customHeight="1" x14ac:dyDescent="0.3">
      <c r="A17" s="7" t="s">
        <v>21</v>
      </c>
      <c r="B17" s="6" t="s">
        <v>22</v>
      </c>
    </row>
    <row r="18" spans="1:2" x14ac:dyDescent="0.3">
      <c r="A18" s="1"/>
      <c r="B18" s="1"/>
    </row>
    <row r="19" spans="1:2" ht="15" customHeight="1" x14ac:dyDescent="0.3">
      <c r="A19" s="3" t="s">
        <v>23</v>
      </c>
      <c r="B19" s="3"/>
    </row>
    <row r="20" spans="1:2" ht="30" customHeight="1" x14ac:dyDescent="0.3">
      <c r="A20" s="7" t="s">
        <v>24</v>
      </c>
      <c r="B20" s="6" t="s">
        <v>25</v>
      </c>
    </row>
    <row r="21" spans="1:2" ht="30" customHeight="1" x14ac:dyDescent="0.3">
      <c r="A21" s="7" t="s">
        <v>26</v>
      </c>
      <c r="B21" s="6" t="s">
        <v>27</v>
      </c>
    </row>
    <row r="22" spans="1:2" x14ac:dyDescent="0.3">
      <c r="A22" s="1"/>
      <c r="B22" s="1"/>
    </row>
    <row r="23" spans="1:2" ht="15" customHeight="1" x14ac:dyDescent="0.3">
      <c r="A23" s="3" t="s">
        <v>28</v>
      </c>
      <c r="B23" s="3"/>
    </row>
    <row r="24" spans="1:2" ht="15.75" customHeight="1" x14ac:dyDescent="0.3">
      <c r="A24" s="7" t="s">
        <v>29</v>
      </c>
      <c r="B24" s="6" t="s">
        <v>30</v>
      </c>
    </row>
    <row r="25" spans="1:2" ht="15.75" customHeight="1" x14ac:dyDescent="0.3">
      <c r="A25" s="7" t="s">
        <v>31</v>
      </c>
      <c r="B25" s="6" t="s">
        <v>32</v>
      </c>
    </row>
    <row r="26" spans="1:2" ht="30" customHeight="1" x14ac:dyDescent="0.3">
      <c r="A26" s="7" t="s">
        <v>33</v>
      </c>
      <c r="B26" s="6" t="s">
        <v>34</v>
      </c>
    </row>
    <row r="27" spans="1:2" ht="30" customHeight="1" x14ac:dyDescent="0.3">
      <c r="A27" s="7" t="s">
        <v>35</v>
      </c>
      <c r="B27" s="6" t="s">
        <v>36</v>
      </c>
    </row>
    <row r="28" spans="1:2" x14ac:dyDescent="0.3">
      <c r="A28" s="1"/>
      <c r="B28" s="1"/>
    </row>
    <row r="29" spans="1:2" ht="43.5" customHeight="1" x14ac:dyDescent="0.3">
      <c r="A29" s="7" t="s">
        <v>37</v>
      </c>
      <c r="B29" s="6" t="s">
        <v>38</v>
      </c>
    </row>
    <row r="30" spans="1:2" ht="43.5" customHeight="1" x14ac:dyDescent="0.3">
      <c r="A30" s="7" t="s">
        <v>39</v>
      </c>
      <c r="B30" s="6" t="s">
        <v>40</v>
      </c>
    </row>
  </sheetData>
  <mergeCells count="11">
    <mergeCell ref="A28:B28"/>
    <mergeCell ref="A9:B9"/>
    <mergeCell ref="A18:B18"/>
    <mergeCell ref="A19:B19"/>
    <mergeCell ref="A22:B22"/>
    <mergeCell ref="A23:B23"/>
    <mergeCell ref="A4:B4"/>
    <mergeCell ref="A5:B5"/>
    <mergeCell ref="A6:B6"/>
    <mergeCell ref="A7:B7"/>
    <mergeCell ref="A8:B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showGridLines="0" tabSelected="1" zoomScale="130" zoomScaleNormal="130" workbookViewId="0"/>
  </sheetViews>
  <sheetFormatPr defaultColWidth="8.6640625" defaultRowHeight="14.4" x14ac:dyDescent="0.3"/>
  <cols>
    <col min="1" max="1" width="6" customWidth="1"/>
    <col min="2" max="2" width="8" customWidth="1"/>
    <col min="3" max="3" width="10" customWidth="1"/>
    <col min="4" max="4" width="16" customWidth="1"/>
    <col min="5" max="5" width="10" customWidth="1"/>
    <col min="6" max="6" width="3" customWidth="1"/>
    <col min="7" max="7" width="9" customWidth="1"/>
    <col min="8" max="8" width="14" customWidth="1"/>
    <col min="9" max="9" width="10" customWidth="1"/>
  </cols>
  <sheetData>
    <row r="1" spans="1:9" ht="17.399999999999999" x14ac:dyDescent="0.3">
      <c r="A1" s="4" t="s">
        <v>41</v>
      </c>
    </row>
    <row r="2" spans="1:9" x14ac:dyDescent="0.3">
      <c r="A2" s="5" t="s">
        <v>42</v>
      </c>
    </row>
    <row r="4" spans="1:9" ht="42" customHeight="1" x14ac:dyDescent="0.3">
      <c r="A4" s="8" t="s">
        <v>43</v>
      </c>
      <c r="B4" s="8" t="s">
        <v>44</v>
      </c>
      <c r="C4" s="8" t="s">
        <v>45</v>
      </c>
      <c r="D4" s="8" t="s">
        <v>46</v>
      </c>
      <c r="E4" s="8" t="s">
        <v>47</v>
      </c>
      <c r="G4" s="8" t="s">
        <v>48</v>
      </c>
      <c r="H4" s="8" t="s">
        <v>49</v>
      </c>
      <c r="I4" s="8" t="s">
        <v>47</v>
      </c>
    </row>
    <row r="5" spans="1:9" x14ac:dyDescent="0.3">
      <c r="A5" s="9">
        <v>1</v>
      </c>
      <c r="B5" s="9" t="s">
        <v>50</v>
      </c>
      <c r="C5" s="10">
        <v>1</v>
      </c>
      <c r="D5" s="10">
        <v>500</v>
      </c>
      <c r="E5" s="10" t="s">
        <v>51</v>
      </c>
      <c r="G5" s="10">
        <v>1</v>
      </c>
      <c r="H5" s="10">
        <v>654</v>
      </c>
      <c r="I5" s="10" t="s">
        <v>51</v>
      </c>
    </row>
    <row r="6" spans="1:9" x14ac:dyDescent="0.3">
      <c r="A6" s="9">
        <v>2</v>
      </c>
      <c r="B6" s="9" t="s">
        <v>50</v>
      </c>
      <c r="C6" s="10">
        <v>2</v>
      </c>
      <c r="D6" s="10">
        <v>350</v>
      </c>
      <c r="E6" s="10" t="s">
        <v>51</v>
      </c>
      <c r="G6" s="10">
        <v>2</v>
      </c>
      <c r="H6" s="10">
        <v>658</v>
      </c>
      <c r="I6" s="10" t="s">
        <v>51</v>
      </c>
    </row>
    <row r="7" spans="1:9" x14ac:dyDescent="0.3">
      <c r="A7" s="9">
        <v>3</v>
      </c>
      <c r="B7" s="9" t="s">
        <v>50</v>
      </c>
      <c r="C7" s="10">
        <v>3</v>
      </c>
      <c r="D7" s="10">
        <v>250</v>
      </c>
      <c r="E7" s="10" t="s">
        <v>51</v>
      </c>
      <c r="G7" s="10">
        <v>3</v>
      </c>
      <c r="H7" s="10">
        <v>665</v>
      </c>
      <c r="I7" s="10" t="s">
        <v>51</v>
      </c>
    </row>
    <row r="8" spans="1:9" x14ac:dyDescent="0.3">
      <c r="A8" s="9">
        <v>4</v>
      </c>
      <c r="B8" s="9" t="s">
        <v>50</v>
      </c>
      <c r="C8" s="10">
        <v>4</v>
      </c>
      <c r="D8" s="10">
        <v>400</v>
      </c>
      <c r="E8" s="10" t="s">
        <v>51</v>
      </c>
      <c r="G8" s="10">
        <v>4</v>
      </c>
      <c r="H8" s="10">
        <v>672</v>
      </c>
      <c r="I8" s="10" t="s">
        <v>51</v>
      </c>
    </row>
    <row r="9" spans="1:9" x14ac:dyDescent="0.3">
      <c r="A9" s="9">
        <v>5</v>
      </c>
      <c r="B9" s="9" t="s">
        <v>52</v>
      </c>
      <c r="C9" s="10">
        <v>1</v>
      </c>
      <c r="D9" s="10">
        <v>450</v>
      </c>
      <c r="E9" s="10" t="s">
        <v>51</v>
      </c>
      <c r="G9" s="10">
        <v>5</v>
      </c>
      <c r="H9" s="10">
        <v>673</v>
      </c>
      <c r="I9" s="10" t="s">
        <v>51</v>
      </c>
    </row>
    <row r="10" spans="1:9" x14ac:dyDescent="0.3">
      <c r="A10" s="9">
        <v>6</v>
      </c>
      <c r="B10" s="9" t="s">
        <v>52</v>
      </c>
      <c r="C10" s="10">
        <v>2</v>
      </c>
      <c r="D10" s="10">
        <v>350</v>
      </c>
      <c r="E10" s="10" t="s">
        <v>51</v>
      </c>
      <c r="G10" s="10">
        <v>6</v>
      </c>
      <c r="H10" s="10">
        <v>671</v>
      </c>
      <c r="I10" s="10" t="s">
        <v>51</v>
      </c>
    </row>
    <row r="11" spans="1:9" x14ac:dyDescent="0.3">
      <c r="A11" s="9">
        <v>7</v>
      </c>
      <c r="B11" s="9" t="s">
        <v>52</v>
      </c>
      <c r="C11" s="10">
        <v>3</v>
      </c>
      <c r="D11" s="10">
        <v>200</v>
      </c>
      <c r="E11" s="10" t="s">
        <v>51</v>
      </c>
      <c r="G11" s="10">
        <v>7</v>
      </c>
      <c r="H11" s="10">
        <v>693</v>
      </c>
      <c r="I11" s="10" t="s">
        <v>51</v>
      </c>
    </row>
    <row r="12" spans="1:9" x14ac:dyDescent="0.3">
      <c r="A12" s="9">
        <v>8</v>
      </c>
      <c r="B12" s="9" t="s">
        <v>52</v>
      </c>
      <c r="C12" s="10">
        <v>4</v>
      </c>
      <c r="D12" s="10">
        <v>300</v>
      </c>
      <c r="E12" s="10" t="s">
        <v>51</v>
      </c>
      <c r="G12" s="10">
        <v>8</v>
      </c>
      <c r="H12" s="10">
        <v>694</v>
      </c>
      <c r="I12" s="10" t="s">
        <v>51</v>
      </c>
    </row>
    <row r="13" spans="1:9" x14ac:dyDescent="0.3">
      <c r="A13" s="9">
        <v>9</v>
      </c>
      <c r="B13" s="9" t="s">
        <v>53</v>
      </c>
      <c r="C13" s="10">
        <v>1</v>
      </c>
      <c r="D13" s="10">
        <v>350</v>
      </c>
      <c r="E13" s="10" t="s">
        <v>51</v>
      </c>
      <c r="G13" s="10">
        <v>9</v>
      </c>
      <c r="H13" s="10">
        <v>701</v>
      </c>
      <c r="I13" s="10" t="s">
        <v>51</v>
      </c>
    </row>
    <row r="14" spans="1:9" x14ac:dyDescent="0.3">
      <c r="A14" s="9">
        <v>10</v>
      </c>
      <c r="B14" s="9" t="s">
        <v>53</v>
      </c>
      <c r="C14" s="10">
        <v>2</v>
      </c>
      <c r="D14" s="10">
        <v>200</v>
      </c>
      <c r="E14" s="10" t="s">
        <v>51</v>
      </c>
      <c r="G14" s="10">
        <v>10</v>
      </c>
      <c r="H14" s="10">
        <v>703</v>
      </c>
      <c r="I14" s="10" t="s">
        <v>51</v>
      </c>
    </row>
    <row r="15" spans="1:9" x14ac:dyDescent="0.3">
      <c r="A15" s="9">
        <v>11</v>
      </c>
      <c r="B15" s="9" t="s">
        <v>53</v>
      </c>
      <c r="C15" s="10">
        <v>3</v>
      </c>
      <c r="D15" s="10">
        <v>150</v>
      </c>
      <c r="E15" s="10" t="s">
        <v>51</v>
      </c>
      <c r="G15" s="10">
        <v>11</v>
      </c>
      <c r="H15" s="10">
        <v>702</v>
      </c>
      <c r="I15" s="10" t="s">
        <v>51</v>
      </c>
    </row>
    <row r="16" spans="1:9" x14ac:dyDescent="0.3">
      <c r="A16" s="9">
        <v>12</v>
      </c>
      <c r="B16" s="9" t="s">
        <v>53</v>
      </c>
      <c r="C16" s="10">
        <v>4</v>
      </c>
      <c r="D16" s="10">
        <v>400</v>
      </c>
      <c r="E16" s="10" t="s">
        <v>51</v>
      </c>
      <c r="G16" s="11">
        <v>12</v>
      </c>
      <c r="H16" s="11">
        <v>710</v>
      </c>
      <c r="I16" s="11" t="s">
        <v>54</v>
      </c>
    </row>
    <row r="17" spans="1:9" x14ac:dyDescent="0.3">
      <c r="A17" s="9">
        <v>13</v>
      </c>
      <c r="B17" s="9" t="s">
        <v>55</v>
      </c>
      <c r="C17" s="10">
        <v>1</v>
      </c>
      <c r="D17" s="10">
        <v>550</v>
      </c>
      <c r="E17" s="10" t="s">
        <v>51</v>
      </c>
      <c r="G17" s="11">
        <v>13</v>
      </c>
      <c r="H17" s="11">
        <v>712</v>
      </c>
      <c r="I17" s="11" t="s">
        <v>54</v>
      </c>
    </row>
    <row r="18" spans="1:9" x14ac:dyDescent="0.3">
      <c r="A18" s="9">
        <v>14</v>
      </c>
      <c r="B18" s="9" t="s">
        <v>55</v>
      </c>
      <c r="C18" s="10">
        <v>2</v>
      </c>
      <c r="D18" s="10">
        <v>350</v>
      </c>
      <c r="E18" s="10" t="s">
        <v>51</v>
      </c>
      <c r="G18" s="11">
        <v>14</v>
      </c>
      <c r="H18" s="11">
        <v>711</v>
      </c>
      <c r="I18" s="11" t="s">
        <v>54</v>
      </c>
    </row>
    <row r="19" spans="1:9" x14ac:dyDescent="0.3">
      <c r="A19" s="9">
        <v>15</v>
      </c>
      <c r="B19" s="9" t="s">
        <v>55</v>
      </c>
      <c r="C19" s="10">
        <v>3</v>
      </c>
      <c r="D19" s="10">
        <v>250</v>
      </c>
      <c r="E19" s="10" t="s">
        <v>51</v>
      </c>
      <c r="G19" s="11">
        <v>15</v>
      </c>
      <c r="H19" s="11">
        <v>728</v>
      </c>
      <c r="I19" s="11" t="s">
        <v>54</v>
      </c>
    </row>
    <row r="20" spans="1:9" x14ac:dyDescent="0.3">
      <c r="A20" s="9">
        <v>16</v>
      </c>
      <c r="B20" s="9" t="s">
        <v>55</v>
      </c>
      <c r="C20" s="10">
        <v>4</v>
      </c>
      <c r="D20" s="10">
        <v>550</v>
      </c>
      <c r="E20" s="10" t="s">
        <v>51</v>
      </c>
    </row>
    <row r="21" spans="1:9" x14ac:dyDescent="0.3">
      <c r="A21" s="9">
        <v>17</v>
      </c>
      <c r="B21" s="9" t="s">
        <v>56</v>
      </c>
      <c r="C21" s="10">
        <v>1</v>
      </c>
      <c r="D21" s="10">
        <v>550</v>
      </c>
      <c r="E21" s="10" t="s">
        <v>51</v>
      </c>
    </row>
    <row r="22" spans="1:9" x14ac:dyDescent="0.3">
      <c r="A22" s="9">
        <v>18</v>
      </c>
      <c r="B22" s="9" t="s">
        <v>56</v>
      </c>
      <c r="C22" s="10">
        <v>2</v>
      </c>
      <c r="D22" s="10">
        <v>400</v>
      </c>
      <c r="E22" s="10" t="s">
        <v>51</v>
      </c>
    </row>
    <row r="23" spans="1:9" x14ac:dyDescent="0.3">
      <c r="A23" s="9">
        <v>19</v>
      </c>
      <c r="B23" s="9" t="s">
        <v>56</v>
      </c>
      <c r="C23" s="10">
        <v>3</v>
      </c>
      <c r="D23" s="10">
        <v>350</v>
      </c>
      <c r="E23" s="10" t="s">
        <v>51</v>
      </c>
    </row>
    <row r="24" spans="1:9" x14ac:dyDescent="0.3">
      <c r="A24" s="9">
        <v>20</v>
      </c>
      <c r="B24" s="9" t="s">
        <v>56</v>
      </c>
      <c r="C24" s="10">
        <v>4</v>
      </c>
      <c r="D24" s="10">
        <v>600</v>
      </c>
      <c r="E24" s="10" t="s">
        <v>51</v>
      </c>
    </row>
    <row r="25" spans="1:9" x14ac:dyDescent="0.3">
      <c r="A25" s="9">
        <v>21</v>
      </c>
      <c r="B25" s="9" t="s">
        <v>57</v>
      </c>
      <c r="C25" s="10">
        <v>1</v>
      </c>
      <c r="D25" s="10">
        <v>750</v>
      </c>
      <c r="E25" s="10" t="s">
        <v>51</v>
      </c>
    </row>
    <row r="26" spans="1:9" x14ac:dyDescent="0.3">
      <c r="A26" s="9">
        <v>22</v>
      </c>
      <c r="B26" s="9" t="s">
        <v>57</v>
      </c>
      <c r="C26" s="10">
        <v>2</v>
      </c>
      <c r="D26" s="10">
        <v>500</v>
      </c>
      <c r="E26" s="10" t="s">
        <v>51</v>
      </c>
    </row>
    <row r="27" spans="1:9" x14ac:dyDescent="0.3">
      <c r="A27" s="9">
        <v>23</v>
      </c>
      <c r="B27" s="9" t="s">
        <v>57</v>
      </c>
      <c r="C27" s="10">
        <v>3</v>
      </c>
      <c r="D27" s="10">
        <v>400</v>
      </c>
      <c r="E27" s="10" t="s">
        <v>51</v>
      </c>
    </row>
    <row r="28" spans="1:9" x14ac:dyDescent="0.3">
      <c r="A28" s="9">
        <v>24</v>
      </c>
      <c r="B28" s="9" t="s">
        <v>57</v>
      </c>
      <c r="C28" s="10">
        <v>4</v>
      </c>
      <c r="D28" s="10">
        <v>650</v>
      </c>
      <c r="E28" s="10" t="s">
        <v>51</v>
      </c>
    </row>
    <row r="29" spans="1:9" x14ac:dyDescent="0.3">
      <c r="A29" s="12">
        <v>25</v>
      </c>
      <c r="B29" s="12" t="s">
        <v>58</v>
      </c>
      <c r="C29" s="11">
        <v>1</v>
      </c>
      <c r="D29" s="11">
        <v>850</v>
      </c>
      <c r="E29" s="11" t="s">
        <v>54</v>
      </c>
    </row>
    <row r="30" spans="1:9" x14ac:dyDescent="0.3">
      <c r="A30" s="12">
        <v>26</v>
      </c>
      <c r="B30" s="12" t="s">
        <v>58</v>
      </c>
      <c r="C30" s="11">
        <v>2</v>
      </c>
      <c r="D30" s="11">
        <v>600</v>
      </c>
      <c r="E30" s="11" t="s">
        <v>54</v>
      </c>
    </row>
    <row r="31" spans="1:9" x14ac:dyDescent="0.3">
      <c r="A31" s="12">
        <v>27</v>
      </c>
      <c r="B31" s="12" t="s">
        <v>58</v>
      </c>
      <c r="C31" s="11">
        <v>3</v>
      </c>
      <c r="D31" s="11">
        <v>450</v>
      </c>
      <c r="E31" s="11" t="s">
        <v>54</v>
      </c>
    </row>
    <row r="32" spans="1:9" x14ac:dyDescent="0.3">
      <c r="A32" s="12">
        <v>28</v>
      </c>
      <c r="B32" s="12" t="s">
        <v>58</v>
      </c>
      <c r="C32" s="11">
        <v>4</v>
      </c>
      <c r="D32" s="11">
        <v>700</v>
      </c>
      <c r="E32" s="11" t="s">
        <v>54</v>
      </c>
    </row>
  </sheetData>
  <pageMargins left="0.75" right="0.75" top="1" bottom="1" header="0.511811023622047" footer="0.511811023622047"/>
  <pageSetup paperSize="9" orientation="portrait" horizontalDpi="300" verticalDpi="300"/>
  <ignoredErrors>
    <ignoredError sqref="B5:B32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9"/>
  <sheetViews>
    <sheetView showGridLines="0" zoomScale="130" zoomScaleNormal="130" zoomScaleSheetLayoutView="83" workbookViewId="0"/>
  </sheetViews>
  <sheetFormatPr defaultColWidth="8.6640625" defaultRowHeight="14.4" x14ac:dyDescent="0.3"/>
  <cols>
    <col min="1" max="1" width="22" customWidth="1"/>
    <col min="2" max="4" width="16" customWidth="1"/>
    <col min="5" max="5" width="8" customWidth="1"/>
    <col min="6" max="6" width="11" customWidth="1"/>
    <col min="7" max="7" width="14" customWidth="1"/>
    <col min="8" max="8" width="11" customWidth="1"/>
    <col min="9" max="9" width="9" customWidth="1"/>
    <col min="10" max="10" width="11" customWidth="1"/>
    <col min="11" max="12" width="8" customWidth="1"/>
    <col min="13" max="13" width="12" customWidth="1"/>
    <col min="14" max="14" width="11" customWidth="1"/>
    <col min="15" max="15" width="9" customWidth="1"/>
    <col min="16" max="16" width="11" customWidth="1"/>
    <col min="17" max="18" width="8" customWidth="1"/>
  </cols>
  <sheetData>
    <row r="1" spans="1:10" ht="17.399999999999999" x14ac:dyDescent="0.3">
      <c r="A1" s="4" t="s">
        <v>59</v>
      </c>
    </row>
    <row r="2" spans="1:10" x14ac:dyDescent="0.3">
      <c r="A2" s="5" t="s">
        <v>60</v>
      </c>
    </row>
    <row r="4" spans="1:10" x14ac:dyDescent="0.3">
      <c r="A4" s="13" t="s">
        <v>61</v>
      </c>
      <c r="B4" s="14">
        <v>0.33540571349019888</v>
      </c>
      <c r="C4" s="5" t="s">
        <v>62</v>
      </c>
    </row>
    <row r="6" spans="1:10" x14ac:dyDescent="0.3">
      <c r="A6" s="5" t="s">
        <v>63</v>
      </c>
    </row>
    <row r="7" spans="1:10" x14ac:dyDescent="0.3">
      <c r="A7" s="15" t="s">
        <v>64</v>
      </c>
      <c r="D7" s="16">
        <f>(1-B4)/B4</f>
        <v>1.9814638206192088</v>
      </c>
      <c r="E7" s="15" t="s">
        <v>65</v>
      </c>
    </row>
    <row r="8" spans="1:10" x14ac:dyDescent="0.3">
      <c r="A8" s="15" t="s">
        <v>66</v>
      </c>
      <c r="D8" s="17">
        <f>(2-B4)/B4</f>
        <v>4.9629276412384176</v>
      </c>
      <c r="E8" s="15" t="s">
        <v>65</v>
      </c>
    </row>
    <row r="10" spans="1:10" ht="42" customHeight="1" x14ac:dyDescent="0.3">
      <c r="A10" s="8" t="s">
        <v>67</v>
      </c>
      <c r="B10" s="8" t="s">
        <v>68</v>
      </c>
      <c r="C10" s="8" t="s">
        <v>69</v>
      </c>
      <c r="D10" s="8" t="s">
        <v>70</v>
      </c>
    </row>
    <row r="11" spans="1:10" x14ac:dyDescent="0.3">
      <c r="A11" s="18" t="s">
        <v>71</v>
      </c>
      <c r="B11" s="62">
        <f>AVERAGE(I21:I43)</f>
        <v>126.27388929342032</v>
      </c>
      <c r="C11" s="62">
        <f>AVERAGE(O44:O47)</f>
        <v>151.47463895300575</v>
      </c>
      <c r="D11" s="62">
        <f>AVERAGE(I44:I47)</f>
        <v>165.69221995908902</v>
      </c>
      <c r="F11" s="5" t="s">
        <v>72</v>
      </c>
    </row>
    <row r="12" spans="1:10" x14ac:dyDescent="0.3">
      <c r="A12" s="18" t="s">
        <v>73</v>
      </c>
      <c r="B12" s="62">
        <f>AVERAGE(J21:J43)</f>
        <v>21420.139552114262</v>
      </c>
      <c r="C12" s="62">
        <f>AVERAGE(P44:P47)</f>
        <v>31848.553821369183</v>
      </c>
      <c r="D12" s="62">
        <f>AVERAGE(J44:J47)</f>
        <v>35997.047393443347</v>
      </c>
      <c r="F12" s="15" t="s">
        <v>74</v>
      </c>
      <c r="J12" s="20">
        <f>D12/B12</f>
        <v>1.6805234767898736</v>
      </c>
    </row>
    <row r="13" spans="1:10" x14ac:dyDescent="0.3">
      <c r="A13" s="18" t="s">
        <v>75</v>
      </c>
      <c r="B13" s="62">
        <f>SQRT(AVERAGE(J21:J43))</f>
        <v>146.35620776760467</v>
      </c>
      <c r="C13" s="62">
        <f>SQRT(AVERAGE(P44:P47))</f>
        <v>178.46163123027085</v>
      </c>
      <c r="D13" s="62">
        <f>SQRT(AVERAGE(J44:J47))</f>
        <v>189.72887864909586</v>
      </c>
    </row>
    <row r="14" spans="1:10" x14ac:dyDescent="0.3">
      <c r="A14" s="18" t="s">
        <v>76</v>
      </c>
      <c r="B14" s="63">
        <f>AVERAGE(K21:K43)</f>
        <v>0.35372479317825734</v>
      </c>
      <c r="C14" s="63">
        <f>AVERAGE(Q44:Q47)</f>
        <v>0.21970673786267397</v>
      </c>
      <c r="D14" s="63">
        <f>AVERAGE(K44:K47)</f>
        <v>0.25668487644744087</v>
      </c>
    </row>
    <row r="15" spans="1:10" x14ac:dyDescent="0.3">
      <c r="A15" s="18" t="s">
        <v>77</v>
      </c>
      <c r="B15" s="63">
        <f>AVERAGE(L21:L43)</f>
        <v>-0.11546238613663613</v>
      </c>
      <c r="C15" s="63">
        <f>AVERAGE(R44:R47)</f>
        <v>0.11187260220268674</v>
      </c>
      <c r="D15" s="63">
        <f>AVERAGE(L44:L47)</f>
        <v>1.353323305872374E-2</v>
      </c>
    </row>
    <row r="16" spans="1:10" x14ac:dyDescent="0.3">
      <c r="A16" s="18" t="s">
        <v>78</v>
      </c>
      <c r="B16" s="62">
        <f>SUM(J21:J43)</f>
        <v>492663.20969862805</v>
      </c>
      <c r="C16" s="62">
        <f>SUM(P44:P47)</f>
        <v>127394.21528547673</v>
      </c>
      <c r="D16" s="62">
        <f>SUM(J44:J47)</f>
        <v>143988.18957377339</v>
      </c>
    </row>
    <row r="17" spans="1:18" x14ac:dyDescent="0.3">
      <c r="A17" s="18" t="s">
        <v>79</v>
      </c>
      <c r="B17" s="64">
        <f>COUNT(J21:J43)</f>
        <v>23</v>
      </c>
      <c r="C17" s="64">
        <f>COUNT(P44:P47)</f>
        <v>4</v>
      </c>
      <c r="D17" s="64">
        <f>COUNT(J44:J47)</f>
        <v>4</v>
      </c>
    </row>
    <row r="19" spans="1:18" ht="42" customHeight="1" x14ac:dyDescent="0.3">
      <c r="A19" s="8" t="s">
        <v>43</v>
      </c>
      <c r="B19" s="8" t="s">
        <v>44</v>
      </c>
      <c r="C19" s="8" t="s">
        <v>80</v>
      </c>
      <c r="D19" s="8" t="s">
        <v>47</v>
      </c>
      <c r="E19" s="8" t="s">
        <v>81</v>
      </c>
      <c r="F19" s="8" t="s">
        <v>82</v>
      </c>
      <c r="G19" s="8" t="s">
        <v>83</v>
      </c>
      <c r="H19" s="8" t="s">
        <v>84</v>
      </c>
      <c r="I19" s="8" t="s">
        <v>85</v>
      </c>
      <c r="J19" s="8" t="s">
        <v>86</v>
      </c>
      <c r="K19" s="8" t="s">
        <v>87</v>
      </c>
      <c r="L19" s="8" t="s">
        <v>88</v>
      </c>
      <c r="M19" s="8" t="s">
        <v>89</v>
      </c>
      <c r="N19" s="8" t="s">
        <v>84</v>
      </c>
      <c r="O19" s="8" t="s">
        <v>85</v>
      </c>
      <c r="P19" s="8" t="s">
        <v>86</v>
      </c>
      <c r="Q19" s="8" t="s">
        <v>87</v>
      </c>
      <c r="R19" s="8" t="s">
        <v>88</v>
      </c>
    </row>
    <row r="20" spans="1:18" x14ac:dyDescent="0.3">
      <c r="A20" s="23">
        <v>1</v>
      </c>
      <c r="B20" s="23" t="s">
        <v>50</v>
      </c>
      <c r="C20" s="24">
        <v>1</v>
      </c>
      <c r="D20" s="24" t="s">
        <v>51</v>
      </c>
      <c r="E20" s="24">
        <f>Dados!D5</f>
        <v>500</v>
      </c>
      <c r="F20" s="24">
        <f>E20</f>
        <v>500</v>
      </c>
      <c r="G20" s="24"/>
      <c r="H20" s="24"/>
      <c r="I20" s="24"/>
      <c r="J20" s="24"/>
      <c r="K20" s="25"/>
      <c r="L20" s="25"/>
      <c r="M20" s="24"/>
      <c r="N20" s="24"/>
      <c r="O20" s="24"/>
      <c r="P20" s="24"/>
      <c r="Q20" s="25"/>
      <c r="R20" s="25"/>
    </row>
    <row r="21" spans="1:18" x14ac:dyDescent="0.3">
      <c r="A21" s="9">
        <v>2</v>
      </c>
      <c r="B21" s="9" t="s">
        <v>50</v>
      </c>
      <c r="C21" s="26">
        <v>2</v>
      </c>
      <c r="D21" s="26" t="s">
        <v>51</v>
      </c>
      <c r="E21" s="26">
        <f>Dados!D6</f>
        <v>350</v>
      </c>
      <c r="F21" s="26">
        <f t="shared" ref="F21:F47" si="0">$B$4*E21+(1-$B$4)*F20</f>
        <v>449.68914297647018</v>
      </c>
      <c r="G21" s="26">
        <f t="shared" ref="G21:G47" si="1">F20</f>
        <v>500</v>
      </c>
      <c r="H21" s="26">
        <f t="shared" ref="H21:H47" si="2">E21-G21</f>
        <v>-150</v>
      </c>
      <c r="I21" s="26">
        <f t="shared" ref="I21:I47" si="3">ABS(H21)</f>
        <v>150</v>
      </c>
      <c r="J21" s="26">
        <f t="shared" ref="J21:J47" si="4">H21^2</f>
        <v>22500</v>
      </c>
      <c r="K21" s="27">
        <f t="shared" ref="K21:K47" si="5">I21/E21</f>
        <v>0.42857142857142855</v>
      </c>
      <c r="L21" s="27">
        <f t="shared" ref="L21:L47" si="6">H21/E21</f>
        <v>-0.42857142857142855</v>
      </c>
      <c r="M21" s="26"/>
      <c r="N21" s="26"/>
      <c r="O21" s="26"/>
      <c r="P21" s="26"/>
      <c r="Q21" s="27"/>
      <c r="R21" s="27"/>
    </row>
    <row r="22" spans="1:18" x14ac:dyDescent="0.3">
      <c r="A22" s="9">
        <v>3</v>
      </c>
      <c r="B22" s="9" t="s">
        <v>50</v>
      </c>
      <c r="C22" s="26">
        <v>3</v>
      </c>
      <c r="D22" s="26" t="s">
        <v>51</v>
      </c>
      <c r="E22" s="26">
        <f>Dados!D7</f>
        <v>250</v>
      </c>
      <c r="F22" s="26">
        <f t="shared" si="0"/>
        <v>382.71226350020089</v>
      </c>
      <c r="G22" s="26">
        <f t="shared" si="1"/>
        <v>449.68914297647018</v>
      </c>
      <c r="H22" s="26">
        <f t="shared" si="2"/>
        <v>-199.68914297647018</v>
      </c>
      <c r="I22" s="26">
        <f t="shared" si="3"/>
        <v>199.68914297647018</v>
      </c>
      <c r="J22" s="26">
        <f t="shared" si="4"/>
        <v>39875.75382267715</v>
      </c>
      <c r="K22" s="27">
        <f t="shared" si="5"/>
        <v>0.79875657190588067</v>
      </c>
      <c r="L22" s="27">
        <f t="shared" si="6"/>
        <v>-0.79875657190588067</v>
      </c>
      <c r="M22" s="26"/>
      <c r="N22" s="26"/>
      <c r="O22" s="26"/>
      <c r="P22" s="26"/>
      <c r="Q22" s="27"/>
      <c r="R22" s="27"/>
    </row>
    <row r="23" spans="1:18" x14ac:dyDescent="0.3">
      <c r="A23" s="9">
        <v>4</v>
      </c>
      <c r="B23" s="9" t="s">
        <v>50</v>
      </c>
      <c r="C23" s="26">
        <v>4</v>
      </c>
      <c r="D23" s="26" t="s">
        <v>51</v>
      </c>
      <c r="E23" s="26">
        <f>Dados!D8</f>
        <v>400</v>
      </c>
      <c r="F23" s="26">
        <f t="shared" si="0"/>
        <v>388.51066909554652</v>
      </c>
      <c r="G23" s="26">
        <f t="shared" si="1"/>
        <v>382.71226350020089</v>
      </c>
      <c r="H23" s="26">
        <f t="shared" si="2"/>
        <v>17.287736499799109</v>
      </c>
      <c r="I23" s="26">
        <f t="shared" si="3"/>
        <v>17.287736499799109</v>
      </c>
      <c r="J23" s="26">
        <f t="shared" si="4"/>
        <v>298.86583328648635</v>
      </c>
      <c r="K23" s="27">
        <f t="shared" si="5"/>
        <v>4.3219341249497771E-2</v>
      </c>
      <c r="L23" s="27">
        <f t="shared" si="6"/>
        <v>4.3219341249497771E-2</v>
      </c>
      <c r="M23" s="26"/>
      <c r="N23" s="26"/>
      <c r="O23" s="26"/>
      <c r="P23" s="26"/>
      <c r="Q23" s="27"/>
      <c r="R23" s="27"/>
    </row>
    <row r="24" spans="1:18" x14ac:dyDescent="0.3">
      <c r="A24" s="9">
        <v>5</v>
      </c>
      <c r="B24" s="9" t="s">
        <v>52</v>
      </c>
      <c r="C24" s="26">
        <v>1</v>
      </c>
      <c r="D24" s="26" t="s">
        <v>51</v>
      </c>
      <c r="E24" s="26">
        <f>Dados!D9</f>
        <v>450</v>
      </c>
      <c r="F24" s="26">
        <f t="shared" si="0"/>
        <v>409.13454199958971</v>
      </c>
      <c r="G24" s="26">
        <f t="shared" si="1"/>
        <v>388.51066909554652</v>
      </c>
      <c r="H24" s="26">
        <f t="shared" si="2"/>
        <v>61.489330904453482</v>
      </c>
      <c r="I24" s="26">
        <f t="shared" si="3"/>
        <v>61.489330904453482</v>
      </c>
      <c r="J24" s="26">
        <f t="shared" si="4"/>
        <v>3780.9378150773782</v>
      </c>
      <c r="K24" s="27">
        <f t="shared" si="5"/>
        <v>0.13664295756545219</v>
      </c>
      <c r="L24" s="27">
        <f t="shared" si="6"/>
        <v>0.13664295756545219</v>
      </c>
      <c r="M24" s="26"/>
      <c r="N24" s="26"/>
      <c r="O24" s="26"/>
      <c r="P24" s="26"/>
      <c r="Q24" s="27"/>
      <c r="R24" s="27"/>
    </row>
    <row r="25" spans="1:18" x14ac:dyDescent="0.3">
      <c r="A25" s="9">
        <v>6</v>
      </c>
      <c r="B25" s="9" t="s">
        <v>52</v>
      </c>
      <c r="C25" s="26">
        <v>2</v>
      </c>
      <c r="D25" s="26" t="s">
        <v>51</v>
      </c>
      <c r="E25" s="26">
        <f>Dados!D10</f>
        <v>350</v>
      </c>
      <c r="F25" s="26">
        <f t="shared" si="0"/>
        <v>389.3004787483012</v>
      </c>
      <c r="G25" s="26">
        <f t="shared" si="1"/>
        <v>409.13454199958971</v>
      </c>
      <c r="H25" s="26">
        <f t="shared" si="2"/>
        <v>-59.134541999589715</v>
      </c>
      <c r="I25" s="26">
        <f t="shared" si="3"/>
        <v>59.134541999589715</v>
      </c>
      <c r="J25" s="26">
        <f t="shared" si="4"/>
        <v>3496.8940575012398</v>
      </c>
      <c r="K25" s="27">
        <f t="shared" si="5"/>
        <v>0.16895583428454203</v>
      </c>
      <c r="L25" s="27">
        <f t="shared" si="6"/>
        <v>-0.16895583428454203</v>
      </c>
      <c r="M25" s="26"/>
      <c r="N25" s="26"/>
      <c r="O25" s="26"/>
      <c r="P25" s="26"/>
      <c r="Q25" s="27"/>
      <c r="R25" s="27"/>
    </row>
    <row r="26" spans="1:18" x14ac:dyDescent="0.3">
      <c r="A26" s="9">
        <v>7</v>
      </c>
      <c r="B26" s="9" t="s">
        <v>52</v>
      </c>
      <c r="C26" s="26">
        <v>3</v>
      </c>
      <c r="D26" s="26" t="s">
        <v>51</v>
      </c>
      <c r="E26" s="26">
        <f>Dados!D11</f>
        <v>200</v>
      </c>
      <c r="F26" s="26">
        <f t="shared" si="0"/>
        <v>325.80801660969098</v>
      </c>
      <c r="G26" s="26">
        <f t="shared" si="1"/>
        <v>389.3004787483012</v>
      </c>
      <c r="H26" s="26">
        <f t="shared" si="2"/>
        <v>-189.3004787483012</v>
      </c>
      <c r="I26" s="26">
        <f t="shared" si="3"/>
        <v>189.3004787483012</v>
      </c>
      <c r="J26" s="26">
        <f t="shared" si="4"/>
        <v>35834.671254336034</v>
      </c>
      <c r="K26" s="27">
        <f t="shared" si="5"/>
        <v>0.94650239374150602</v>
      </c>
      <c r="L26" s="27">
        <f t="shared" si="6"/>
        <v>-0.94650239374150602</v>
      </c>
      <c r="M26" s="26"/>
      <c r="N26" s="26"/>
      <c r="O26" s="26"/>
      <c r="P26" s="26"/>
      <c r="Q26" s="27"/>
      <c r="R26" s="27"/>
    </row>
    <row r="27" spans="1:18" x14ac:dyDescent="0.3">
      <c r="A27" s="9">
        <v>8</v>
      </c>
      <c r="B27" s="9" t="s">
        <v>52</v>
      </c>
      <c r="C27" s="26">
        <v>4</v>
      </c>
      <c r="D27" s="26" t="s">
        <v>51</v>
      </c>
      <c r="E27" s="26">
        <f>Dados!D12</f>
        <v>300</v>
      </c>
      <c r="F27" s="26">
        <f t="shared" si="0"/>
        <v>317.15186038495068</v>
      </c>
      <c r="G27" s="26">
        <f t="shared" si="1"/>
        <v>325.80801660969098</v>
      </c>
      <c r="H27" s="26">
        <f t="shared" si="2"/>
        <v>-25.808016609690981</v>
      </c>
      <c r="I27" s="26">
        <f t="shared" si="3"/>
        <v>25.808016609690981</v>
      </c>
      <c r="J27" s="26">
        <f t="shared" si="4"/>
        <v>666.05372132608557</v>
      </c>
      <c r="K27" s="27">
        <f t="shared" si="5"/>
        <v>8.6026722032303271E-2</v>
      </c>
      <c r="L27" s="27">
        <f t="shared" si="6"/>
        <v>-8.6026722032303271E-2</v>
      </c>
      <c r="M27" s="26"/>
      <c r="N27" s="26"/>
      <c r="O27" s="26"/>
      <c r="P27" s="26"/>
      <c r="Q27" s="27"/>
      <c r="R27" s="27"/>
    </row>
    <row r="28" spans="1:18" x14ac:dyDescent="0.3">
      <c r="A28" s="9">
        <v>9</v>
      </c>
      <c r="B28" s="9" t="s">
        <v>53</v>
      </c>
      <c r="C28" s="26">
        <v>1</v>
      </c>
      <c r="D28" s="26" t="s">
        <v>51</v>
      </c>
      <c r="E28" s="26">
        <f>Dados!D13</f>
        <v>350</v>
      </c>
      <c r="F28" s="26">
        <f t="shared" si="0"/>
        <v>328.16931408936199</v>
      </c>
      <c r="G28" s="26">
        <f t="shared" si="1"/>
        <v>317.15186038495068</v>
      </c>
      <c r="H28" s="26">
        <f t="shared" si="2"/>
        <v>32.84813961504932</v>
      </c>
      <c r="I28" s="26">
        <f t="shared" si="3"/>
        <v>32.84813961504932</v>
      </c>
      <c r="J28" s="26">
        <f t="shared" si="4"/>
        <v>1079.0002761697724</v>
      </c>
      <c r="K28" s="27">
        <f t="shared" si="5"/>
        <v>9.3851827471569491E-2</v>
      </c>
      <c r="L28" s="27">
        <f t="shared" si="6"/>
        <v>9.3851827471569491E-2</v>
      </c>
      <c r="M28" s="26"/>
      <c r="N28" s="26"/>
      <c r="O28" s="26"/>
      <c r="P28" s="26"/>
      <c r="Q28" s="27"/>
      <c r="R28" s="27"/>
    </row>
    <row r="29" spans="1:18" x14ac:dyDescent="0.3">
      <c r="A29" s="9">
        <v>10</v>
      </c>
      <c r="B29" s="9" t="s">
        <v>53</v>
      </c>
      <c r="C29" s="26">
        <v>2</v>
      </c>
      <c r="D29" s="26" t="s">
        <v>51</v>
      </c>
      <c r="E29" s="26">
        <f>Dados!D14</f>
        <v>200</v>
      </c>
      <c r="F29" s="26">
        <f t="shared" si="0"/>
        <v>285.18059384967012</v>
      </c>
      <c r="G29" s="26">
        <f t="shared" si="1"/>
        <v>328.16931408936199</v>
      </c>
      <c r="H29" s="26">
        <f t="shared" si="2"/>
        <v>-128.16931408936199</v>
      </c>
      <c r="I29" s="26">
        <f t="shared" si="3"/>
        <v>128.16931408936199</v>
      </c>
      <c r="J29" s="26">
        <f t="shared" si="4"/>
        <v>16427.373074137526</v>
      </c>
      <c r="K29" s="27">
        <f t="shared" si="5"/>
        <v>0.64084657044680993</v>
      </c>
      <c r="L29" s="27">
        <f t="shared" si="6"/>
        <v>-0.64084657044680993</v>
      </c>
      <c r="M29" s="26"/>
      <c r="N29" s="26"/>
      <c r="O29" s="26"/>
      <c r="P29" s="26"/>
      <c r="Q29" s="27"/>
      <c r="R29" s="27"/>
    </row>
    <row r="30" spans="1:18" x14ac:dyDescent="0.3">
      <c r="A30" s="9">
        <v>11</v>
      </c>
      <c r="B30" s="9" t="s">
        <v>53</v>
      </c>
      <c r="C30" s="26">
        <v>3</v>
      </c>
      <c r="D30" s="26" t="s">
        <v>51</v>
      </c>
      <c r="E30" s="26">
        <f>Dados!D15</f>
        <v>150</v>
      </c>
      <c r="F30" s="26">
        <f t="shared" si="0"/>
        <v>239.84025031949272</v>
      </c>
      <c r="G30" s="26">
        <f t="shared" si="1"/>
        <v>285.18059384967012</v>
      </c>
      <c r="H30" s="26">
        <f t="shared" si="2"/>
        <v>-135.18059384967012</v>
      </c>
      <c r="I30" s="26">
        <f t="shared" si="3"/>
        <v>135.18059384967012</v>
      </c>
      <c r="J30" s="26">
        <f t="shared" si="4"/>
        <v>18273.79295354947</v>
      </c>
      <c r="K30" s="27">
        <f t="shared" si="5"/>
        <v>0.90120395899780081</v>
      </c>
      <c r="L30" s="27">
        <f t="shared" si="6"/>
        <v>-0.90120395899780081</v>
      </c>
      <c r="M30" s="26"/>
      <c r="N30" s="26"/>
      <c r="O30" s="26"/>
      <c r="P30" s="26"/>
      <c r="Q30" s="27"/>
      <c r="R30" s="27"/>
    </row>
    <row r="31" spans="1:18" x14ac:dyDescent="0.3">
      <c r="A31" s="9">
        <v>12</v>
      </c>
      <c r="B31" s="9" t="s">
        <v>53</v>
      </c>
      <c r="C31" s="26">
        <v>4</v>
      </c>
      <c r="D31" s="26" t="s">
        <v>51</v>
      </c>
      <c r="E31" s="26">
        <f>Dados!D16</f>
        <v>400</v>
      </c>
      <c r="F31" s="26">
        <f t="shared" si="0"/>
        <v>293.55874543349489</v>
      </c>
      <c r="G31" s="26">
        <f t="shared" si="1"/>
        <v>239.84025031949272</v>
      </c>
      <c r="H31" s="26">
        <f t="shared" si="2"/>
        <v>160.15974968050728</v>
      </c>
      <c r="I31" s="26">
        <f t="shared" si="3"/>
        <v>160.15974968050728</v>
      </c>
      <c r="J31" s="26">
        <f t="shared" si="4"/>
        <v>25651.14541772275</v>
      </c>
      <c r="K31" s="27">
        <f t="shared" si="5"/>
        <v>0.4003993742012682</v>
      </c>
      <c r="L31" s="27">
        <f t="shared" si="6"/>
        <v>0.4003993742012682</v>
      </c>
      <c r="M31" s="26"/>
      <c r="N31" s="26"/>
      <c r="O31" s="26"/>
      <c r="P31" s="26"/>
      <c r="Q31" s="27"/>
      <c r="R31" s="27"/>
    </row>
    <row r="32" spans="1:18" x14ac:dyDescent="0.3">
      <c r="A32" s="9">
        <v>13</v>
      </c>
      <c r="B32" s="9" t="s">
        <v>55</v>
      </c>
      <c r="C32" s="26">
        <v>1</v>
      </c>
      <c r="D32" s="26" t="s">
        <v>51</v>
      </c>
      <c r="E32" s="26">
        <f>Dados!D17</f>
        <v>550</v>
      </c>
      <c r="F32" s="26">
        <f t="shared" si="0"/>
        <v>379.57060738969528</v>
      </c>
      <c r="G32" s="26">
        <f t="shared" si="1"/>
        <v>293.55874543349489</v>
      </c>
      <c r="H32" s="26">
        <f t="shared" si="2"/>
        <v>256.44125456650511</v>
      </c>
      <c r="I32" s="26">
        <f t="shared" si="3"/>
        <v>256.44125456650511</v>
      </c>
      <c r="J32" s="26">
        <f t="shared" si="4"/>
        <v>65762.117043643084</v>
      </c>
      <c r="K32" s="27">
        <f t="shared" si="5"/>
        <v>0.46625682648455474</v>
      </c>
      <c r="L32" s="27">
        <f t="shared" si="6"/>
        <v>0.46625682648455474</v>
      </c>
      <c r="M32" s="26"/>
      <c r="N32" s="26"/>
      <c r="O32" s="26"/>
      <c r="P32" s="26"/>
      <c r="Q32" s="27"/>
      <c r="R32" s="27"/>
    </row>
    <row r="33" spans="1:18" x14ac:dyDescent="0.3">
      <c r="A33" s="9">
        <v>14</v>
      </c>
      <c r="B33" s="9" t="s">
        <v>55</v>
      </c>
      <c r="C33" s="26">
        <v>2</v>
      </c>
      <c r="D33" s="26" t="s">
        <v>51</v>
      </c>
      <c r="E33" s="26">
        <f>Dados!D18</f>
        <v>350</v>
      </c>
      <c r="F33" s="26">
        <f t="shared" si="0"/>
        <v>369.65245671981597</v>
      </c>
      <c r="G33" s="26">
        <f t="shared" si="1"/>
        <v>379.57060738969528</v>
      </c>
      <c r="H33" s="26">
        <f t="shared" si="2"/>
        <v>-29.570607389695283</v>
      </c>
      <c r="I33" s="26">
        <f t="shared" si="3"/>
        <v>29.570607389695283</v>
      </c>
      <c r="J33" s="26">
        <f t="shared" si="4"/>
        <v>874.42082139550132</v>
      </c>
      <c r="K33" s="27">
        <f t="shared" si="5"/>
        <v>8.448744968484366E-2</v>
      </c>
      <c r="L33" s="27">
        <f t="shared" si="6"/>
        <v>-8.448744968484366E-2</v>
      </c>
      <c r="M33" s="26"/>
      <c r="N33" s="26"/>
      <c r="O33" s="26"/>
      <c r="P33" s="26"/>
      <c r="Q33" s="27"/>
      <c r="R33" s="27"/>
    </row>
    <row r="34" spans="1:18" x14ac:dyDescent="0.3">
      <c r="A34" s="9">
        <v>15</v>
      </c>
      <c r="B34" s="9" t="s">
        <v>55</v>
      </c>
      <c r="C34" s="26">
        <v>3</v>
      </c>
      <c r="D34" s="26" t="s">
        <v>51</v>
      </c>
      <c r="E34" s="26">
        <f>Dados!D19</f>
        <v>250</v>
      </c>
      <c r="F34" s="26">
        <f t="shared" si="0"/>
        <v>329.52033910285093</v>
      </c>
      <c r="G34" s="26">
        <f t="shared" si="1"/>
        <v>369.65245671981597</v>
      </c>
      <c r="H34" s="26">
        <f t="shared" si="2"/>
        <v>-119.65245671981597</v>
      </c>
      <c r="I34" s="26">
        <f t="shared" si="3"/>
        <v>119.65245671981597</v>
      </c>
      <c r="J34" s="26">
        <f t="shared" si="4"/>
        <v>14316.710399087435</v>
      </c>
      <c r="K34" s="27">
        <f t="shared" si="5"/>
        <v>0.4786098268792639</v>
      </c>
      <c r="L34" s="27">
        <f t="shared" si="6"/>
        <v>-0.4786098268792639</v>
      </c>
      <c r="M34" s="26"/>
      <c r="N34" s="26"/>
      <c r="O34" s="26"/>
      <c r="P34" s="26"/>
      <c r="Q34" s="27"/>
      <c r="R34" s="27"/>
    </row>
    <row r="35" spans="1:18" x14ac:dyDescent="0.3">
      <c r="A35" s="9">
        <v>16</v>
      </c>
      <c r="B35" s="9" t="s">
        <v>55</v>
      </c>
      <c r="C35" s="26">
        <v>4</v>
      </c>
      <c r="D35" s="26" t="s">
        <v>51</v>
      </c>
      <c r="E35" s="26">
        <f>Dados!D20</f>
        <v>550</v>
      </c>
      <c r="F35" s="26">
        <f t="shared" si="0"/>
        <v>403.47047707613632</v>
      </c>
      <c r="G35" s="26">
        <f t="shared" si="1"/>
        <v>329.52033910285093</v>
      </c>
      <c r="H35" s="26">
        <f t="shared" si="2"/>
        <v>220.47966089714907</v>
      </c>
      <c r="I35" s="26">
        <f t="shared" si="3"/>
        <v>220.47966089714907</v>
      </c>
      <c r="J35" s="26">
        <f t="shared" si="4"/>
        <v>48611.280869321847</v>
      </c>
      <c r="K35" s="27">
        <f t="shared" si="5"/>
        <v>0.40087211072208923</v>
      </c>
      <c r="L35" s="27">
        <f t="shared" si="6"/>
        <v>0.40087211072208923</v>
      </c>
      <c r="M35" s="26"/>
      <c r="N35" s="26"/>
      <c r="O35" s="26"/>
      <c r="P35" s="26"/>
      <c r="Q35" s="27"/>
      <c r="R35" s="27"/>
    </row>
    <row r="36" spans="1:18" x14ac:dyDescent="0.3">
      <c r="A36" s="9">
        <v>17</v>
      </c>
      <c r="B36" s="9" t="s">
        <v>56</v>
      </c>
      <c r="C36" s="26">
        <v>1</v>
      </c>
      <c r="D36" s="26" t="s">
        <v>51</v>
      </c>
      <c r="E36" s="26">
        <f>Dados!D21</f>
        <v>550</v>
      </c>
      <c r="F36" s="26">
        <f t="shared" si="0"/>
        <v>452.61731625979326</v>
      </c>
      <c r="G36" s="26">
        <f t="shared" si="1"/>
        <v>403.47047707613632</v>
      </c>
      <c r="H36" s="26">
        <f t="shared" si="2"/>
        <v>146.52952292386368</v>
      </c>
      <c r="I36" s="26">
        <f t="shared" si="3"/>
        <v>146.52952292386368</v>
      </c>
      <c r="J36" s="26">
        <f t="shared" si="4"/>
        <v>21470.901088295093</v>
      </c>
      <c r="K36" s="27">
        <f t="shared" si="5"/>
        <v>0.26641731440702487</v>
      </c>
      <c r="L36" s="27">
        <f t="shared" si="6"/>
        <v>0.26641731440702487</v>
      </c>
      <c r="M36" s="26"/>
      <c r="N36" s="26"/>
      <c r="O36" s="26"/>
      <c r="P36" s="26"/>
      <c r="Q36" s="27"/>
      <c r="R36" s="27"/>
    </row>
    <row r="37" spans="1:18" x14ac:dyDescent="0.3">
      <c r="A37" s="9">
        <v>18</v>
      </c>
      <c r="B37" s="9" t="s">
        <v>56</v>
      </c>
      <c r="C37" s="26">
        <v>2</v>
      </c>
      <c r="D37" s="26" t="s">
        <v>51</v>
      </c>
      <c r="E37" s="26">
        <f>Dados!D22</f>
        <v>400</v>
      </c>
      <c r="F37" s="26">
        <f t="shared" si="0"/>
        <v>434.96916775773786</v>
      </c>
      <c r="G37" s="26">
        <f t="shared" si="1"/>
        <v>452.61731625979326</v>
      </c>
      <c r="H37" s="26">
        <f t="shared" si="2"/>
        <v>-52.617316259793256</v>
      </c>
      <c r="I37" s="26">
        <f t="shared" si="3"/>
        <v>52.617316259793256</v>
      </c>
      <c r="J37" s="26">
        <f t="shared" si="4"/>
        <v>2768.5819703831039</v>
      </c>
      <c r="K37" s="27">
        <f t="shared" si="5"/>
        <v>0.13154329064948314</v>
      </c>
      <c r="L37" s="27">
        <f t="shared" si="6"/>
        <v>-0.13154329064948314</v>
      </c>
      <c r="M37" s="26"/>
      <c r="N37" s="26"/>
      <c r="O37" s="26"/>
      <c r="P37" s="26"/>
      <c r="Q37" s="27"/>
      <c r="R37" s="27"/>
    </row>
    <row r="38" spans="1:18" x14ac:dyDescent="0.3">
      <c r="A38" s="9">
        <v>19</v>
      </c>
      <c r="B38" s="9" t="s">
        <v>56</v>
      </c>
      <c r="C38" s="26">
        <v>3</v>
      </c>
      <c r="D38" s="26" t="s">
        <v>51</v>
      </c>
      <c r="E38" s="26">
        <f>Dados!D23</f>
        <v>350</v>
      </c>
      <c r="F38" s="26">
        <f t="shared" si="0"/>
        <v>406.47002342128542</v>
      </c>
      <c r="G38" s="26">
        <f t="shared" si="1"/>
        <v>434.96916775773786</v>
      </c>
      <c r="H38" s="26">
        <f t="shared" si="2"/>
        <v>-84.969167757737864</v>
      </c>
      <c r="I38" s="26">
        <f t="shared" si="3"/>
        <v>84.969167757737864</v>
      </c>
      <c r="J38" s="26">
        <f t="shared" si="4"/>
        <v>7219.7594694425998</v>
      </c>
      <c r="K38" s="27">
        <f t="shared" si="5"/>
        <v>0.2427690507363939</v>
      </c>
      <c r="L38" s="27">
        <f t="shared" si="6"/>
        <v>-0.2427690507363939</v>
      </c>
      <c r="M38" s="26"/>
      <c r="N38" s="26"/>
      <c r="O38" s="26"/>
      <c r="P38" s="26"/>
      <c r="Q38" s="27"/>
      <c r="R38" s="27"/>
    </row>
    <row r="39" spans="1:18" x14ac:dyDescent="0.3">
      <c r="A39" s="9">
        <v>20</v>
      </c>
      <c r="B39" s="9" t="s">
        <v>56</v>
      </c>
      <c r="C39" s="26">
        <v>4</v>
      </c>
      <c r="D39" s="26" t="s">
        <v>51</v>
      </c>
      <c r="E39" s="26">
        <f>Dados!D24</f>
        <v>600</v>
      </c>
      <c r="F39" s="26">
        <f t="shared" si="0"/>
        <v>471.38108329741067</v>
      </c>
      <c r="G39" s="26">
        <f t="shared" si="1"/>
        <v>406.47002342128542</v>
      </c>
      <c r="H39" s="26">
        <f t="shared" si="2"/>
        <v>193.52997657871458</v>
      </c>
      <c r="I39" s="26">
        <f t="shared" si="3"/>
        <v>193.52997657871458</v>
      </c>
      <c r="J39" s="26">
        <f t="shared" si="4"/>
        <v>37453.851834557812</v>
      </c>
      <c r="K39" s="27">
        <f t="shared" si="5"/>
        <v>0.32254996096452432</v>
      </c>
      <c r="L39" s="27">
        <f t="shared" si="6"/>
        <v>0.32254996096452432</v>
      </c>
      <c r="M39" s="26"/>
      <c r="N39" s="26"/>
      <c r="O39" s="26"/>
      <c r="P39" s="26"/>
      <c r="Q39" s="27"/>
      <c r="R39" s="27"/>
    </row>
    <row r="40" spans="1:18" x14ac:dyDescent="0.3">
      <c r="A40" s="9">
        <v>21</v>
      </c>
      <c r="B40" s="9" t="s">
        <v>57</v>
      </c>
      <c r="C40" s="26">
        <v>1</v>
      </c>
      <c r="D40" s="26" t="s">
        <v>51</v>
      </c>
      <c r="E40" s="26">
        <f>Dados!D25</f>
        <v>750</v>
      </c>
      <c r="F40" s="26">
        <f t="shared" si="0"/>
        <v>564.83145984590897</v>
      </c>
      <c r="G40" s="26">
        <f t="shared" si="1"/>
        <v>471.38108329741067</v>
      </c>
      <c r="H40" s="26">
        <f t="shared" si="2"/>
        <v>278.61891670258933</v>
      </c>
      <c r="I40" s="26">
        <f t="shared" si="3"/>
        <v>278.61891670258933</v>
      </c>
      <c r="J40" s="26">
        <f t="shared" si="4"/>
        <v>77628.500744524412</v>
      </c>
      <c r="K40" s="27">
        <f t="shared" si="5"/>
        <v>0.37149188893678575</v>
      </c>
      <c r="L40" s="27">
        <f t="shared" si="6"/>
        <v>0.37149188893678575</v>
      </c>
      <c r="M40" s="26"/>
      <c r="N40" s="26"/>
      <c r="O40" s="26"/>
      <c r="P40" s="26"/>
      <c r="Q40" s="27"/>
      <c r="R40" s="27"/>
    </row>
    <row r="41" spans="1:18" x14ac:dyDescent="0.3">
      <c r="A41" s="9">
        <v>22</v>
      </c>
      <c r="B41" s="9" t="s">
        <v>57</v>
      </c>
      <c r="C41" s="26">
        <v>2</v>
      </c>
      <c r="D41" s="26" t="s">
        <v>51</v>
      </c>
      <c r="E41" s="26">
        <f>Dados!D26</f>
        <v>500</v>
      </c>
      <c r="F41" s="26">
        <f t="shared" si="0"/>
        <v>543.08661779968065</v>
      </c>
      <c r="G41" s="26">
        <f t="shared" si="1"/>
        <v>564.83145984590897</v>
      </c>
      <c r="H41" s="26">
        <f t="shared" si="2"/>
        <v>-64.831459845908967</v>
      </c>
      <c r="I41" s="26">
        <f t="shared" si="3"/>
        <v>64.831459845908967</v>
      </c>
      <c r="J41" s="26">
        <f t="shared" si="4"/>
        <v>4203.1181857517067</v>
      </c>
      <c r="K41" s="27">
        <f t="shared" si="5"/>
        <v>0.12966291969181792</v>
      </c>
      <c r="L41" s="27">
        <f t="shared" si="6"/>
        <v>-0.12966291969181792</v>
      </c>
      <c r="M41" s="26"/>
      <c r="N41" s="26"/>
      <c r="O41" s="26"/>
      <c r="P41" s="26"/>
      <c r="Q41" s="27"/>
      <c r="R41" s="27"/>
    </row>
    <row r="42" spans="1:18" x14ac:dyDescent="0.3">
      <c r="A42" s="9">
        <v>23</v>
      </c>
      <c r="B42" s="9" t="s">
        <v>57</v>
      </c>
      <c r="C42" s="26">
        <v>3</v>
      </c>
      <c r="D42" s="26" t="s">
        <v>51</v>
      </c>
      <c r="E42" s="26">
        <f>Dados!D27</f>
        <v>400</v>
      </c>
      <c r="F42" s="26">
        <f t="shared" si="0"/>
        <v>495.09454866567938</v>
      </c>
      <c r="G42" s="26">
        <f t="shared" si="1"/>
        <v>543.08661779968065</v>
      </c>
      <c r="H42" s="26">
        <f t="shared" si="2"/>
        <v>-143.08661779968065</v>
      </c>
      <c r="I42" s="26">
        <f t="shared" si="3"/>
        <v>143.08661779968065</v>
      </c>
      <c r="J42" s="26">
        <f t="shared" si="4"/>
        <v>20473.780193351889</v>
      </c>
      <c r="K42" s="27">
        <f t="shared" si="5"/>
        <v>0.35771654449920165</v>
      </c>
      <c r="L42" s="27">
        <f t="shared" si="6"/>
        <v>-0.35771654449920165</v>
      </c>
      <c r="M42" s="26"/>
      <c r="N42" s="26"/>
      <c r="O42" s="26"/>
      <c r="P42" s="26"/>
      <c r="Q42" s="27"/>
      <c r="R42" s="27"/>
    </row>
    <row r="43" spans="1:18" x14ac:dyDescent="0.3">
      <c r="A43" s="9">
        <v>24</v>
      </c>
      <c r="B43" s="9" t="s">
        <v>57</v>
      </c>
      <c r="C43" s="26">
        <v>4</v>
      </c>
      <c r="D43" s="26" t="s">
        <v>51</v>
      </c>
      <c r="E43" s="26">
        <f>Dados!D28</f>
        <v>650</v>
      </c>
      <c r="F43" s="26">
        <f t="shared" si="0"/>
        <v>547.0507220939885</v>
      </c>
      <c r="G43" s="26">
        <f t="shared" si="1"/>
        <v>495.09454866567938</v>
      </c>
      <c r="H43" s="26">
        <f t="shared" si="2"/>
        <v>154.90545133432062</v>
      </c>
      <c r="I43" s="26">
        <f t="shared" si="3"/>
        <v>154.90545133432062</v>
      </c>
      <c r="J43" s="26">
        <f t="shared" si="4"/>
        <v>23995.698853089572</v>
      </c>
      <c r="K43" s="27">
        <f t="shared" si="5"/>
        <v>0.23831607897587787</v>
      </c>
      <c r="L43" s="27">
        <f t="shared" si="6"/>
        <v>0.23831607897587787</v>
      </c>
      <c r="M43" s="26"/>
      <c r="N43" s="26"/>
      <c r="O43" s="26"/>
      <c r="P43" s="26"/>
      <c r="Q43" s="27"/>
      <c r="R43" s="27"/>
    </row>
    <row r="44" spans="1:18" x14ac:dyDescent="0.3">
      <c r="A44" s="12">
        <v>25</v>
      </c>
      <c r="B44" s="12" t="s">
        <v>58</v>
      </c>
      <c r="C44" s="28">
        <v>1</v>
      </c>
      <c r="D44" s="28" t="s">
        <v>54</v>
      </c>
      <c r="E44" s="28">
        <f>Dados!D29</f>
        <v>850</v>
      </c>
      <c r="F44" s="28">
        <f t="shared" si="0"/>
        <v>648.66164080139492</v>
      </c>
      <c r="G44" s="65">
        <f t="shared" si="1"/>
        <v>547.0507220939885</v>
      </c>
      <c r="H44" s="28">
        <f t="shared" si="2"/>
        <v>302.9492779060115</v>
      </c>
      <c r="I44" s="28">
        <f t="shared" si="3"/>
        <v>302.9492779060115</v>
      </c>
      <c r="J44" s="28">
        <f t="shared" si="4"/>
        <v>91778.264983773784</v>
      </c>
      <c r="K44" s="29">
        <f t="shared" si="5"/>
        <v>0.35641091518354295</v>
      </c>
      <c r="L44" s="29">
        <f t="shared" si="6"/>
        <v>0.35641091518354295</v>
      </c>
      <c r="M44" s="28">
        <f>$F$43</f>
        <v>547.0507220939885</v>
      </c>
      <c r="N44" s="28">
        <f>E44-M44</f>
        <v>302.9492779060115</v>
      </c>
      <c r="O44" s="28">
        <f>ABS(N44)</f>
        <v>302.9492779060115</v>
      </c>
      <c r="P44" s="28">
        <f>N44^2</f>
        <v>91778.264983773784</v>
      </c>
      <c r="Q44" s="29">
        <f>O44/E44</f>
        <v>0.35641091518354295</v>
      </c>
      <c r="R44" s="29">
        <f>N44/E44</f>
        <v>0.35641091518354295</v>
      </c>
    </row>
    <row r="45" spans="1:18" x14ac:dyDescent="0.3">
      <c r="A45" s="12">
        <v>26</v>
      </c>
      <c r="B45" s="12" t="s">
        <v>58</v>
      </c>
      <c r="C45" s="28">
        <v>2</v>
      </c>
      <c r="D45" s="28" t="s">
        <v>54</v>
      </c>
      <c r="E45" s="28">
        <f>Dados!D30</f>
        <v>600</v>
      </c>
      <c r="F45" s="28">
        <f t="shared" si="0"/>
        <v>632.34024844879923</v>
      </c>
      <c r="G45" s="65">
        <f t="shared" si="1"/>
        <v>648.66164080139492</v>
      </c>
      <c r="H45" s="28">
        <f t="shared" si="2"/>
        <v>-48.661640801394924</v>
      </c>
      <c r="I45" s="28">
        <f t="shared" si="3"/>
        <v>48.661640801394924</v>
      </c>
      <c r="J45" s="28">
        <f t="shared" si="4"/>
        <v>2367.9552854839831</v>
      </c>
      <c r="K45" s="29">
        <f t="shared" si="5"/>
        <v>8.1102734668991538E-2</v>
      </c>
      <c r="L45" s="29">
        <f t="shared" si="6"/>
        <v>-8.1102734668991538E-2</v>
      </c>
      <c r="M45" s="28">
        <f>$F$43</f>
        <v>547.0507220939885</v>
      </c>
      <c r="N45" s="28">
        <f>E45-M45</f>
        <v>52.949277906011503</v>
      </c>
      <c r="O45" s="28">
        <f>ABS(N45)</f>
        <v>52.949277906011503</v>
      </c>
      <c r="P45" s="28">
        <f>N45^2</f>
        <v>2803.6260307680377</v>
      </c>
      <c r="Q45" s="29">
        <f>O45/E45</f>
        <v>8.824879651001917E-2</v>
      </c>
      <c r="R45" s="29">
        <f>N45/E45</f>
        <v>8.824879651001917E-2</v>
      </c>
    </row>
    <row r="46" spans="1:18" x14ac:dyDescent="0.3">
      <c r="A46" s="12">
        <v>27</v>
      </c>
      <c r="B46" s="12" t="s">
        <v>58</v>
      </c>
      <c r="C46" s="28">
        <v>3</v>
      </c>
      <c r="D46" s="28" t="s">
        <v>54</v>
      </c>
      <c r="E46" s="28">
        <f>Dados!D31</f>
        <v>450</v>
      </c>
      <c r="F46" s="28">
        <f t="shared" si="0"/>
        <v>571.18228731984959</v>
      </c>
      <c r="G46" s="28">
        <f t="shared" si="1"/>
        <v>632.34024844879923</v>
      </c>
      <c r="H46" s="28">
        <f t="shared" si="2"/>
        <v>-182.34024844879923</v>
      </c>
      <c r="I46" s="28">
        <f t="shared" si="3"/>
        <v>182.34024844879923</v>
      </c>
      <c r="J46" s="28">
        <f t="shared" si="4"/>
        <v>33247.966204369826</v>
      </c>
      <c r="K46" s="29">
        <f t="shared" si="5"/>
        <v>0.40520055210844275</v>
      </c>
      <c r="L46" s="29">
        <f t="shared" si="6"/>
        <v>-0.40520055210844275</v>
      </c>
      <c r="M46" s="28">
        <f>$F$43</f>
        <v>547.0507220939885</v>
      </c>
      <c r="N46" s="28">
        <f>E46-M46</f>
        <v>-97.050722093988497</v>
      </c>
      <c r="O46" s="28">
        <f>ABS(N46)</f>
        <v>97.050722093988497</v>
      </c>
      <c r="P46" s="28">
        <f>N46^2</f>
        <v>9418.8426589645878</v>
      </c>
      <c r="Q46" s="29">
        <f>O46/E46</f>
        <v>0.21566827131997443</v>
      </c>
      <c r="R46" s="29">
        <f>N46/E46</f>
        <v>-0.21566827131997443</v>
      </c>
    </row>
    <row r="47" spans="1:18" x14ac:dyDescent="0.3">
      <c r="A47" s="12">
        <v>28</v>
      </c>
      <c r="B47" s="12" t="s">
        <v>58</v>
      </c>
      <c r="C47" s="28">
        <v>4</v>
      </c>
      <c r="D47" s="28" t="s">
        <v>54</v>
      </c>
      <c r="E47" s="28">
        <f>Dados!D32</f>
        <v>700</v>
      </c>
      <c r="F47" s="28">
        <f t="shared" si="0"/>
        <v>614.38848415151085</v>
      </c>
      <c r="G47" s="28">
        <f t="shared" si="1"/>
        <v>571.18228731984959</v>
      </c>
      <c r="H47" s="28">
        <f t="shared" si="2"/>
        <v>128.81771268015041</v>
      </c>
      <c r="I47" s="28">
        <f t="shared" si="3"/>
        <v>128.81771268015041</v>
      </c>
      <c r="J47" s="28">
        <f t="shared" si="4"/>
        <v>16594.003100145783</v>
      </c>
      <c r="K47" s="29">
        <f t="shared" si="5"/>
        <v>0.18402530382878629</v>
      </c>
      <c r="L47" s="29">
        <f t="shared" si="6"/>
        <v>0.18402530382878629</v>
      </c>
      <c r="M47" s="28">
        <f>$F$43</f>
        <v>547.0507220939885</v>
      </c>
      <c r="N47" s="28">
        <f>E47-M47</f>
        <v>152.9492779060115</v>
      </c>
      <c r="O47" s="28">
        <f>ABS(N47)</f>
        <v>152.9492779060115</v>
      </c>
      <c r="P47" s="28">
        <f>N47^2</f>
        <v>23393.481611970339</v>
      </c>
      <c r="Q47" s="29">
        <f>O47/E47</f>
        <v>0.2184989684371593</v>
      </c>
      <c r="R47" s="29">
        <f>N47/E47</f>
        <v>0.2184989684371593</v>
      </c>
    </row>
    <row r="49" spans="7:17" x14ac:dyDescent="0.3">
      <c r="G49" s="66">
        <f>F47</f>
        <v>614.38848415151085</v>
      </c>
      <c r="I49" s="66">
        <f>AVERAGE(I44:I47)</f>
        <v>165.69221995908902</v>
      </c>
      <c r="J49" s="66">
        <f>AVERAGE(J44:J47)</f>
        <v>35997.047393443347</v>
      </c>
      <c r="K49" s="67">
        <f>AVERAGE(K44:K47)</f>
        <v>0.25668487644744087</v>
      </c>
      <c r="M49" s="66">
        <f>M47</f>
        <v>547.0507220939885</v>
      </c>
      <c r="O49" s="66">
        <f>AVERAGE(O44:O47)</f>
        <v>151.47463895300575</v>
      </c>
      <c r="P49" s="66">
        <f>AVERAGE(P44:P47)</f>
        <v>31848.553821369183</v>
      </c>
      <c r="Q49" s="67">
        <f>AVERAGE(Q44:Q47)</f>
        <v>0.21970673786267397</v>
      </c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6"/>
  <sheetViews>
    <sheetView showGridLines="0" topLeftCell="A34" zoomScale="140" zoomScaleNormal="140" workbookViewId="0"/>
  </sheetViews>
  <sheetFormatPr defaultColWidth="8.6640625" defaultRowHeight="14.4" x14ac:dyDescent="0.3"/>
  <cols>
    <col min="1" max="1" width="11" customWidth="1"/>
    <col min="2" max="2" width="8" customWidth="1"/>
    <col min="3" max="21" width="9" customWidth="1"/>
  </cols>
  <sheetData>
    <row r="1" spans="1:21" ht="17.399999999999999" x14ac:dyDescent="0.3">
      <c r="A1" s="4" t="s">
        <v>90</v>
      </c>
    </row>
    <row r="2" spans="1:21" x14ac:dyDescent="0.3">
      <c r="A2" s="5" t="s">
        <v>91</v>
      </c>
    </row>
    <row r="4" spans="1:21" x14ac:dyDescent="0.3">
      <c r="A4" s="13" t="s">
        <v>92</v>
      </c>
      <c r="C4" s="30">
        <v>0.05</v>
      </c>
      <c r="D4" s="30">
        <v>0.1</v>
      </c>
      <c r="E4" s="30">
        <v>0.15</v>
      </c>
      <c r="F4" s="30">
        <v>0.2</v>
      </c>
      <c r="G4" s="30">
        <v>0.25</v>
      </c>
      <c r="H4" s="30">
        <v>0.3</v>
      </c>
      <c r="I4" s="30">
        <v>0.35</v>
      </c>
      <c r="J4" s="30">
        <v>0.4</v>
      </c>
      <c r="K4" s="30">
        <v>0.45</v>
      </c>
      <c r="L4" s="30">
        <v>0.5</v>
      </c>
      <c r="M4" s="30">
        <v>0.55000000000000004</v>
      </c>
      <c r="N4" s="30">
        <v>0.6</v>
      </c>
      <c r="O4" s="30">
        <v>0.65</v>
      </c>
      <c r="P4" s="30">
        <v>0.7</v>
      </c>
      <c r="Q4" s="30">
        <v>0.75</v>
      </c>
      <c r="R4" s="30">
        <v>0.8</v>
      </c>
      <c r="S4" s="30">
        <v>0.85</v>
      </c>
      <c r="T4" s="30">
        <v>0.9</v>
      </c>
      <c r="U4" s="30">
        <v>0.95</v>
      </c>
    </row>
    <row r="5" spans="1:21" x14ac:dyDescent="0.3">
      <c r="A5" s="13" t="s">
        <v>93</v>
      </c>
      <c r="C5" s="31">
        <f t="shared" ref="C5:U5" si="0">C6/23</f>
        <v>27233.615619857301</v>
      </c>
      <c r="D5" s="31">
        <f t="shared" si="0"/>
        <v>25316.573084462136</v>
      </c>
      <c r="E5" s="31">
        <f t="shared" si="0"/>
        <v>23715.501113214439</v>
      </c>
      <c r="F5" s="31">
        <f t="shared" si="0"/>
        <v>22539.24307568929</v>
      </c>
      <c r="G5" s="31">
        <f t="shared" si="0"/>
        <v>21819.720455036517</v>
      </c>
      <c r="H5" s="31">
        <f t="shared" si="0"/>
        <v>21481.405908014145</v>
      </c>
      <c r="I5" s="31">
        <f t="shared" si="0"/>
        <v>21429.427278163512</v>
      </c>
      <c r="J5" s="31">
        <f t="shared" si="0"/>
        <v>21582.880332174413</v>
      </c>
      <c r="K5" s="31">
        <f t="shared" si="0"/>
        <v>21879.734286898569</v>
      </c>
      <c r="L5" s="31">
        <f t="shared" si="0"/>
        <v>22273.392537438096</v>
      </c>
      <c r="M5" s="31">
        <f t="shared" si="0"/>
        <v>22728.188135218108</v>
      </c>
      <c r="N5" s="31">
        <f t="shared" si="0"/>
        <v>23215.735887798528</v>
      </c>
      <c r="O5" s="31">
        <f t="shared" si="0"/>
        <v>23712.383252889318</v>
      </c>
      <c r="P5" s="31">
        <f t="shared" si="0"/>
        <v>24197.592392829425</v>
      </c>
      <c r="Q5" s="31">
        <f t="shared" si="0"/>
        <v>24653.03875356328</v>
      </c>
      <c r="R5" s="31">
        <f t="shared" si="0"/>
        <v>25062.242148462323</v>
      </c>
      <c r="S5" s="31">
        <f t="shared" si="0"/>
        <v>25410.578436206328</v>
      </c>
      <c r="T5" s="31">
        <f t="shared" si="0"/>
        <v>25685.540294000832</v>
      </c>
      <c r="U5" s="31">
        <f t="shared" si="0"/>
        <v>25877.127864018177</v>
      </c>
    </row>
    <row r="6" spans="1:21" x14ac:dyDescent="0.3">
      <c r="A6" s="13" t="s">
        <v>94</v>
      </c>
      <c r="C6" s="31">
        <f t="shared" ref="C6:U6" si="1">SUMPRODUCT(($B$10:$B$32-C9:C31)^2)</f>
        <v>626373.15925671789</v>
      </c>
      <c r="D6" s="31">
        <f t="shared" si="1"/>
        <v>582281.18094262911</v>
      </c>
      <c r="E6" s="31">
        <f t="shared" si="1"/>
        <v>545456.5256039321</v>
      </c>
      <c r="F6" s="31">
        <f t="shared" si="1"/>
        <v>518402.59074085369</v>
      </c>
      <c r="G6" s="31">
        <f t="shared" si="1"/>
        <v>501853.57046583988</v>
      </c>
      <c r="H6" s="31">
        <f t="shared" si="1"/>
        <v>494072.33588432532</v>
      </c>
      <c r="I6" s="31">
        <f t="shared" si="1"/>
        <v>492876.82739776076</v>
      </c>
      <c r="J6" s="31">
        <f t="shared" si="1"/>
        <v>496406.24764001148</v>
      </c>
      <c r="K6" s="31">
        <f t="shared" si="1"/>
        <v>503233.88859866711</v>
      </c>
      <c r="L6" s="31">
        <f t="shared" si="1"/>
        <v>512288.0283610762</v>
      </c>
      <c r="M6" s="31">
        <f t="shared" si="1"/>
        <v>522748.32711001649</v>
      </c>
      <c r="N6" s="31">
        <f t="shared" si="1"/>
        <v>533961.9254193661</v>
      </c>
      <c r="O6" s="31">
        <f t="shared" si="1"/>
        <v>545384.81481645431</v>
      </c>
      <c r="P6" s="31">
        <f t="shared" si="1"/>
        <v>556544.62503507675</v>
      </c>
      <c r="Q6" s="31">
        <f t="shared" si="1"/>
        <v>567019.89133195544</v>
      </c>
      <c r="R6" s="31">
        <f t="shared" si="1"/>
        <v>576431.56941463344</v>
      </c>
      <c r="S6" s="31">
        <f t="shared" si="1"/>
        <v>584443.30403274554</v>
      </c>
      <c r="T6" s="31">
        <f t="shared" si="1"/>
        <v>590767.42676201917</v>
      </c>
      <c r="U6" s="31">
        <f t="shared" si="1"/>
        <v>595173.94087241811</v>
      </c>
    </row>
    <row r="8" spans="1:21" ht="42" customHeight="1" x14ac:dyDescent="0.3">
      <c r="A8" s="8" t="s">
        <v>43</v>
      </c>
      <c r="B8" s="8" t="s">
        <v>81</v>
      </c>
      <c r="C8" s="8" t="s">
        <v>95</v>
      </c>
      <c r="D8" s="8" t="s">
        <v>96</v>
      </c>
      <c r="E8" s="8" t="s">
        <v>97</v>
      </c>
      <c r="F8" s="8" t="s">
        <v>98</v>
      </c>
      <c r="G8" s="8" t="s">
        <v>99</v>
      </c>
      <c r="H8" s="8" t="s">
        <v>100</v>
      </c>
      <c r="I8" s="8" t="s">
        <v>101</v>
      </c>
      <c r="J8" s="8" t="s">
        <v>102</v>
      </c>
      <c r="K8" s="8" t="s">
        <v>103</v>
      </c>
      <c r="L8" s="8" t="s">
        <v>104</v>
      </c>
      <c r="M8" s="8" t="s">
        <v>105</v>
      </c>
      <c r="N8" s="8" t="s">
        <v>106</v>
      </c>
      <c r="O8" s="8" t="s">
        <v>107</v>
      </c>
      <c r="P8" s="8" t="s">
        <v>108</v>
      </c>
      <c r="Q8" s="8" t="s">
        <v>109</v>
      </c>
      <c r="R8" s="8" t="s">
        <v>110</v>
      </c>
      <c r="S8" s="8" t="s">
        <v>111</v>
      </c>
      <c r="T8" s="8" t="s">
        <v>112</v>
      </c>
      <c r="U8" s="8" t="s">
        <v>113</v>
      </c>
    </row>
    <row r="9" spans="1:21" x14ac:dyDescent="0.3">
      <c r="A9" s="23">
        <v>1</v>
      </c>
      <c r="B9" s="32">
        <f>Dados!D5</f>
        <v>500</v>
      </c>
      <c r="C9" s="33">
        <f>B9</f>
        <v>500</v>
      </c>
      <c r="D9" s="33">
        <f>B9</f>
        <v>500</v>
      </c>
      <c r="E9" s="33">
        <f>B9</f>
        <v>500</v>
      </c>
      <c r="F9" s="33">
        <f>B9</f>
        <v>500</v>
      </c>
      <c r="G9" s="33">
        <f>B9</f>
        <v>500</v>
      </c>
      <c r="H9" s="33">
        <f>B9</f>
        <v>500</v>
      </c>
      <c r="I9" s="33">
        <f>B9</f>
        <v>500</v>
      </c>
      <c r="J9" s="33">
        <f>B9</f>
        <v>500</v>
      </c>
      <c r="K9" s="33">
        <f>B9</f>
        <v>500</v>
      </c>
      <c r="L9" s="33">
        <f>B9</f>
        <v>500</v>
      </c>
      <c r="M9" s="33">
        <f>B9</f>
        <v>500</v>
      </c>
      <c r="N9" s="33">
        <f>B9</f>
        <v>500</v>
      </c>
      <c r="O9" s="33">
        <f>B9</f>
        <v>500</v>
      </c>
      <c r="P9" s="33">
        <f>B9</f>
        <v>500</v>
      </c>
      <c r="Q9" s="33">
        <f>B9</f>
        <v>500</v>
      </c>
      <c r="R9" s="33">
        <f>B9</f>
        <v>500</v>
      </c>
      <c r="S9" s="33">
        <f>B9</f>
        <v>500</v>
      </c>
      <c r="T9" s="33">
        <f>B9</f>
        <v>500</v>
      </c>
      <c r="U9" s="33">
        <f>B9</f>
        <v>500</v>
      </c>
    </row>
    <row r="10" spans="1:21" x14ac:dyDescent="0.3">
      <c r="A10" s="9">
        <v>2</v>
      </c>
      <c r="B10" s="10">
        <f>Dados!D6</f>
        <v>350</v>
      </c>
      <c r="C10" s="34">
        <f t="shared" ref="C10:C32" si="2">C$4*B10+(1-C$4)*C9</f>
        <v>492.5</v>
      </c>
      <c r="D10" s="34">
        <f t="shared" ref="D10:D32" si="3">D$4*B10+(1-D$4)*D9</f>
        <v>485</v>
      </c>
      <c r="E10" s="34">
        <f t="shared" ref="E10:E32" si="4">E$4*B10+(1-E$4)*E9</f>
        <v>477.5</v>
      </c>
      <c r="F10" s="34">
        <f t="shared" ref="F10:F32" si="5">F$4*B10+(1-F$4)*F9</f>
        <v>470</v>
      </c>
      <c r="G10" s="34">
        <f t="shared" ref="G10:G32" si="6">G$4*B10+(1-G$4)*G9</f>
        <v>462.5</v>
      </c>
      <c r="H10" s="34">
        <f t="shared" ref="H10:H32" si="7">H$4*B10+(1-H$4)*H9</f>
        <v>455</v>
      </c>
      <c r="I10" s="34">
        <f t="shared" ref="I10:I32" si="8">I$4*B10+(1-I$4)*I9</f>
        <v>447.5</v>
      </c>
      <c r="J10" s="34">
        <f t="shared" ref="J10:J32" si="9">J$4*B10+(1-J$4)*J9</f>
        <v>440</v>
      </c>
      <c r="K10" s="34">
        <f t="shared" ref="K10:K32" si="10">K$4*B10+(1-K$4)*K9</f>
        <v>432.5</v>
      </c>
      <c r="L10" s="34">
        <f t="shared" ref="L10:L32" si="11">L$4*B10+(1-L$4)*L9</f>
        <v>425</v>
      </c>
      <c r="M10" s="34">
        <f t="shared" ref="M10:M32" si="12">M$4*B10+(1-M$4)*M9</f>
        <v>417.5</v>
      </c>
      <c r="N10" s="34">
        <f t="shared" ref="N10:N32" si="13">N$4*B10+(1-N$4)*N9</f>
        <v>410</v>
      </c>
      <c r="O10" s="34">
        <f t="shared" ref="O10:O32" si="14">O$4*B10+(1-O$4)*O9</f>
        <v>402.5</v>
      </c>
      <c r="P10" s="34">
        <f t="shared" ref="P10:P32" si="15">P$4*B10+(1-P$4)*P9</f>
        <v>395</v>
      </c>
      <c r="Q10" s="34">
        <f t="shared" ref="Q10:Q32" si="16">Q$4*B10+(1-Q$4)*Q9</f>
        <v>387.5</v>
      </c>
      <c r="R10" s="34">
        <f t="shared" ref="R10:R32" si="17">R$4*B10+(1-R$4)*R9</f>
        <v>380</v>
      </c>
      <c r="S10" s="34">
        <f t="shared" ref="S10:S32" si="18">S$4*B10+(1-S$4)*S9</f>
        <v>372.5</v>
      </c>
      <c r="T10" s="34">
        <f t="shared" ref="T10:T32" si="19">T$4*B10+(1-T$4)*T9</f>
        <v>365</v>
      </c>
      <c r="U10" s="34">
        <f t="shared" ref="U10:U32" si="20">U$4*B10+(1-U$4)*U9</f>
        <v>357.5</v>
      </c>
    </row>
    <row r="11" spans="1:21" x14ac:dyDescent="0.3">
      <c r="A11" s="9">
        <v>3</v>
      </c>
      <c r="B11" s="10">
        <f>Dados!D7</f>
        <v>250</v>
      </c>
      <c r="C11" s="34">
        <f t="shared" si="2"/>
        <v>480.375</v>
      </c>
      <c r="D11" s="34">
        <f t="shared" si="3"/>
        <v>461.5</v>
      </c>
      <c r="E11" s="34">
        <f t="shared" si="4"/>
        <v>443.375</v>
      </c>
      <c r="F11" s="34">
        <f t="shared" si="5"/>
        <v>426</v>
      </c>
      <c r="G11" s="34">
        <f t="shared" si="6"/>
        <v>409.375</v>
      </c>
      <c r="H11" s="34">
        <f t="shared" si="7"/>
        <v>393.5</v>
      </c>
      <c r="I11" s="34">
        <f t="shared" si="8"/>
        <v>378.375</v>
      </c>
      <c r="J11" s="34">
        <f t="shared" si="9"/>
        <v>364</v>
      </c>
      <c r="K11" s="34">
        <f t="shared" si="10"/>
        <v>350.375</v>
      </c>
      <c r="L11" s="34">
        <f t="shared" si="11"/>
        <v>337.5</v>
      </c>
      <c r="M11" s="34">
        <f t="shared" si="12"/>
        <v>325.375</v>
      </c>
      <c r="N11" s="34">
        <f t="shared" si="13"/>
        <v>314</v>
      </c>
      <c r="O11" s="34">
        <f t="shared" si="14"/>
        <v>303.375</v>
      </c>
      <c r="P11" s="34">
        <f t="shared" si="15"/>
        <v>293.5</v>
      </c>
      <c r="Q11" s="34">
        <f t="shared" si="16"/>
        <v>284.375</v>
      </c>
      <c r="R11" s="34">
        <f t="shared" si="17"/>
        <v>276</v>
      </c>
      <c r="S11" s="34">
        <f t="shared" si="18"/>
        <v>268.375</v>
      </c>
      <c r="T11" s="34">
        <f t="shared" si="19"/>
        <v>261.5</v>
      </c>
      <c r="U11" s="34">
        <f t="shared" si="20"/>
        <v>255.375</v>
      </c>
    </row>
    <row r="12" spans="1:21" x14ac:dyDescent="0.3">
      <c r="A12" s="9">
        <v>4</v>
      </c>
      <c r="B12" s="10">
        <f>Dados!D8</f>
        <v>400</v>
      </c>
      <c r="C12" s="34">
        <f t="shared" si="2"/>
        <v>476.35624999999999</v>
      </c>
      <c r="D12" s="34">
        <f t="shared" si="3"/>
        <v>455.35</v>
      </c>
      <c r="E12" s="34">
        <f t="shared" si="4"/>
        <v>436.86874999999998</v>
      </c>
      <c r="F12" s="34">
        <f t="shared" si="5"/>
        <v>420.8</v>
      </c>
      <c r="G12" s="34">
        <f t="shared" si="6"/>
        <v>407.03125</v>
      </c>
      <c r="H12" s="34">
        <f t="shared" si="7"/>
        <v>395.45</v>
      </c>
      <c r="I12" s="34">
        <f t="shared" si="8"/>
        <v>385.94375000000002</v>
      </c>
      <c r="J12" s="34">
        <f t="shared" si="9"/>
        <v>378.4</v>
      </c>
      <c r="K12" s="34">
        <f t="shared" si="10"/>
        <v>372.70625000000001</v>
      </c>
      <c r="L12" s="34">
        <f t="shared" si="11"/>
        <v>368.75</v>
      </c>
      <c r="M12" s="34">
        <f t="shared" si="12"/>
        <v>366.41875000000005</v>
      </c>
      <c r="N12" s="34">
        <f t="shared" si="13"/>
        <v>365.6</v>
      </c>
      <c r="O12" s="34">
        <f t="shared" si="14"/>
        <v>366.18124999999998</v>
      </c>
      <c r="P12" s="34">
        <f t="shared" si="15"/>
        <v>368.05</v>
      </c>
      <c r="Q12" s="34">
        <f t="shared" si="16"/>
        <v>371.09375</v>
      </c>
      <c r="R12" s="34">
        <f t="shared" si="17"/>
        <v>375.2</v>
      </c>
      <c r="S12" s="34">
        <f t="shared" si="18"/>
        <v>380.25625000000002</v>
      </c>
      <c r="T12" s="34">
        <f t="shared" si="19"/>
        <v>386.15</v>
      </c>
      <c r="U12" s="34">
        <f t="shared" si="20"/>
        <v>392.76875000000001</v>
      </c>
    </row>
    <row r="13" spans="1:21" x14ac:dyDescent="0.3">
      <c r="A13" s="9">
        <v>5</v>
      </c>
      <c r="B13" s="10">
        <f>Dados!D9</f>
        <v>450</v>
      </c>
      <c r="C13" s="34">
        <f t="shared" si="2"/>
        <v>475.03843749999999</v>
      </c>
      <c r="D13" s="34">
        <f t="shared" si="3"/>
        <v>454.81500000000005</v>
      </c>
      <c r="E13" s="34">
        <f t="shared" si="4"/>
        <v>438.8384375</v>
      </c>
      <c r="F13" s="34">
        <f t="shared" si="5"/>
        <v>426.64000000000004</v>
      </c>
      <c r="G13" s="34">
        <f t="shared" si="6"/>
        <v>417.7734375</v>
      </c>
      <c r="H13" s="34">
        <f t="shared" si="7"/>
        <v>411.815</v>
      </c>
      <c r="I13" s="34">
        <f t="shared" si="8"/>
        <v>408.36343750000003</v>
      </c>
      <c r="J13" s="34">
        <f t="shared" si="9"/>
        <v>407.03999999999996</v>
      </c>
      <c r="K13" s="34">
        <f t="shared" si="10"/>
        <v>407.48843750000003</v>
      </c>
      <c r="L13" s="34">
        <f t="shared" si="11"/>
        <v>409.375</v>
      </c>
      <c r="M13" s="34">
        <f t="shared" si="12"/>
        <v>412.38843750000001</v>
      </c>
      <c r="N13" s="34">
        <f t="shared" si="13"/>
        <v>416.24</v>
      </c>
      <c r="O13" s="34">
        <f t="shared" si="14"/>
        <v>420.66343749999999</v>
      </c>
      <c r="P13" s="34">
        <f t="shared" si="15"/>
        <v>425.41500000000002</v>
      </c>
      <c r="Q13" s="34">
        <f t="shared" si="16"/>
        <v>430.2734375</v>
      </c>
      <c r="R13" s="34">
        <f t="shared" si="17"/>
        <v>435.03999999999996</v>
      </c>
      <c r="S13" s="34">
        <f t="shared" si="18"/>
        <v>439.53843749999999</v>
      </c>
      <c r="T13" s="34">
        <f t="shared" si="19"/>
        <v>443.61500000000001</v>
      </c>
      <c r="U13" s="34">
        <f t="shared" si="20"/>
        <v>447.13843750000001</v>
      </c>
    </row>
    <row r="14" spans="1:21" x14ac:dyDescent="0.3">
      <c r="A14" s="9">
        <v>6</v>
      </c>
      <c r="B14" s="10">
        <f>Dados!D10</f>
        <v>350</v>
      </c>
      <c r="C14" s="34">
        <f t="shared" si="2"/>
        <v>468.78651562499999</v>
      </c>
      <c r="D14" s="34">
        <f t="shared" si="3"/>
        <v>444.33350000000007</v>
      </c>
      <c r="E14" s="34">
        <f t="shared" si="4"/>
        <v>425.51267187499997</v>
      </c>
      <c r="F14" s="34">
        <f t="shared" si="5"/>
        <v>411.31200000000007</v>
      </c>
      <c r="G14" s="34">
        <f t="shared" si="6"/>
        <v>400.830078125</v>
      </c>
      <c r="H14" s="34">
        <f t="shared" si="7"/>
        <v>393.27049999999997</v>
      </c>
      <c r="I14" s="34">
        <f t="shared" si="8"/>
        <v>387.93623437500003</v>
      </c>
      <c r="J14" s="34">
        <f t="shared" si="9"/>
        <v>384.22399999999993</v>
      </c>
      <c r="K14" s="34">
        <f t="shared" si="10"/>
        <v>381.61864062500001</v>
      </c>
      <c r="L14" s="34">
        <f t="shared" si="11"/>
        <v>379.6875</v>
      </c>
      <c r="M14" s="34">
        <f t="shared" si="12"/>
        <v>378.074796875</v>
      </c>
      <c r="N14" s="34">
        <f t="shared" si="13"/>
        <v>376.49599999999998</v>
      </c>
      <c r="O14" s="34">
        <f t="shared" si="14"/>
        <v>374.73220312499996</v>
      </c>
      <c r="P14" s="34">
        <f t="shared" si="15"/>
        <v>372.62450000000001</v>
      </c>
      <c r="Q14" s="34">
        <f t="shared" si="16"/>
        <v>370.068359375</v>
      </c>
      <c r="R14" s="34">
        <f t="shared" si="17"/>
        <v>367.00799999999998</v>
      </c>
      <c r="S14" s="34">
        <f t="shared" si="18"/>
        <v>363.43076562499999</v>
      </c>
      <c r="T14" s="34">
        <f t="shared" si="19"/>
        <v>359.36149999999998</v>
      </c>
      <c r="U14" s="34">
        <f t="shared" si="20"/>
        <v>354.85692187500001</v>
      </c>
    </row>
    <row r="15" spans="1:21" x14ac:dyDescent="0.3">
      <c r="A15" s="9">
        <v>7</v>
      </c>
      <c r="B15" s="10">
        <f>Dados!D11</f>
        <v>200</v>
      </c>
      <c r="C15" s="34">
        <f t="shared" si="2"/>
        <v>455.34718984374996</v>
      </c>
      <c r="D15" s="34">
        <f t="shared" si="3"/>
        <v>419.90015000000005</v>
      </c>
      <c r="E15" s="34">
        <f t="shared" si="4"/>
        <v>391.68577109374996</v>
      </c>
      <c r="F15" s="34">
        <f t="shared" si="5"/>
        <v>369.04960000000005</v>
      </c>
      <c r="G15" s="34">
        <f t="shared" si="6"/>
        <v>350.62255859375</v>
      </c>
      <c r="H15" s="34">
        <f t="shared" si="7"/>
        <v>335.28934999999996</v>
      </c>
      <c r="I15" s="34">
        <f t="shared" si="8"/>
        <v>322.15855234374999</v>
      </c>
      <c r="J15" s="34">
        <f t="shared" si="9"/>
        <v>310.53439999999995</v>
      </c>
      <c r="K15" s="34">
        <f t="shared" si="10"/>
        <v>299.89025234375003</v>
      </c>
      <c r="L15" s="34">
        <f t="shared" si="11"/>
        <v>289.84375</v>
      </c>
      <c r="M15" s="34">
        <f t="shared" si="12"/>
        <v>280.13365859375</v>
      </c>
      <c r="N15" s="34">
        <f t="shared" si="13"/>
        <v>270.59839999999997</v>
      </c>
      <c r="O15" s="34">
        <f t="shared" si="14"/>
        <v>261.15627109374998</v>
      </c>
      <c r="P15" s="34">
        <f t="shared" si="15"/>
        <v>251.78735</v>
      </c>
      <c r="Q15" s="34">
        <f t="shared" si="16"/>
        <v>242.51708984375</v>
      </c>
      <c r="R15" s="34">
        <f t="shared" si="17"/>
        <v>233.40159999999997</v>
      </c>
      <c r="S15" s="34">
        <f t="shared" si="18"/>
        <v>224.51461484375</v>
      </c>
      <c r="T15" s="34">
        <f t="shared" si="19"/>
        <v>215.93615</v>
      </c>
      <c r="U15" s="34">
        <f t="shared" si="20"/>
        <v>207.74284609375002</v>
      </c>
    </row>
    <row r="16" spans="1:21" x14ac:dyDescent="0.3">
      <c r="A16" s="9">
        <v>8</v>
      </c>
      <c r="B16" s="10">
        <f>Dados!D12</f>
        <v>300</v>
      </c>
      <c r="C16" s="34">
        <f t="shared" si="2"/>
        <v>447.57983035156246</v>
      </c>
      <c r="D16" s="34">
        <f t="shared" si="3"/>
        <v>407.91013500000008</v>
      </c>
      <c r="E16" s="34">
        <f t="shared" si="4"/>
        <v>377.93290542968748</v>
      </c>
      <c r="F16" s="34">
        <f t="shared" si="5"/>
        <v>355.23968000000008</v>
      </c>
      <c r="G16" s="34">
        <f t="shared" si="6"/>
        <v>337.9669189453125</v>
      </c>
      <c r="H16" s="34">
        <f t="shared" si="7"/>
        <v>324.70254499999999</v>
      </c>
      <c r="I16" s="34">
        <f t="shared" si="8"/>
        <v>314.40305902343749</v>
      </c>
      <c r="J16" s="34">
        <f t="shared" si="9"/>
        <v>306.32063999999997</v>
      </c>
      <c r="K16" s="34">
        <f t="shared" si="10"/>
        <v>299.93963878906254</v>
      </c>
      <c r="L16" s="34">
        <f t="shared" si="11"/>
        <v>294.921875</v>
      </c>
      <c r="M16" s="34">
        <f t="shared" si="12"/>
        <v>291.06014636718749</v>
      </c>
      <c r="N16" s="34">
        <f t="shared" si="13"/>
        <v>288.23935999999998</v>
      </c>
      <c r="O16" s="34">
        <f t="shared" si="14"/>
        <v>286.40469488281246</v>
      </c>
      <c r="P16" s="34">
        <f t="shared" si="15"/>
        <v>285.536205</v>
      </c>
      <c r="Q16" s="34">
        <f t="shared" si="16"/>
        <v>285.6292724609375</v>
      </c>
      <c r="R16" s="34">
        <f t="shared" si="17"/>
        <v>286.68031999999999</v>
      </c>
      <c r="S16" s="34">
        <f t="shared" si="18"/>
        <v>288.67719222656251</v>
      </c>
      <c r="T16" s="34">
        <f t="shared" si="19"/>
        <v>291.593615</v>
      </c>
      <c r="U16" s="34">
        <f t="shared" si="20"/>
        <v>295.38714230468753</v>
      </c>
    </row>
    <row r="17" spans="1:21" x14ac:dyDescent="0.3">
      <c r="A17" s="9">
        <v>9</v>
      </c>
      <c r="B17" s="10">
        <f>Dados!D13</f>
        <v>350</v>
      </c>
      <c r="C17" s="34">
        <f t="shared" si="2"/>
        <v>442.70083883398433</v>
      </c>
      <c r="D17" s="34">
        <f t="shared" si="3"/>
        <v>402.11912150000006</v>
      </c>
      <c r="E17" s="34">
        <f t="shared" si="4"/>
        <v>373.74296961523436</v>
      </c>
      <c r="F17" s="34">
        <f t="shared" si="5"/>
        <v>354.19174400000009</v>
      </c>
      <c r="G17" s="34">
        <f t="shared" si="6"/>
        <v>340.97518920898438</v>
      </c>
      <c r="H17" s="34">
        <f t="shared" si="7"/>
        <v>332.29178149999996</v>
      </c>
      <c r="I17" s="34">
        <f t="shared" si="8"/>
        <v>326.86198836523437</v>
      </c>
      <c r="J17" s="34">
        <f t="shared" si="9"/>
        <v>323.79238399999997</v>
      </c>
      <c r="K17" s="34">
        <f t="shared" si="10"/>
        <v>322.46680133398445</v>
      </c>
      <c r="L17" s="34">
        <f t="shared" si="11"/>
        <v>322.4609375</v>
      </c>
      <c r="M17" s="34">
        <f t="shared" si="12"/>
        <v>323.47706586523441</v>
      </c>
      <c r="N17" s="34">
        <f t="shared" si="13"/>
        <v>325.29574400000001</v>
      </c>
      <c r="O17" s="34">
        <f t="shared" si="14"/>
        <v>327.74164320898433</v>
      </c>
      <c r="P17" s="34">
        <f t="shared" si="15"/>
        <v>330.66086150000001</v>
      </c>
      <c r="Q17" s="34">
        <f t="shared" si="16"/>
        <v>333.90731811523438</v>
      </c>
      <c r="R17" s="34">
        <f t="shared" si="17"/>
        <v>337.33606399999996</v>
      </c>
      <c r="S17" s="34">
        <f t="shared" si="18"/>
        <v>340.80157883398437</v>
      </c>
      <c r="T17" s="34">
        <f t="shared" si="19"/>
        <v>344.15936149999999</v>
      </c>
      <c r="U17" s="34">
        <f t="shared" si="20"/>
        <v>347.26935711523441</v>
      </c>
    </row>
    <row r="18" spans="1:21" x14ac:dyDescent="0.3">
      <c r="A18" s="9">
        <v>10</v>
      </c>
      <c r="B18" s="10">
        <f>Dados!D14</f>
        <v>200</v>
      </c>
      <c r="C18" s="34">
        <f t="shared" si="2"/>
        <v>430.56579689228511</v>
      </c>
      <c r="D18" s="34">
        <f t="shared" si="3"/>
        <v>381.90720935000007</v>
      </c>
      <c r="E18" s="34">
        <f t="shared" si="4"/>
        <v>347.6815241729492</v>
      </c>
      <c r="F18" s="34">
        <f t="shared" si="5"/>
        <v>323.35339520000008</v>
      </c>
      <c r="G18" s="34">
        <f t="shared" si="6"/>
        <v>305.73139190673828</v>
      </c>
      <c r="H18" s="34">
        <f t="shared" si="7"/>
        <v>292.60424704999991</v>
      </c>
      <c r="I18" s="34">
        <f t="shared" si="8"/>
        <v>282.46029243740236</v>
      </c>
      <c r="J18" s="34">
        <f t="shared" si="9"/>
        <v>274.2754304</v>
      </c>
      <c r="K18" s="34">
        <f t="shared" si="10"/>
        <v>267.35674073369148</v>
      </c>
      <c r="L18" s="34">
        <f t="shared" si="11"/>
        <v>261.23046875</v>
      </c>
      <c r="M18" s="34">
        <f t="shared" si="12"/>
        <v>255.56467963935546</v>
      </c>
      <c r="N18" s="34">
        <f t="shared" si="13"/>
        <v>250.11829760000001</v>
      </c>
      <c r="O18" s="34">
        <f t="shared" si="14"/>
        <v>244.7095751231445</v>
      </c>
      <c r="P18" s="34">
        <f t="shared" si="15"/>
        <v>239.19825845000003</v>
      </c>
      <c r="Q18" s="34">
        <f t="shared" si="16"/>
        <v>233.47682952880859</v>
      </c>
      <c r="R18" s="34">
        <f t="shared" si="17"/>
        <v>227.46721279999997</v>
      </c>
      <c r="S18" s="34">
        <f t="shared" si="18"/>
        <v>221.12023682509766</v>
      </c>
      <c r="T18" s="34">
        <f t="shared" si="19"/>
        <v>214.41593614999999</v>
      </c>
      <c r="U18" s="34">
        <f t="shared" si="20"/>
        <v>207.36346785576174</v>
      </c>
    </row>
    <row r="19" spans="1:21" x14ac:dyDescent="0.3">
      <c r="A19" s="9">
        <v>11</v>
      </c>
      <c r="B19" s="10">
        <f>Dados!D15</f>
        <v>150</v>
      </c>
      <c r="C19" s="34">
        <f t="shared" si="2"/>
        <v>416.53750704767083</v>
      </c>
      <c r="D19" s="34">
        <f t="shared" si="3"/>
        <v>358.71648841500007</v>
      </c>
      <c r="E19" s="34">
        <f t="shared" si="4"/>
        <v>318.02929554700683</v>
      </c>
      <c r="F19" s="34">
        <f t="shared" si="5"/>
        <v>288.6827161600001</v>
      </c>
      <c r="G19" s="34">
        <f t="shared" si="6"/>
        <v>266.79854393005371</v>
      </c>
      <c r="H19" s="34">
        <f t="shared" si="7"/>
        <v>249.82297293499994</v>
      </c>
      <c r="I19" s="34">
        <f t="shared" si="8"/>
        <v>236.09919008431154</v>
      </c>
      <c r="J19" s="34">
        <f t="shared" si="9"/>
        <v>224.56525823999999</v>
      </c>
      <c r="K19" s="34">
        <f t="shared" si="10"/>
        <v>214.54620740353033</v>
      </c>
      <c r="L19" s="34">
        <f t="shared" si="11"/>
        <v>205.615234375</v>
      </c>
      <c r="M19" s="34">
        <f t="shared" si="12"/>
        <v>197.50410583770994</v>
      </c>
      <c r="N19" s="34">
        <f t="shared" si="13"/>
        <v>190.04731903999999</v>
      </c>
      <c r="O19" s="34">
        <f t="shared" si="14"/>
        <v>183.14835129310057</v>
      </c>
      <c r="P19" s="34">
        <f t="shared" si="15"/>
        <v>176.75947753500003</v>
      </c>
      <c r="Q19" s="34">
        <f t="shared" si="16"/>
        <v>170.86920738220215</v>
      </c>
      <c r="R19" s="34">
        <f t="shared" si="17"/>
        <v>165.49344255999998</v>
      </c>
      <c r="S19" s="34">
        <f t="shared" si="18"/>
        <v>160.66803552376464</v>
      </c>
      <c r="T19" s="34">
        <f t="shared" si="19"/>
        <v>156.44159361499999</v>
      </c>
      <c r="U19" s="34">
        <f t="shared" si="20"/>
        <v>152.86817339278809</v>
      </c>
    </row>
    <row r="20" spans="1:21" x14ac:dyDescent="0.3">
      <c r="A20" s="9">
        <v>12</v>
      </c>
      <c r="B20" s="10">
        <f>Dados!D16</f>
        <v>400</v>
      </c>
      <c r="C20" s="34">
        <f t="shared" si="2"/>
        <v>415.71063169528725</v>
      </c>
      <c r="D20" s="34">
        <f t="shared" si="3"/>
        <v>362.84483957350005</v>
      </c>
      <c r="E20" s="34">
        <f t="shared" si="4"/>
        <v>330.32490121495579</v>
      </c>
      <c r="F20" s="34">
        <f t="shared" si="5"/>
        <v>310.94617292800012</v>
      </c>
      <c r="G20" s="34">
        <f t="shared" si="6"/>
        <v>300.09890794754028</v>
      </c>
      <c r="H20" s="34">
        <f t="shared" si="7"/>
        <v>294.87608105449993</v>
      </c>
      <c r="I20" s="34">
        <f t="shared" si="8"/>
        <v>293.46447355480251</v>
      </c>
      <c r="J20" s="34">
        <f t="shared" si="9"/>
        <v>294.73915494400001</v>
      </c>
      <c r="K20" s="34">
        <f t="shared" si="10"/>
        <v>298.00041407194169</v>
      </c>
      <c r="L20" s="34">
        <f t="shared" si="11"/>
        <v>302.8076171875</v>
      </c>
      <c r="M20" s="34">
        <f t="shared" si="12"/>
        <v>308.87684762696949</v>
      </c>
      <c r="N20" s="34">
        <f t="shared" si="13"/>
        <v>316.01892761599998</v>
      </c>
      <c r="O20" s="34">
        <f t="shared" si="14"/>
        <v>324.1019229525852</v>
      </c>
      <c r="P20" s="34">
        <f t="shared" si="15"/>
        <v>333.02784326050005</v>
      </c>
      <c r="Q20" s="34">
        <f t="shared" si="16"/>
        <v>342.71730184555054</v>
      </c>
      <c r="R20" s="34">
        <f t="shared" si="17"/>
        <v>353.09868851199997</v>
      </c>
      <c r="S20" s="34">
        <f t="shared" si="18"/>
        <v>364.1002053285647</v>
      </c>
      <c r="T20" s="34">
        <f t="shared" si="19"/>
        <v>375.64415936149999</v>
      </c>
      <c r="U20" s="34">
        <f t="shared" si="20"/>
        <v>387.64340866963943</v>
      </c>
    </row>
    <row r="21" spans="1:21" x14ac:dyDescent="0.3">
      <c r="A21" s="9">
        <v>13</v>
      </c>
      <c r="B21" s="10">
        <f>Dados!D17</f>
        <v>550</v>
      </c>
      <c r="C21" s="34">
        <f t="shared" si="2"/>
        <v>422.42510011052286</v>
      </c>
      <c r="D21" s="34">
        <f t="shared" si="3"/>
        <v>381.56035561615005</v>
      </c>
      <c r="E21" s="34">
        <f t="shared" si="4"/>
        <v>363.27616603271241</v>
      </c>
      <c r="F21" s="34">
        <f t="shared" si="5"/>
        <v>358.75693834240008</v>
      </c>
      <c r="G21" s="34">
        <f t="shared" si="6"/>
        <v>362.57418096065521</v>
      </c>
      <c r="H21" s="34">
        <f t="shared" si="7"/>
        <v>371.41325673814993</v>
      </c>
      <c r="I21" s="34">
        <f t="shared" si="8"/>
        <v>383.25190781062167</v>
      </c>
      <c r="J21" s="34">
        <f t="shared" si="9"/>
        <v>396.84349296639999</v>
      </c>
      <c r="K21" s="34">
        <f t="shared" si="10"/>
        <v>411.40022773956798</v>
      </c>
      <c r="L21" s="34">
        <f t="shared" si="11"/>
        <v>426.40380859375</v>
      </c>
      <c r="M21" s="34">
        <f t="shared" si="12"/>
        <v>441.49458143213627</v>
      </c>
      <c r="N21" s="34">
        <f t="shared" si="13"/>
        <v>456.40757104639999</v>
      </c>
      <c r="O21" s="34">
        <f t="shared" si="14"/>
        <v>470.93567303340478</v>
      </c>
      <c r="P21" s="34">
        <f t="shared" si="15"/>
        <v>484.90835297815005</v>
      </c>
      <c r="Q21" s="34">
        <f t="shared" si="16"/>
        <v>498.17932546138763</v>
      </c>
      <c r="R21" s="34">
        <f t="shared" si="17"/>
        <v>510.61973770239996</v>
      </c>
      <c r="S21" s="34">
        <f t="shared" si="18"/>
        <v>522.11503079928468</v>
      </c>
      <c r="T21" s="34">
        <f t="shared" si="19"/>
        <v>532.56441593615</v>
      </c>
      <c r="U21" s="34">
        <f t="shared" si="20"/>
        <v>541.88217043348197</v>
      </c>
    </row>
    <row r="22" spans="1:21" x14ac:dyDescent="0.3">
      <c r="A22" s="9">
        <v>14</v>
      </c>
      <c r="B22" s="10">
        <f>Dados!D18</f>
        <v>350</v>
      </c>
      <c r="C22" s="34">
        <f t="shared" si="2"/>
        <v>418.8038451049967</v>
      </c>
      <c r="D22" s="34">
        <f t="shared" si="3"/>
        <v>378.40432005453505</v>
      </c>
      <c r="E22" s="34">
        <f t="shared" si="4"/>
        <v>361.28474112780555</v>
      </c>
      <c r="F22" s="34">
        <f t="shared" si="5"/>
        <v>357.00555067392008</v>
      </c>
      <c r="G22" s="34">
        <f t="shared" si="6"/>
        <v>359.43063572049141</v>
      </c>
      <c r="H22" s="34">
        <f t="shared" si="7"/>
        <v>364.98927971670491</v>
      </c>
      <c r="I22" s="34">
        <f t="shared" si="8"/>
        <v>371.61374007690409</v>
      </c>
      <c r="J22" s="34">
        <f t="shared" si="9"/>
        <v>378.10609577983996</v>
      </c>
      <c r="K22" s="34">
        <f t="shared" si="10"/>
        <v>383.77012525676241</v>
      </c>
      <c r="L22" s="34">
        <f t="shared" si="11"/>
        <v>388.201904296875</v>
      </c>
      <c r="M22" s="34">
        <f t="shared" si="12"/>
        <v>391.17256164446133</v>
      </c>
      <c r="N22" s="34">
        <f t="shared" si="13"/>
        <v>392.56302841856001</v>
      </c>
      <c r="O22" s="34">
        <f t="shared" si="14"/>
        <v>392.32748556169167</v>
      </c>
      <c r="P22" s="34">
        <f t="shared" si="15"/>
        <v>390.47250589344503</v>
      </c>
      <c r="Q22" s="34">
        <f t="shared" si="16"/>
        <v>387.04483136534691</v>
      </c>
      <c r="R22" s="34">
        <f t="shared" si="17"/>
        <v>382.12394754048</v>
      </c>
      <c r="S22" s="34">
        <f t="shared" si="18"/>
        <v>375.81725461989271</v>
      </c>
      <c r="T22" s="34">
        <f t="shared" si="19"/>
        <v>368.25644159361497</v>
      </c>
      <c r="U22" s="34">
        <f t="shared" si="20"/>
        <v>359.59410852167412</v>
      </c>
    </row>
    <row r="23" spans="1:21" x14ac:dyDescent="0.3">
      <c r="A23" s="9">
        <v>15</v>
      </c>
      <c r="B23" s="10">
        <f>Dados!D19</f>
        <v>250</v>
      </c>
      <c r="C23" s="34">
        <f t="shared" si="2"/>
        <v>410.36365284974687</v>
      </c>
      <c r="D23" s="34">
        <f t="shared" si="3"/>
        <v>365.56388804908153</v>
      </c>
      <c r="E23" s="34">
        <f t="shared" si="4"/>
        <v>344.59202995863473</v>
      </c>
      <c r="F23" s="34">
        <f t="shared" si="5"/>
        <v>335.60444053913608</v>
      </c>
      <c r="G23" s="34">
        <f t="shared" si="6"/>
        <v>332.07297679036856</v>
      </c>
      <c r="H23" s="34">
        <f t="shared" si="7"/>
        <v>330.49249580169339</v>
      </c>
      <c r="I23" s="34">
        <f t="shared" si="8"/>
        <v>329.04893104998769</v>
      </c>
      <c r="J23" s="34">
        <f t="shared" si="9"/>
        <v>326.86365746790398</v>
      </c>
      <c r="K23" s="34">
        <f t="shared" si="10"/>
        <v>323.57356889121934</v>
      </c>
      <c r="L23" s="34">
        <f t="shared" si="11"/>
        <v>319.1009521484375</v>
      </c>
      <c r="M23" s="34">
        <f t="shared" si="12"/>
        <v>313.52765274000757</v>
      </c>
      <c r="N23" s="34">
        <f t="shared" si="13"/>
        <v>307.02521136742405</v>
      </c>
      <c r="O23" s="34">
        <f t="shared" si="14"/>
        <v>299.81461994659207</v>
      </c>
      <c r="P23" s="34">
        <f t="shared" si="15"/>
        <v>292.14175176803354</v>
      </c>
      <c r="Q23" s="34">
        <f t="shared" si="16"/>
        <v>284.26120784133673</v>
      </c>
      <c r="R23" s="34">
        <f t="shared" si="17"/>
        <v>276.42478950809596</v>
      </c>
      <c r="S23" s="34">
        <f t="shared" si="18"/>
        <v>268.87258819298393</v>
      </c>
      <c r="T23" s="34">
        <f t="shared" si="19"/>
        <v>261.8256441593615</v>
      </c>
      <c r="U23" s="34">
        <f t="shared" si="20"/>
        <v>255.47970542608371</v>
      </c>
    </row>
    <row r="24" spans="1:21" x14ac:dyDescent="0.3">
      <c r="A24" s="9">
        <v>16</v>
      </c>
      <c r="B24" s="10">
        <f>Dados!D20</f>
        <v>550</v>
      </c>
      <c r="C24" s="34">
        <f t="shared" si="2"/>
        <v>417.3454702072595</v>
      </c>
      <c r="D24" s="34">
        <f t="shared" si="3"/>
        <v>384.0074992441734</v>
      </c>
      <c r="E24" s="34">
        <f t="shared" si="4"/>
        <v>375.40322546483952</v>
      </c>
      <c r="F24" s="34">
        <f t="shared" si="5"/>
        <v>378.48355243130885</v>
      </c>
      <c r="G24" s="34">
        <f t="shared" si="6"/>
        <v>386.55473259277642</v>
      </c>
      <c r="H24" s="34">
        <f t="shared" si="7"/>
        <v>396.34474706118533</v>
      </c>
      <c r="I24" s="34">
        <f t="shared" si="8"/>
        <v>406.38180518249203</v>
      </c>
      <c r="J24" s="34">
        <f t="shared" si="9"/>
        <v>416.11819448074237</v>
      </c>
      <c r="K24" s="34">
        <f t="shared" si="10"/>
        <v>425.46546289017067</v>
      </c>
      <c r="L24" s="34">
        <f t="shared" si="11"/>
        <v>434.55047607421875</v>
      </c>
      <c r="M24" s="34">
        <f t="shared" si="12"/>
        <v>443.5874437330034</v>
      </c>
      <c r="N24" s="34">
        <f t="shared" si="13"/>
        <v>452.81008454696962</v>
      </c>
      <c r="O24" s="34">
        <f t="shared" si="14"/>
        <v>462.4351169813072</v>
      </c>
      <c r="P24" s="34">
        <f t="shared" si="15"/>
        <v>472.64252553041007</v>
      </c>
      <c r="Q24" s="34">
        <f t="shared" si="16"/>
        <v>483.56530196033418</v>
      </c>
      <c r="R24" s="34">
        <f t="shared" si="17"/>
        <v>495.28495790161918</v>
      </c>
      <c r="S24" s="34">
        <f t="shared" si="18"/>
        <v>507.83088822894757</v>
      </c>
      <c r="T24" s="34">
        <f t="shared" si="19"/>
        <v>521.1825644159361</v>
      </c>
      <c r="U24" s="34">
        <f t="shared" si="20"/>
        <v>535.27398527130424</v>
      </c>
    </row>
    <row r="25" spans="1:21" x14ac:dyDescent="0.3">
      <c r="A25" s="9">
        <v>17</v>
      </c>
      <c r="B25" s="10">
        <f>Dados!D21</f>
        <v>550</v>
      </c>
      <c r="C25" s="34">
        <f t="shared" si="2"/>
        <v>423.97819669689648</v>
      </c>
      <c r="D25" s="34">
        <f t="shared" si="3"/>
        <v>400.60674931975609</v>
      </c>
      <c r="E25" s="34">
        <f t="shared" si="4"/>
        <v>401.59274164511356</v>
      </c>
      <c r="F25" s="34">
        <f t="shared" si="5"/>
        <v>412.78684194504712</v>
      </c>
      <c r="G25" s="34">
        <f t="shared" si="6"/>
        <v>427.41604944458231</v>
      </c>
      <c r="H25" s="34">
        <f t="shared" si="7"/>
        <v>442.44132294282969</v>
      </c>
      <c r="I25" s="34">
        <f t="shared" si="8"/>
        <v>456.64817336861984</v>
      </c>
      <c r="J25" s="34">
        <f t="shared" si="9"/>
        <v>469.6709166884454</v>
      </c>
      <c r="K25" s="34">
        <f t="shared" si="10"/>
        <v>481.50600458959389</v>
      </c>
      <c r="L25" s="34">
        <f t="shared" si="11"/>
        <v>492.27523803710938</v>
      </c>
      <c r="M25" s="34">
        <f t="shared" si="12"/>
        <v>502.1143496798515</v>
      </c>
      <c r="N25" s="34">
        <f t="shared" si="13"/>
        <v>511.12403381878789</v>
      </c>
      <c r="O25" s="34">
        <f t="shared" si="14"/>
        <v>519.35229094345755</v>
      </c>
      <c r="P25" s="34">
        <f t="shared" si="15"/>
        <v>526.79275765912303</v>
      </c>
      <c r="Q25" s="34">
        <f t="shared" si="16"/>
        <v>533.39132549008355</v>
      </c>
      <c r="R25" s="34">
        <f t="shared" si="17"/>
        <v>539.05699158032382</v>
      </c>
      <c r="S25" s="34">
        <f t="shared" si="18"/>
        <v>543.6746332343422</v>
      </c>
      <c r="T25" s="34">
        <f t="shared" si="19"/>
        <v>547.11825644159364</v>
      </c>
      <c r="U25" s="34">
        <f t="shared" si="20"/>
        <v>549.26369926356529</v>
      </c>
    </row>
    <row r="26" spans="1:21" x14ac:dyDescent="0.3">
      <c r="A26" s="9">
        <v>18</v>
      </c>
      <c r="B26" s="10">
        <f>Dados!D22</f>
        <v>400</v>
      </c>
      <c r="C26" s="34">
        <f t="shared" si="2"/>
        <v>422.77928686205161</v>
      </c>
      <c r="D26" s="34">
        <f t="shared" si="3"/>
        <v>400.54607438778049</v>
      </c>
      <c r="E26" s="34">
        <f t="shared" si="4"/>
        <v>401.35383039834653</v>
      </c>
      <c r="F26" s="34">
        <f t="shared" si="5"/>
        <v>410.2294735560377</v>
      </c>
      <c r="G26" s="34">
        <f t="shared" si="6"/>
        <v>420.56203708343673</v>
      </c>
      <c r="H26" s="34">
        <f t="shared" si="7"/>
        <v>429.70892605998074</v>
      </c>
      <c r="I26" s="34">
        <f t="shared" si="8"/>
        <v>436.82131268960291</v>
      </c>
      <c r="J26" s="34">
        <f t="shared" si="9"/>
        <v>441.80255001306722</v>
      </c>
      <c r="K26" s="34">
        <f t="shared" si="10"/>
        <v>444.82830252427664</v>
      </c>
      <c r="L26" s="34">
        <f t="shared" si="11"/>
        <v>446.13761901855469</v>
      </c>
      <c r="M26" s="34">
        <f t="shared" si="12"/>
        <v>445.95145735593314</v>
      </c>
      <c r="N26" s="34">
        <f t="shared" si="13"/>
        <v>444.44961352751517</v>
      </c>
      <c r="O26" s="34">
        <f t="shared" si="14"/>
        <v>441.77330183021013</v>
      </c>
      <c r="P26" s="34">
        <f t="shared" si="15"/>
        <v>438.03782729773695</v>
      </c>
      <c r="Q26" s="34">
        <f t="shared" si="16"/>
        <v>433.34783137252089</v>
      </c>
      <c r="R26" s="34">
        <f t="shared" si="17"/>
        <v>427.81139831606475</v>
      </c>
      <c r="S26" s="34">
        <f t="shared" si="18"/>
        <v>421.55119498515137</v>
      </c>
      <c r="T26" s="34">
        <f t="shared" si="19"/>
        <v>414.71182564415938</v>
      </c>
      <c r="U26" s="34">
        <f t="shared" si="20"/>
        <v>407.46318496317826</v>
      </c>
    </row>
    <row r="27" spans="1:21" x14ac:dyDescent="0.3">
      <c r="A27" s="9">
        <v>19</v>
      </c>
      <c r="B27" s="10">
        <f>Dados!D23</f>
        <v>350</v>
      </c>
      <c r="C27" s="34">
        <f t="shared" si="2"/>
        <v>419.14032251894901</v>
      </c>
      <c r="D27" s="34">
        <f t="shared" si="3"/>
        <v>395.49146694900247</v>
      </c>
      <c r="E27" s="34">
        <f t="shared" si="4"/>
        <v>393.65075583859453</v>
      </c>
      <c r="F27" s="34">
        <f t="shared" si="5"/>
        <v>398.18357884483021</v>
      </c>
      <c r="G27" s="34">
        <f t="shared" si="6"/>
        <v>402.92152781257755</v>
      </c>
      <c r="H27" s="34">
        <f t="shared" si="7"/>
        <v>405.79624824198652</v>
      </c>
      <c r="I27" s="34">
        <f t="shared" si="8"/>
        <v>406.43385324824192</v>
      </c>
      <c r="J27" s="34">
        <f t="shared" si="9"/>
        <v>405.08153000784034</v>
      </c>
      <c r="K27" s="34">
        <f t="shared" si="10"/>
        <v>402.15556638835216</v>
      </c>
      <c r="L27" s="34">
        <f t="shared" si="11"/>
        <v>398.06880950927734</v>
      </c>
      <c r="M27" s="34">
        <f t="shared" si="12"/>
        <v>393.17815581016993</v>
      </c>
      <c r="N27" s="34">
        <f t="shared" si="13"/>
        <v>387.77984541100608</v>
      </c>
      <c r="O27" s="34">
        <f t="shared" si="14"/>
        <v>382.12065564057355</v>
      </c>
      <c r="P27" s="34">
        <f t="shared" si="15"/>
        <v>376.41134818932107</v>
      </c>
      <c r="Q27" s="34">
        <f t="shared" si="16"/>
        <v>370.83695784313022</v>
      </c>
      <c r="R27" s="34">
        <f t="shared" si="17"/>
        <v>365.56227966321296</v>
      </c>
      <c r="S27" s="34">
        <f t="shared" si="18"/>
        <v>360.73267924777269</v>
      </c>
      <c r="T27" s="34">
        <f t="shared" si="19"/>
        <v>356.47118256441593</v>
      </c>
      <c r="U27" s="34">
        <f t="shared" si="20"/>
        <v>352.87315924815891</v>
      </c>
    </row>
    <row r="28" spans="1:21" x14ac:dyDescent="0.3">
      <c r="A28" s="9">
        <v>20</v>
      </c>
      <c r="B28" s="10">
        <f>Dados!D24</f>
        <v>600</v>
      </c>
      <c r="C28" s="34">
        <f t="shared" si="2"/>
        <v>428.18330639300154</v>
      </c>
      <c r="D28" s="34">
        <f t="shared" si="3"/>
        <v>415.94232025410224</v>
      </c>
      <c r="E28" s="34">
        <f t="shared" si="4"/>
        <v>424.60314246280535</v>
      </c>
      <c r="F28" s="34">
        <f t="shared" si="5"/>
        <v>438.54686307586417</v>
      </c>
      <c r="G28" s="34">
        <f t="shared" si="6"/>
        <v>452.19114585943316</v>
      </c>
      <c r="H28" s="34">
        <f t="shared" si="7"/>
        <v>464.05737376939055</v>
      </c>
      <c r="I28" s="34">
        <f t="shared" si="8"/>
        <v>474.18200461135723</v>
      </c>
      <c r="J28" s="34">
        <f t="shared" si="9"/>
        <v>483.04891800470421</v>
      </c>
      <c r="K28" s="34">
        <f t="shared" si="10"/>
        <v>491.18556151359371</v>
      </c>
      <c r="L28" s="34">
        <f t="shared" si="11"/>
        <v>499.03440475463867</v>
      </c>
      <c r="M28" s="34">
        <f t="shared" si="12"/>
        <v>506.93017011457641</v>
      </c>
      <c r="N28" s="34">
        <f t="shared" si="13"/>
        <v>515.11193816440243</v>
      </c>
      <c r="O28" s="34">
        <f t="shared" si="14"/>
        <v>523.74222947420071</v>
      </c>
      <c r="P28" s="34">
        <f t="shared" si="15"/>
        <v>532.92340445679633</v>
      </c>
      <c r="Q28" s="34">
        <f t="shared" si="16"/>
        <v>542.70923946078256</v>
      </c>
      <c r="R28" s="34">
        <f t="shared" si="17"/>
        <v>553.11245593264255</v>
      </c>
      <c r="S28" s="34">
        <f t="shared" si="18"/>
        <v>564.10990188716596</v>
      </c>
      <c r="T28" s="34">
        <f t="shared" si="19"/>
        <v>575.64711825644156</v>
      </c>
      <c r="U28" s="34">
        <f t="shared" si="20"/>
        <v>587.64365796240793</v>
      </c>
    </row>
    <row r="29" spans="1:21" x14ac:dyDescent="0.3">
      <c r="A29" s="9">
        <v>21</v>
      </c>
      <c r="B29" s="10">
        <f>Dados!D25</f>
        <v>750</v>
      </c>
      <c r="C29" s="34">
        <f t="shared" si="2"/>
        <v>444.27414107335147</v>
      </c>
      <c r="D29" s="34">
        <f t="shared" si="3"/>
        <v>449.34808822869201</v>
      </c>
      <c r="E29" s="34">
        <f t="shared" si="4"/>
        <v>473.41267109338452</v>
      </c>
      <c r="F29" s="34">
        <f t="shared" si="5"/>
        <v>500.83749046069136</v>
      </c>
      <c r="G29" s="34">
        <f t="shared" si="6"/>
        <v>526.64335939457487</v>
      </c>
      <c r="H29" s="34">
        <f t="shared" si="7"/>
        <v>549.84016163857336</v>
      </c>
      <c r="I29" s="34">
        <f t="shared" si="8"/>
        <v>570.71830299738212</v>
      </c>
      <c r="J29" s="34">
        <f t="shared" si="9"/>
        <v>589.82935080282255</v>
      </c>
      <c r="K29" s="34">
        <f t="shared" si="10"/>
        <v>607.65205883247654</v>
      </c>
      <c r="L29" s="34">
        <f t="shared" si="11"/>
        <v>624.51720237731934</v>
      </c>
      <c r="M29" s="34">
        <f t="shared" si="12"/>
        <v>640.61857655155939</v>
      </c>
      <c r="N29" s="34">
        <f t="shared" si="13"/>
        <v>656.04477526576102</v>
      </c>
      <c r="O29" s="34">
        <f t="shared" si="14"/>
        <v>670.80978031597022</v>
      </c>
      <c r="P29" s="34">
        <f t="shared" si="15"/>
        <v>684.87702133703897</v>
      </c>
      <c r="Q29" s="34">
        <f t="shared" si="16"/>
        <v>698.17730986519564</v>
      </c>
      <c r="R29" s="34">
        <f t="shared" si="17"/>
        <v>710.62249118652846</v>
      </c>
      <c r="S29" s="34">
        <f t="shared" si="18"/>
        <v>722.11648528307489</v>
      </c>
      <c r="T29" s="34">
        <f t="shared" si="19"/>
        <v>732.56471182564417</v>
      </c>
      <c r="U29" s="34">
        <f t="shared" si="20"/>
        <v>741.88218289812039</v>
      </c>
    </row>
    <row r="30" spans="1:21" x14ac:dyDescent="0.3">
      <c r="A30" s="9">
        <v>22</v>
      </c>
      <c r="B30" s="10">
        <f>Dados!D26</f>
        <v>500</v>
      </c>
      <c r="C30" s="34">
        <f t="shared" si="2"/>
        <v>447.0604340196839</v>
      </c>
      <c r="D30" s="34">
        <f t="shared" si="3"/>
        <v>454.41327940582283</v>
      </c>
      <c r="E30" s="34">
        <f t="shared" si="4"/>
        <v>477.40077042937685</v>
      </c>
      <c r="F30" s="34">
        <f t="shared" si="5"/>
        <v>500.6699923685531</v>
      </c>
      <c r="G30" s="34">
        <f t="shared" si="6"/>
        <v>519.98251954593115</v>
      </c>
      <c r="H30" s="34">
        <f t="shared" si="7"/>
        <v>534.88811314700138</v>
      </c>
      <c r="I30" s="34">
        <f t="shared" si="8"/>
        <v>545.96689694829843</v>
      </c>
      <c r="J30" s="34">
        <f t="shared" si="9"/>
        <v>553.8976104816935</v>
      </c>
      <c r="K30" s="34">
        <f t="shared" si="10"/>
        <v>559.20863235786214</v>
      </c>
      <c r="L30" s="34">
        <f t="shared" si="11"/>
        <v>562.25860118865967</v>
      </c>
      <c r="M30" s="34">
        <f t="shared" si="12"/>
        <v>563.27835944820163</v>
      </c>
      <c r="N30" s="34">
        <f t="shared" si="13"/>
        <v>562.41791010630436</v>
      </c>
      <c r="O30" s="34">
        <f t="shared" si="14"/>
        <v>559.78342311058952</v>
      </c>
      <c r="P30" s="34">
        <f t="shared" si="15"/>
        <v>555.46310640111176</v>
      </c>
      <c r="Q30" s="34">
        <f t="shared" si="16"/>
        <v>549.54432746629891</v>
      </c>
      <c r="R30" s="34">
        <f t="shared" si="17"/>
        <v>542.12449823730572</v>
      </c>
      <c r="S30" s="34">
        <f t="shared" si="18"/>
        <v>533.31747279246122</v>
      </c>
      <c r="T30" s="34">
        <f t="shared" si="19"/>
        <v>523.25647118256438</v>
      </c>
      <c r="U30" s="34">
        <f t="shared" si="20"/>
        <v>512.09410914490604</v>
      </c>
    </row>
    <row r="31" spans="1:21" x14ac:dyDescent="0.3">
      <c r="A31" s="9">
        <v>23</v>
      </c>
      <c r="B31" s="10">
        <f>Dados!D27</f>
        <v>400</v>
      </c>
      <c r="C31" s="34">
        <f t="shared" si="2"/>
        <v>444.70741231869971</v>
      </c>
      <c r="D31" s="34">
        <f t="shared" si="3"/>
        <v>448.97195146524058</v>
      </c>
      <c r="E31" s="34">
        <f t="shared" si="4"/>
        <v>465.79065486497029</v>
      </c>
      <c r="F31" s="34">
        <f t="shared" si="5"/>
        <v>480.53599389484248</v>
      </c>
      <c r="G31" s="34">
        <f t="shared" si="6"/>
        <v>489.98688965944837</v>
      </c>
      <c r="H31" s="34">
        <f t="shared" si="7"/>
        <v>494.42167920290092</v>
      </c>
      <c r="I31" s="34">
        <f t="shared" si="8"/>
        <v>494.878483016394</v>
      </c>
      <c r="J31" s="34">
        <f t="shared" si="9"/>
        <v>492.33856628901611</v>
      </c>
      <c r="K31" s="34">
        <f t="shared" si="10"/>
        <v>487.56474779682418</v>
      </c>
      <c r="L31" s="34">
        <f t="shared" si="11"/>
        <v>481.12930059432983</v>
      </c>
      <c r="M31" s="34">
        <f t="shared" si="12"/>
        <v>473.47526175169071</v>
      </c>
      <c r="N31" s="34">
        <f t="shared" si="13"/>
        <v>464.96716404252174</v>
      </c>
      <c r="O31" s="34">
        <f t="shared" si="14"/>
        <v>455.92419808870636</v>
      </c>
      <c r="P31" s="34">
        <f t="shared" si="15"/>
        <v>446.63893192033356</v>
      </c>
      <c r="Q31" s="34">
        <f t="shared" si="16"/>
        <v>437.38608186657473</v>
      </c>
      <c r="R31" s="34">
        <f t="shared" si="17"/>
        <v>428.42489964746113</v>
      </c>
      <c r="S31" s="34">
        <f t="shared" si="18"/>
        <v>419.99762091886919</v>
      </c>
      <c r="T31" s="34">
        <f t="shared" si="19"/>
        <v>412.32564711825643</v>
      </c>
      <c r="U31" s="34">
        <f t="shared" si="20"/>
        <v>405.6047054572453</v>
      </c>
    </row>
    <row r="32" spans="1:21" x14ac:dyDescent="0.3">
      <c r="A32" s="9">
        <v>24</v>
      </c>
      <c r="B32" s="10">
        <f>Dados!D28</f>
        <v>650</v>
      </c>
      <c r="C32" s="34">
        <f t="shared" si="2"/>
        <v>454.97204170276473</v>
      </c>
      <c r="D32" s="34">
        <f t="shared" si="3"/>
        <v>469.07475631871654</v>
      </c>
      <c r="E32" s="34">
        <f t="shared" si="4"/>
        <v>493.42205663522475</v>
      </c>
      <c r="F32" s="34">
        <f t="shared" si="5"/>
        <v>514.42879511587398</v>
      </c>
      <c r="G32" s="34">
        <f t="shared" si="6"/>
        <v>529.99016724458625</v>
      </c>
      <c r="H32" s="34">
        <f t="shared" si="7"/>
        <v>541.09517544203061</v>
      </c>
      <c r="I32" s="34">
        <f t="shared" si="8"/>
        <v>549.17101396065607</v>
      </c>
      <c r="J32" s="34">
        <f t="shared" si="9"/>
        <v>555.40313977340963</v>
      </c>
      <c r="K32" s="34">
        <f t="shared" si="10"/>
        <v>560.66061128825334</v>
      </c>
      <c r="L32" s="34">
        <f t="shared" si="11"/>
        <v>565.56465029716492</v>
      </c>
      <c r="M32" s="34">
        <f t="shared" si="12"/>
        <v>570.56386778826084</v>
      </c>
      <c r="N32" s="34">
        <f t="shared" si="13"/>
        <v>575.98686561700868</v>
      </c>
      <c r="O32" s="34">
        <f t="shared" si="14"/>
        <v>582.07346933104725</v>
      </c>
      <c r="P32" s="34">
        <f t="shared" si="15"/>
        <v>588.99167957610007</v>
      </c>
      <c r="Q32" s="34">
        <f t="shared" si="16"/>
        <v>596.84652046664371</v>
      </c>
      <c r="R32" s="34">
        <f t="shared" si="17"/>
        <v>605.68497992949221</v>
      </c>
      <c r="S32" s="34">
        <f t="shared" si="18"/>
        <v>615.49964313783039</v>
      </c>
      <c r="T32" s="34">
        <f t="shared" si="19"/>
        <v>626.2325647118256</v>
      </c>
      <c r="U32" s="34">
        <f t="shared" si="20"/>
        <v>637.78023527286223</v>
      </c>
    </row>
    <row r="34" spans="1:3" x14ac:dyDescent="0.3">
      <c r="A34" s="13" t="s">
        <v>114</v>
      </c>
      <c r="C34" s="35">
        <f>INDEX(C4:U4,MATCH(MIN(C5:U5),C5:U5,0))</f>
        <v>0.35</v>
      </c>
    </row>
    <row r="35" spans="1:3" x14ac:dyDescent="0.3">
      <c r="A35" s="13" t="s">
        <v>115</v>
      </c>
      <c r="C35" s="36">
        <f>MIN(C5:U5)</f>
        <v>21429.427278163512</v>
      </c>
    </row>
    <row r="36" spans="1:3" x14ac:dyDescent="0.3">
      <c r="A36" s="5" t="s">
        <v>116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90"/>
  <sheetViews>
    <sheetView showGridLines="0" zoomScale="130" zoomScaleNormal="130" workbookViewId="0"/>
  </sheetViews>
  <sheetFormatPr defaultColWidth="8.6640625" defaultRowHeight="14.4" x14ac:dyDescent="0.3"/>
  <cols>
    <col min="1" max="1" width="40" customWidth="1"/>
    <col min="2" max="3" width="12" customWidth="1"/>
    <col min="4" max="4" width="44" customWidth="1"/>
    <col min="5" max="10" width="10" customWidth="1"/>
  </cols>
  <sheetData>
    <row r="1" spans="1:32" ht="17.399999999999999" x14ac:dyDescent="0.3">
      <c r="A1" s="4" t="s">
        <v>117</v>
      </c>
    </row>
    <row r="2" spans="1:32" x14ac:dyDescent="0.3">
      <c r="A2" s="5" t="s">
        <v>118</v>
      </c>
    </row>
    <row r="4" spans="1:32" ht="42" customHeight="1" x14ac:dyDescent="0.3">
      <c r="A4" s="13" t="s">
        <v>119</v>
      </c>
      <c r="B4" s="14">
        <v>0.1</v>
      </c>
      <c r="C4" s="5"/>
      <c r="AD4" s="8" t="s">
        <v>120</v>
      </c>
      <c r="AE4" s="8" t="s">
        <v>121</v>
      </c>
      <c r="AF4" s="8" t="s">
        <v>122</v>
      </c>
    </row>
    <row r="5" spans="1:32" x14ac:dyDescent="0.3">
      <c r="A5" s="13" t="s">
        <v>123</v>
      </c>
      <c r="B5" s="14">
        <v>0.9</v>
      </c>
      <c r="C5" s="5"/>
      <c r="AD5" s="37">
        <v>0</v>
      </c>
      <c r="AE5" s="38">
        <f t="shared" ref="AE5:AE20" si="0">$B$4*(1-$B$4)^AD5</f>
        <v>0.1</v>
      </c>
      <c r="AF5" s="38">
        <f t="shared" ref="AF5:AF20" si="1">$B$5*(1-$B$5)^AD5</f>
        <v>0.9</v>
      </c>
    </row>
    <row r="6" spans="1:32" x14ac:dyDescent="0.3">
      <c r="AD6" s="37">
        <v>1</v>
      </c>
      <c r="AE6" s="38">
        <f t="shared" si="0"/>
        <v>9.0000000000000011E-2</v>
      </c>
      <c r="AF6" s="38">
        <f t="shared" si="1"/>
        <v>8.9999999999999983E-2</v>
      </c>
    </row>
    <row r="7" spans="1:32" ht="42" customHeight="1" x14ac:dyDescent="0.3">
      <c r="A7" s="8" t="s">
        <v>124</v>
      </c>
      <c r="B7" s="8" t="s">
        <v>125</v>
      </c>
      <c r="C7" s="8" t="s">
        <v>126</v>
      </c>
      <c r="D7" s="8" t="s">
        <v>127</v>
      </c>
      <c r="AD7" s="37">
        <v>2</v>
      </c>
      <c r="AE7" s="38">
        <f t="shared" si="0"/>
        <v>8.1000000000000016E-2</v>
      </c>
      <c r="AF7" s="38">
        <f t="shared" si="1"/>
        <v>8.9999999999999959E-3</v>
      </c>
    </row>
    <row r="8" spans="1:32" x14ac:dyDescent="0.3">
      <c r="A8" s="37" t="s">
        <v>128</v>
      </c>
      <c r="B8" s="39">
        <f>$B$4</f>
        <v>0.1</v>
      </c>
      <c r="C8" s="39">
        <f>$B$5</f>
        <v>0.9</v>
      </c>
      <c r="D8" s="37" t="s">
        <v>129</v>
      </c>
      <c r="AD8" s="37">
        <v>3</v>
      </c>
      <c r="AE8" s="38">
        <f t="shared" si="0"/>
        <v>7.2900000000000006E-2</v>
      </c>
      <c r="AF8" s="38">
        <f t="shared" si="1"/>
        <v>8.9999999999999943E-4</v>
      </c>
    </row>
    <row r="9" spans="1:32" x14ac:dyDescent="0.3">
      <c r="A9" s="37" t="s">
        <v>130</v>
      </c>
      <c r="B9" s="40">
        <f>(1-$B$4)/$B$4</f>
        <v>9</v>
      </c>
      <c r="C9" s="40">
        <f>(1-$B$5)/$B$5</f>
        <v>0.11111111111111108</v>
      </c>
      <c r="D9" s="37" t="s">
        <v>131</v>
      </c>
      <c r="AD9" s="37">
        <v>4</v>
      </c>
      <c r="AE9" s="38">
        <f t="shared" si="0"/>
        <v>6.5610000000000016E-2</v>
      </c>
      <c r="AF9" s="38">
        <f t="shared" si="1"/>
        <v>8.9999999999999911E-5</v>
      </c>
    </row>
    <row r="10" spans="1:32" x14ac:dyDescent="0.3">
      <c r="A10" s="37" t="s">
        <v>132</v>
      </c>
      <c r="B10" s="41">
        <f>(2-$B$4)/$B$4</f>
        <v>18.999999999999996</v>
      </c>
      <c r="C10" s="41">
        <f>(2-$B$5)/$B$5</f>
        <v>1.2222222222222223</v>
      </c>
      <c r="D10" s="37" t="s">
        <v>133</v>
      </c>
      <c r="AD10" s="37">
        <v>5</v>
      </c>
      <c r="AE10" s="38">
        <f t="shared" si="0"/>
        <v>5.9049000000000018E-2</v>
      </c>
      <c r="AF10" s="38">
        <f t="shared" si="1"/>
        <v>8.9999999999999884E-6</v>
      </c>
    </row>
    <row r="11" spans="1:32" x14ac:dyDescent="0.3">
      <c r="A11" s="37" t="s">
        <v>134</v>
      </c>
      <c r="B11" s="40">
        <f>LN(0.5)/LN(1-$B$4)</f>
        <v>6.5788134789605852</v>
      </c>
      <c r="C11" s="40">
        <f>LN(0.5)/LN(1-$B$5)</f>
        <v>0.30102999566398114</v>
      </c>
      <c r="D11" s="37" t="s">
        <v>135</v>
      </c>
      <c r="AD11" s="37">
        <v>6</v>
      </c>
      <c r="AE11" s="38">
        <f t="shared" si="0"/>
        <v>5.314410000000002E-2</v>
      </c>
      <c r="AF11" s="38">
        <f t="shared" si="1"/>
        <v>8.9999999999999869E-7</v>
      </c>
    </row>
    <row r="12" spans="1:32" x14ac:dyDescent="0.3">
      <c r="A12" s="37" t="s">
        <v>136</v>
      </c>
      <c r="B12" s="40">
        <f>$B$4/(2-$B$4)</f>
        <v>5.2631578947368425E-2</v>
      </c>
      <c r="C12" s="40">
        <f>$B$5/(2-$B$5)</f>
        <v>0.81818181818181812</v>
      </c>
      <c r="D12" s="37" t="s">
        <v>137</v>
      </c>
      <c r="AD12" s="37">
        <v>7</v>
      </c>
      <c r="AE12" s="38">
        <f t="shared" si="0"/>
        <v>4.7829690000000015E-2</v>
      </c>
      <c r="AF12" s="38">
        <f t="shared" si="1"/>
        <v>8.9999999999999853E-8</v>
      </c>
    </row>
    <row r="13" spans="1:32" x14ac:dyDescent="0.3">
      <c r="A13" s="37" t="s">
        <v>138</v>
      </c>
      <c r="B13" s="41">
        <f>LN(0.1)/LN(1-$B$4)</f>
        <v>21.854345326782834</v>
      </c>
      <c r="C13" s="41">
        <f>LN(0.1)/LN(1-$B$5)</f>
        <v>0.99999999999999978</v>
      </c>
      <c r="D13" s="37" t="s">
        <v>139</v>
      </c>
      <c r="AD13" s="37">
        <v>8</v>
      </c>
      <c r="AE13" s="38">
        <f t="shared" si="0"/>
        <v>4.3046721000000017E-2</v>
      </c>
      <c r="AF13" s="38">
        <f t="shared" si="1"/>
        <v>8.9999999999999813E-9</v>
      </c>
    </row>
    <row r="14" spans="1:32" x14ac:dyDescent="0.3">
      <c r="A14" s="37" t="s">
        <v>140</v>
      </c>
      <c r="B14" s="42">
        <f>$B$4^2/(1-$B$4)</f>
        <v>1.1111111111111113E-2</v>
      </c>
      <c r="C14" s="42">
        <f>$B$5^2/(1-$B$5)</f>
        <v>8.1000000000000032</v>
      </c>
      <c r="D14" s="37" t="s">
        <v>141</v>
      </c>
      <c r="AD14" s="37">
        <v>9</v>
      </c>
      <c r="AE14" s="38">
        <f t="shared" si="0"/>
        <v>3.874204890000002E-2</v>
      </c>
      <c r="AF14" s="38">
        <f t="shared" si="1"/>
        <v>8.9999999999999782E-10</v>
      </c>
    </row>
    <row r="15" spans="1:32" x14ac:dyDescent="0.3">
      <c r="AD15" s="37">
        <v>10</v>
      </c>
      <c r="AE15" s="38">
        <f t="shared" si="0"/>
        <v>3.4867844010000017E-2</v>
      </c>
      <c r="AF15" s="38">
        <f t="shared" si="1"/>
        <v>8.9999999999999767E-11</v>
      </c>
    </row>
    <row r="16" spans="1:32" ht="42" customHeight="1" x14ac:dyDescent="0.3">
      <c r="A16" s="8" t="s">
        <v>142</v>
      </c>
      <c r="B16" s="8" t="s">
        <v>143</v>
      </c>
      <c r="C16" s="8" t="s">
        <v>144</v>
      </c>
      <c r="D16" s="8" t="s">
        <v>145</v>
      </c>
      <c r="AD16" s="37">
        <v>11</v>
      </c>
      <c r="AE16" s="38">
        <f t="shared" si="0"/>
        <v>3.138105960900002E-2</v>
      </c>
      <c r="AF16" s="38">
        <f t="shared" si="1"/>
        <v>8.9999999999999754E-12</v>
      </c>
    </row>
    <row r="17" spans="1:32" x14ac:dyDescent="0.3">
      <c r="A17" s="37" t="s">
        <v>146</v>
      </c>
      <c r="B17" s="43">
        <f>AVERAGE(G32:G70)</f>
        <v>186.21079273156568</v>
      </c>
      <c r="C17" s="43">
        <f>AVERAGE(J32:J70)</f>
        <v>337.34475906748435</v>
      </c>
      <c r="D17" s="37" t="str">
        <f>IF(B17&lt;C17,"α₁ = "&amp;FIXED($B$4,2),"α₂ = "&amp;FIXED($B$5,2))</f>
        <v>α₁ = 0,10</v>
      </c>
      <c r="AD17" s="37">
        <v>12</v>
      </c>
      <c r="AE17" s="38">
        <f t="shared" si="0"/>
        <v>2.8242953648100019E-2</v>
      </c>
      <c r="AF17" s="38">
        <f t="shared" si="1"/>
        <v>8.9999999999999707E-13</v>
      </c>
    </row>
    <row r="18" spans="1:32" x14ac:dyDescent="0.3">
      <c r="A18" s="37" t="s">
        <v>147</v>
      </c>
      <c r="B18" s="43">
        <f>AVERAGE(G71:G80)</f>
        <v>795.63468189075616</v>
      </c>
      <c r="C18" s="43">
        <f>AVERAGE(J71:J80)</f>
        <v>268.9647670105868</v>
      </c>
      <c r="D18" s="37" t="str">
        <f>IF(B18&lt;C18,"α₁ = "&amp;FIXED($B$4,2),"α₂ = "&amp;FIXED($B$5,2))</f>
        <v>α₂ = 0,90</v>
      </c>
      <c r="AD18" s="37">
        <v>13</v>
      </c>
      <c r="AE18" s="38">
        <f t="shared" si="0"/>
        <v>2.541865828329002E-2</v>
      </c>
      <c r="AF18" s="38">
        <f t="shared" si="1"/>
        <v>8.9999999999999692E-14</v>
      </c>
    </row>
    <row r="19" spans="1:32" x14ac:dyDescent="0.3">
      <c r="A19" s="37" t="s">
        <v>148</v>
      </c>
      <c r="B19" s="43">
        <f>AVERAGE(G81:G90)</f>
        <v>191.89008969306917</v>
      </c>
      <c r="C19" s="43">
        <f>AVERAGE(J81:J90)</f>
        <v>174.68771450819213</v>
      </c>
      <c r="D19" s="37" t="str">
        <f>IF(B19&lt;C19,"α₁ = "&amp;FIXED($B$4,2),"α₂ = "&amp;FIXED($B$5,2))</f>
        <v>α₂ = 0,90</v>
      </c>
      <c r="AD19" s="37">
        <v>14</v>
      </c>
      <c r="AE19" s="38">
        <f t="shared" si="0"/>
        <v>2.2876792454961017E-2</v>
      </c>
      <c r="AF19" s="38">
        <f t="shared" si="1"/>
        <v>8.999999999999968E-15</v>
      </c>
    </row>
    <row r="20" spans="1:32" x14ac:dyDescent="0.3">
      <c r="AD20" s="37">
        <v>15</v>
      </c>
      <c r="AE20" s="38">
        <f t="shared" si="0"/>
        <v>2.0589113209464913E-2</v>
      </c>
      <c r="AF20" s="38">
        <f t="shared" si="1"/>
        <v>8.9999999999999668E-16</v>
      </c>
    </row>
    <row r="21" spans="1:32" x14ac:dyDescent="0.3">
      <c r="A21" s="13" t="s">
        <v>149</v>
      </c>
      <c r="B21" s="44">
        <f>F56</f>
        <v>107.43946206638464</v>
      </c>
      <c r="C21" s="44">
        <f>I56</f>
        <v>135.57969840039814</v>
      </c>
    </row>
    <row r="23" spans="1:32" ht="57.75" customHeight="1" x14ac:dyDescent="0.3">
      <c r="A23" s="60" t="s">
        <v>150</v>
      </c>
      <c r="B23" s="61" t="s">
        <v>151</v>
      </c>
      <c r="C23" s="61"/>
      <c r="D23" s="61"/>
    </row>
    <row r="24" spans="1:32" ht="57.75" customHeight="1" x14ac:dyDescent="0.3">
      <c r="A24" s="60" t="s">
        <v>152</v>
      </c>
      <c r="B24" s="61" t="s">
        <v>153</v>
      </c>
      <c r="C24" s="61"/>
      <c r="D24" s="61"/>
    </row>
    <row r="25" spans="1:32" ht="57.75" customHeight="1" x14ac:dyDescent="0.3">
      <c r="A25" s="60" t="s">
        <v>154</v>
      </c>
      <c r="B25" s="61" t="s">
        <v>155</v>
      </c>
      <c r="C25" s="61"/>
      <c r="D25" s="61"/>
    </row>
    <row r="30" spans="1:32" ht="42" customHeight="1" x14ac:dyDescent="0.3">
      <c r="A30" s="8" t="s">
        <v>43</v>
      </c>
      <c r="B30" s="8" t="s">
        <v>81</v>
      </c>
      <c r="C30" s="8" t="s">
        <v>156</v>
      </c>
      <c r="D30" s="8" t="s">
        <v>142</v>
      </c>
      <c r="E30" s="8" t="s">
        <v>157</v>
      </c>
      <c r="F30" s="8" t="s">
        <v>158</v>
      </c>
      <c r="G30" s="8" t="s">
        <v>159</v>
      </c>
      <c r="H30" s="8" t="s">
        <v>160</v>
      </c>
      <c r="I30" s="8" t="s">
        <v>161</v>
      </c>
      <c r="J30" s="8" t="s">
        <v>162</v>
      </c>
    </row>
    <row r="31" spans="1:32" x14ac:dyDescent="0.3">
      <c r="A31" s="23">
        <v>1</v>
      </c>
      <c r="B31" s="32">
        <v>113</v>
      </c>
      <c r="C31" s="33">
        <v>100</v>
      </c>
      <c r="D31" s="33" t="s">
        <v>163</v>
      </c>
      <c r="E31" s="33">
        <f>B31</f>
        <v>113</v>
      </c>
      <c r="F31" s="33"/>
      <c r="G31" s="33"/>
      <c r="H31" s="33">
        <f>B31</f>
        <v>113</v>
      </c>
      <c r="I31" s="33"/>
      <c r="J31" s="33"/>
    </row>
    <row r="32" spans="1:32" x14ac:dyDescent="0.3">
      <c r="A32" s="9">
        <v>2</v>
      </c>
      <c r="B32" s="10">
        <v>96</v>
      </c>
      <c r="C32" s="34">
        <v>100</v>
      </c>
      <c r="D32" s="34" t="s">
        <v>163</v>
      </c>
      <c r="E32" s="34">
        <f t="shared" ref="E32:E63" si="2">$B$4*B32+(1-$B$4)*E31</f>
        <v>111.30000000000001</v>
      </c>
      <c r="F32" s="34">
        <f t="shared" ref="F32:F63" si="3">E31</f>
        <v>113</v>
      </c>
      <c r="G32" s="34">
        <f t="shared" ref="G32:G63" si="4">(B32-F32)^2</f>
        <v>289</v>
      </c>
      <c r="H32" s="34">
        <f t="shared" ref="H32:H63" si="5">$B$5*B32+(1-$B$5)*H31</f>
        <v>97.7</v>
      </c>
      <c r="I32" s="34">
        <f t="shared" ref="I32:I63" si="6">H31</f>
        <v>113</v>
      </c>
      <c r="J32" s="34">
        <f t="shared" ref="J32:J63" si="7">(B32-I32)^2</f>
        <v>289</v>
      </c>
    </row>
    <row r="33" spans="1:10" x14ac:dyDescent="0.3">
      <c r="A33" s="9">
        <v>3</v>
      </c>
      <c r="B33" s="10">
        <v>105</v>
      </c>
      <c r="C33" s="34">
        <v>100</v>
      </c>
      <c r="D33" s="34" t="s">
        <v>163</v>
      </c>
      <c r="E33" s="34">
        <f t="shared" si="2"/>
        <v>110.67000000000002</v>
      </c>
      <c r="F33" s="34">
        <f t="shared" si="3"/>
        <v>111.30000000000001</v>
      </c>
      <c r="G33" s="34">
        <f t="shared" si="4"/>
        <v>39.69000000000014</v>
      </c>
      <c r="H33" s="34">
        <f t="shared" si="5"/>
        <v>104.27</v>
      </c>
      <c r="I33" s="34">
        <f t="shared" si="6"/>
        <v>97.7</v>
      </c>
      <c r="J33" s="34">
        <f t="shared" si="7"/>
        <v>53.289999999999957</v>
      </c>
    </row>
    <row r="34" spans="1:10" x14ac:dyDescent="0.3">
      <c r="A34" s="9">
        <v>4</v>
      </c>
      <c r="B34" s="10">
        <v>105</v>
      </c>
      <c r="C34" s="34">
        <v>100</v>
      </c>
      <c r="D34" s="34" t="s">
        <v>163</v>
      </c>
      <c r="E34" s="34">
        <f t="shared" si="2"/>
        <v>110.10300000000002</v>
      </c>
      <c r="F34" s="34">
        <f t="shared" si="3"/>
        <v>110.67000000000002</v>
      </c>
      <c r="G34" s="34">
        <f t="shared" si="4"/>
        <v>32.148900000000182</v>
      </c>
      <c r="H34" s="34">
        <f t="shared" si="5"/>
        <v>104.92699999999999</v>
      </c>
      <c r="I34" s="34">
        <f t="shared" si="6"/>
        <v>104.27</v>
      </c>
      <c r="J34" s="34">
        <f t="shared" si="7"/>
        <v>0.53290000000000581</v>
      </c>
    </row>
    <row r="35" spans="1:10" x14ac:dyDescent="0.3">
      <c r="A35" s="9">
        <v>5</v>
      </c>
      <c r="B35" s="10">
        <v>84</v>
      </c>
      <c r="C35" s="34">
        <v>100</v>
      </c>
      <c r="D35" s="34" t="s">
        <v>163</v>
      </c>
      <c r="E35" s="34">
        <f t="shared" si="2"/>
        <v>107.49270000000003</v>
      </c>
      <c r="F35" s="34">
        <f t="shared" si="3"/>
        <v>110.10300000000002</v>
      </c>
      <c r="G35" s="34">
        <f t="shared" si="4"/>
        <v>681.36660900000118</v>
      </c>
      <c r="H35" s="34">
        <f t="shared" si="5"/>
        <v>86.092700000000008</v>
      </c>
      <c r="I35" s="34">
        <f t="shared" si="6"/>
        <v>104.92699999999999</v>
      </c>
      <c r="J35" s="34">
        <f t="shared" si="7"/>
        <v>437.9393289999997</v>
      </c>
    </row>
    <row r="36" spans="1:10" x14ac:dyDescent="0.3">
      <c r="A36" s="9">
        <v>6</v>
      </c>
      <c r="B36" s="10">
        <v>110</v>
      </c>
      <c r="C36" s="34">
        <v>100</v>
      </c>
      <c r="D36" s="34" t="s">
        <v>163</v>
      </c>
      <c r="E36" s="34">
        <f t="shared" si="2"/>
        <v>107.74343000000003</v>
      </c>
      <c r="F36" s="34">
        <f t="shared" si="3"/>
        <v>107.49270000000003</v>
      </c>
      <c r="G36" s="34">
        <f t="shared" si="4"/>
        <v>6.2865532899998611</v>
      </c>
      <c r="H36" s="34">
        <f t="shared" si="5"/>
        <v>107.60927</v>
      </c>
      <c r="I36" s="34">
        <f t="shared" si="6"/>
        <v>86.092700000000008</v>
      </c>
      <c r="J36" s="34">
        <f t="shared" si="7"/>
        <v>571.55899328999965</v>
      </c>
    </row>
    <row r="37" spans="1:10" x14ac:dyDescent="0.3">
      <c r="A37" s="9">
        <v>7</v>
      </c>
      <c r="B37" s="10">
        <v>75</v>
      </c>
      <c r="C37" s="34">
        <v>100</v>
      </c>
      <c r="D37" s="34" t="s">
        <v>163</v>
      </c>
      <c r="E37" s="34">
        <f t="shared" si="2"/>
        <v>104.46908700000003</v>
      </c>
      <c r="F37" s="34">
        <f t="shared" si="3"/>
        <v>107.74343000000003</v>
      </c>
      <c r="G37" s="34">
        <f t="shared" si="4"/>
        <v>1072.1322081649021</v>
      </c>
      <c r="H37" s="34">
        <f t="shared" si="5"/>
        <v>78.260926999999995</v>
      </c>
      <c r="I37" s="34">
        <f t="shared" si="6"/>
        <v>107.60927</v>
      </c>
      <c r="J37" s="34">
        <f t="shared" si="7"/>
        <v>1063.3644899328997</v>
      </c>
    </row>
    <row r="38" spans="1:10" x14ac:dyDescent="0.3">
      <c r="A38" s="9">
        <v>8</v>
      </c>
      <c r="B38" s="10">
        <v>113</v>
      </c>
      <c r="C38" s="34">
        <v>100</v>
      </c>
      <c r="D38" s="34" t="s">
        <v>163</v>
      </c>
      <c r="E38" s="34">
        <f t="shared" si="2"/>
        <v>105.32217830000003</v>
      </c>
      <c r="F38" s="34">
        <f t="shared" si="3"/>
        <v>104.46908700000003</v>
      </c>
      <c r="G38" s="34">
        <f t="shared" si="4"/>
        <v>72.776476613568491</v>
      </c>
      <c r="H38" s="34">
        <f t="shared" si="5"/>
        <v>109.52609270000001</v>
      </c>
      <c r="I38" s="34">
        <f t="shared" si="6"/>
        <v>78.260926999999995</v>
      </c>
      <c r="J38" s="34">
        <f t="shared" si="7"/>
        <v>1206.8031928993294</v>
      </c>
    </row>
    <row r="39" spans="1:10" x14ac:dyDescent="0.3">
      <c r="A39" s="9">
        <v>9</v>
      </c>
      <c r="B39" s="10">
        <v>100</v>
      </c>
      <c r="C39" s="34">
        <v>100</v>
      </c>
      <c r="D39" s="34" t="s">
        <v>163</v>
      </c>
      <c r="E39" s="34">
        <f t="shared" si="2"/>
        <v>104.78996047000003</v>
      </c>
      <c r="F39" s="34">
        <f t="shared" si="3"/>
        <v>105.32217830000003</v>
      </c>
      <c r="G39" s="34">
        <f t="shared" si="4"/>
        <v>28.325581856991239</v>
      </c>
      <c r="H39" s="34">
        <f t="shared" si="5"/>
        <v>100.95260927</v>
      </c>
      <c r="I39" s="34">
        <f t="shared" si="6"/>
        <v>109.52609270000001</v>
      </c>
      <c r="J39" s="34">
        <f t="shared" si="7"/>
        <v>90.746442128993422</v>
      </c>
    </row>
    <row r="40" spans="1:10" x14ac:dyDescent="0.3">
      <c r="A40" s="9">
        <v>10</v>
      </c>
      <c r="B40" s="10">
        <v>108</v>
      </c>
      <c r="C40" s="34">
        <v>100</v>
      </c>
      <c r="D40" s="34" t="s">
        <v>163</v>
      </c>
      <c r="E40" s="34">
        <f t="shared" si="2"/>
        <v>105.11096442300003</v>
      </c>
      <c r="F40" s="34">
        <f t="shared" si="3"/>
        <v>104.78996047000003</v>
      </c>
      <c r="G40" s="34">
        <f t="shared" si="4"/>
        <v>10.304353784162458</v>
      </c>
      <c r="H40" s="34">
        <f t="shared" si="5"/>
        <v>107.295260927</v>
      </c>
      <c r="I40" s="34">
        <f t="shared" si="6"/>
        <v>100.95260927</v>
      </c>
      <c r="J40" s="34">
        <f t="shared" si="7"/>
        <v>49.665716101289981</v>
      </c>
    </row>
    <row r="41" spans="1:10" x14ac:dyDescent="0.3">
      <c r="A41" s="9">
        <v>11</v>
      </c>
      <c r="B41" s="10">
        <v>89</v>
      </c>
      <c r="C41" s="34">
        <v>100</v>
      </c>
      <c r="D41" s="34" t="s">
        <v>163</v>
      </c>
      <c r="E41" s="34">
        <f t="shared" si="2"/>
        <v>103.49986798070003</v>
      </c>
      <c r="F41" s="34">
        <f t="shared" si="3"/>
        <v>105.11096442300003</v>
      </c>
      <c r="G41" s="34">
        <f t="shared" si="4"/>
        <v>259.56317463917259</v>
      </c>
      <c r="H41" s="34">
        <f t="shared" si="5"/>
        <v>90.829526092700007</v>
      </c>
      <c r="I41" s="34">
        <f t="shared" si="6"/>
        <v>107.295260927</v>
      </c>
      <c r="J41" s="34">
        <f t="shared" si="7"/>
        <v>334.71657238701295</v>
      </c>
    </row>
    <row r="42" spans="1:10" x14ac:dyDescent="0.3">
      <c r="A42" s="9">
        <v>12</v>
      </c>
      <c r="B42" s="10">
        <v>117</v>
      </c>
      <c r="C42" s="34">
        <v>100</v>
      </c>
      <c r="D42" s="34" t="s">
        <v>163</v>
      </c>
      <c r="E42" s="34">
        <f t="shared" si="2"/>
        <v>104.84988118263003</v>
      </c>
      <c r="F42" s="34">
        <f t="shared" si="3"/>
        <v>103.49986798070003</v>
      </c>
      <c r="G42" s="34">
        <f t="shared" si="4"/>
        <v>182.25356453852825</v>
      </c>
      <c r="H42" s="34">
        <f t="shared" si="5"/>
        <v>114.38295260926999</v>
      </c>
      <c r="I42" s="34">
        <f t="shared" si="6"/>
        <v>90.829526092700007</v>
      </c>
      <c r="J42" s="34">
        <f t="shared" si="7"/>
        <v>684.89370453266974</v>
      </c>
    </row>
    <row r="43" spans="1:10" x14ac:dyDescent="0.3">
      <c r="A43" s="9">
        <v>13</v>
      </c>
      <c r="B43" s="10">
        <v>93</v>
      </c>
      <c r="C43" s="34">
        <v>100</v>
      </c>
      <c r="D43" s="34" t="s">
        <v>163</v>
      </c>
      <c r="E43" s="34">
        <f t="shared" si="2"/>
        <v>103.66489306436702</v>
      </c>
      <c r="F43" s="34">
        <f t="shared" si="3"/>
        <v>104.84988118263003</v>
      </c>
      <c r="G43" s="34">
        <f t="shared" si="4"/>
        <v>140.41968404244923</v>
      </c>
      <c r="H43" s="34">
        <f t="shared" si="5"/>
        <v>95.138295260926995</v>
      </c>
      <c r="I43" s="34">
        <f t="shared" si="6"/>
        <v>114.38295260926999</v>
      </c>
      <c r="J43" s="34">
        <f t="shared" si="7"/>
        <v>457.23066229028638</v>
      </c>
    </row>
    <row r="44" spans="1:10" x14ac:dyDescent="0.3">
      <c r="A44" s="9">
        <v>14</v>
      </c>
      <c r="B44" s="10">
        <v>87</v>
      </c>
      <c r="C44" s="34">
        <v>100</v>
      </c>
      <c r="D44" s="34" t="s">
        <v>163</v>
      </c>
      <c r="E44" s="34">
        <f t="shared" si="2"/>
        <v>101.99840375793032</v>
      </c>
      <c r="F44" s="34">
        <f t="shared" si="3"/>
        <v>103.66489306436702</v>
      </c>
      <c r="G44" s="34">
        <f t="shared" si="4"/>
        <v>277.71866084678805</v>
      </c>
      <c r="H44" s="34">
        <f t="shared" si="5"/>
        <v>87.81382952609269</v>
      </c>
      <c r="I44" s="34">
        <f t="shared" si="6"/>
        <v>95.138295260926995</v>
      </c>
      <c r="J44" s="34">
        <f t="shared" si="7"/>
        <v>66.231849754026783</v>
      </c>
    </row>
    <row r="45" spans="1:10" x14ac:dyDescent="0.3">
      <c r="A45" s="9">
        <v>15</v>
      </c>
      <c r="B45" s="10">
        <v>108</v>
      </c>
      <c r="C45" s="34">
        <v>100</v>
      </c>
      <c r="D45" s="34" t="s">
        <v>163</v>
      </c>
      <c r="E45" s="34">
        <f t="shared" si="2"/>
        <v>102.59856338213729</v>
      </c>
      <c r="F45" s="34">
        <f t="shared" si="3"/>
        <v>101.99840375793032</v>
      </c>
      <c r="G45" s="34">
        <f t="shared" si="4"/>
        <v>36.019157452824913</v>
      </c>
      <c r="H45" s="34">
        <f t="shared" si="5"/>
        <v>105.98138295260927</v>
      </c>
      <c r="I45" s="34">
        <f t="shared" si="6"/>
        <v>87.81382952609269</v>
      </c>
      <c r="J45" s="34">
        <f t="shared" si="7"/>
        <v>407.48147840164728</v>
      </c>
    </row>
    <row r="46" spans="1:10" x14ac:dyDescent="0.3">
      <c r="A46" s="9">
        <v>16</v>
      </c>
      <c r="B46" s="10">
        <v>102</v>
      </c>
      <c r="C46" s="34">
        <v>100</v>
      </c>
      <c r="D46" s="34" t="s">
        <v>163</v>
      </c>
      <c r="E46" s="34">
        <f t="shared" si="2"/>
        <v>102.53870704392357</v>
      </c>
      <c r="F46" s="34">
        <f t="shared" si="3"/>
        <v>102.59856338213729</v>
      </c>
      <c r="G46" s="34">
        <f t="shared" si="4"/>
        <v>0.3582781224356264</v>
      </c>
      <c r="H46" s="34">
        <f t="shared" si="5"/>
        <v>102.39813829526092</v>
      </c>
      <c r="I46" s="34">
        <f t="shared" si="6"/>
        <v>105.98138295260927</v>
      </c>
      <c r="J46" s="34">
        <f t="shared" si="7"/>
        <v>15.851410215327677</v>
      </c>
    </row>
    <row r="47" spans="1:10" x14ac:dyDescent="0.3">
      <c r="A47" s="9">
        <v>17</v>
      </c>
      <c r="B47" s="10">
        <v>112</v>
      </c>
      <c r="C47" s="34">
        <v>100</v>
      </c>
      <c r="D47" s="34" t="s">
        <v>163</v>
      </c>
      <c r="E47" s="34">
        <f t="shared" si="2"/>
        <v>103.48483633953121</v>
      </c>
      <c r="F47" s="34">
        <f t="shared" si="3"/>
        <v>102.53870704392357</v>
      </c>
      <c r="G47" s="34">
        <f t="shared" si="4"/>
        <v>89.516064400701552</v>
      </c>
      <c r="H47" s="34">
        <f t="shared" si="5"/>
        <v>111.03981382952608</v>
      </c>
      <c r="I47" s="34">
        <f t="shared" si="6"/>
        <v>102.39813829526092</v>
      </c>
      <c r="J47" s="34">
        <f t="shared" si="7"/>
        <v>92.195748196934858</v>
      </c>
    </row>
    <row r="48" spans="1:10" x14ac:dyDescent="0.3">
      <c r="A48" s="9">
        <v>18</v>
      </c>
      <c r="B48" s="10">
        <v>111</v>
      </c>
      <c r="C48" s="34">
        <v>100</v>
      </c>
      <c r="D48" s="34" t="s">
        <v>163</v>
      </c>
      <c r="E48" s="34">
        <f t="shared" si="2"/>
        <v>104.2363527055781</v>
      </c>
      <c r="F48" s="34">
        <f t="shared" si="3"/>
        <v>103.48483633953121</v>
      </c>
      <c r="G48" s="34">
        <f t="shared" si="4"/>
        <v>56.477684843630612</v>
      </c>
      <c r="H48" s="34">
        <f t="shared" si="5"/>
        <v>111.00398138295262</v>
      </c>
      <c r="I48" s="34">
        <f t="shared" si="6"/>
        <v>111.03981382952608</v>
      </c>
      <c r="J48" s="34">
        <f t="shared" si="7"/>
        <v>1.5851410215319303E-3</v>
      </c>
    </row>
    <row r="49" spans="1:10" x14ac:dyDescent="0.3">
      <c r="A49" s="9">
        <v>19</v>
      </c>
      <c r="B49" s="10">
        <v>97</v>
      </c>
      <c r="C49" s="34">
        <v>100</v>
      </c>
      <c r="D49" s="34" t="s">
        <v>163</v>
      </c>
      <c r="E49" s="34">
        <f t="shared" si="2"/>
        <v>103.51271743502029</v>
      </c>
      <c r="F49" s="34">
        <f t="shared" si="3"/>
        <v>104.2363527055781</v>
      </c>
      <c r="G49" s="34">
        <f t="shared" si="4"/>
        <v>52.364800479527474</v>
      </c>
      <c r="H49" s="34">
        <f t="shared" si="5"/>
        <v>98.400398138295259</v>
      </c>
      <c r="I49" s="34">
        <f t="shared" si="6"/>
        <v>111.00398138295262</v>
      </c>
      <c r="J49" s="34">
        <f t="shared" si="7"/>
        <v>196.11149457408348</v>
      </c>
    </row>
    <row r="50" spans="1:10" x14ac:dyDescent="0.3">
      <c r="A50" s="9">
        <v>20</v>
      </c>
      <c r="B50" s="10">
        <v>120</v>
      </c>
      <c r="C50" s="34">
        <v>100</v>
      </c>
      <c r="D50" s="34" t="s">
        <v>163</v>
      </c>
      <c r="E50" s="34">
        <f t="shared" si="2"/>
        <v>105.16144569151827</v>
      </c>
      <c r="F50" s="34">
        <f t="shared" si="3"/>
        <v>103.51271743502029</v>
      </c>
      <c r="G50" s="34">
        <f t="shared" si="4"/>
        <v>271.83048637748385</v>
      </c>
      <c r="H50" s="34">
        <f t="shared" si="5"/>
        <v>117.84003981382952</v>
      </c>
      <c r="I50" s="34">
        <f t="shared" si="6"/>
        <v>98.400398138295259</v>
      </c>
      <c r="J50" s="34">
        <f t="shared" si="7"/>
        <v>466.5428005841589</v>
      </c>
    </row>
    <row r="51" spans="1:10" x14ac:dyDescent="0.3">
      <c r="A51" s="9">
        <v>21</v>
      </c>
      <c r="B51" s="10">
        <v>108</v>
      </c>
      <c r="C51" s="34">
        <v>100</v>
      </c>
      <c r="D51" s="34" t="s">
        <v>163</v>
      </c>
      <c r="E51" s="34">
        <f t="shared" si="2"/>
        <v>105.44530112236644</v>
      </c>
      <c r="F51" s="34">
        <f t="shared" si="3"/>
        <v>105.16144569151827</v>
      </c>
      <c r="G51" s="34">
        <f t="shared" si="4"/>
        <v>8.057390562200208</v>
      </c>
      <c r="H51" s="34">
        <f t="shared" si="5"/>
        <v>108.98400398138295</v>
      </c>
      <c r="I51" s="34">
        <f t="shared" si="6"/>
        <v>117.84003981382952</v>
      </c>
      <c r="J51" s="34">
        <f t="shared" si="7"/>
        <v>96.826383537750104</v>
      </c>
    </row>
    <row r="52" spans="1:10" x14ac:dyDescent="0.3">
      <c r="A52" s="9">
        <v>22</v>
      </c>
      <c r="B52" s="10">
        <v>112</v>
      </c>
      <c r="C52" s="34">
        <v>100</v>
      </c>
      <c r="D52" s="34" t="s">
        <v>163</v>
      </c>
      <c r="E52" s="34">
        <f t="shared" si="2"/>
        <v>106.1007710101298</v>
      </c>
      <c r="F52" s="34">
        <f t="shared" si="3"/>
        <v>105.44530112236644</v>
      </c>
      <c r="G52" s="34">
        <f t="shared" si="4"/>
        <v>42.964077376450589</v>
      </c>
      <c r="H52" s="34">
        <f t="shared" si="5"/>
        <v>111.69840039813829</v>
      </c>
      <c r="I52" s="34">
        <f t="shared" si="6"/>
        <v>108.98400398138295</v>
      </c>
      <c r="J52" s="34">
        <f t="shared" si="7"/>
        <v>9.0962319843138673</v>
      </c>
    </row>
    <row r="53" spans="1:10" x14ac:dyDescent="0.3">
      <c r="A53" s="9">
        <v>23</v>
      </c>
      <c r="B53" s="10">
        <v>92</v>
      </c>
      <c r="C53" s="34">
        <v>100</v>
      </c>
      <c r="D53" s="34" t="s">
        <v>163</v>
      </c>
      <c r="E53" s="34">
        <f t="shared" si="2"/>
        <v>104.69069390911683</v>
      </c>
      <c r="F53" s="34">
        <f t="shared" si="3"/>
        <v>106.1007710101298</v>
      </c>
      <c r="G53" s="34">
        <f t="shared" si="4"/>
        <v>198.83174308011709</v>
      </c>
      <c r="H53" s="34">
        <f t="shared" si="5"/>
        <v>93.969840039813818</v>
      </c>
      <c r="I53" s="34">
        <f t="shared" si="6"/>
        <v>111.69840039813829</v>
      </c>
      <c r="J53" s="34">
        <f t="shared" si="7"/>
        <v>388.02697824537472</v>
      </c>
    </row>
    <row r="54" spans="1:10" x14ac:dyDescent="0.3">
      <c r="A54" s="9">
        <v>24</v>
      </c>
      <c r="B54" s="10">
        <v>96</v>
      </c>
      <c r="C54" s="34">
        <v>100</v>
      </c>
      <c r="D54" s="34" t="s">
        <v>163</v>
      </c>
      <c r="E54" s="34">
        <f t="shared" si="2"/>
        <v>103.82162451820514</v>
      </c>
      <c r="F54" s="34">
        <f t="shared" si="3"/>
        <v>104.69069390911683</v>
      </c>
      <c r="G54" s="34">
        <f t="shared" si="4"/>
        <v>75.528160621960382</v>
      </c>
      <c r="H54" s="34">
        <f t="shared" si="5"/>
        <v>95.796984003981379</v>
      </c>
      <c r="I54" s="34">
        <f t="shared" si="6"/>
        <v>93.969840039813818</v>
      </c>
      <c r="J54" s="34">
        <f t="shared" si="7"/>
        <v>4.121549463943162</v>
      </c>
    </row>
    <row r="55" spans="1:10" x14ac:dyDescent="0.3">
      <c r="A55" s="9">
        <v>25</v>
      </c>
      <c r="B55" s="10">
        <v>140</v>
      </c>
      <c r="C55" s="34">
        <v>100</v>
      </c>
      <c r="D55" s="34" t="s">
        <v>163</v>
      </c>
      <c r="E55" s="34">
        <f t="shared" si="2"/>
        <v>107.43946206638464</v>
      </c>
      <c r="F55" s="34">
        <f t="shared" si="3"/>
        <v>103.82162451820514</v>
      </c>
      <c r="G55" s="34">
        <f t="shared" si="4"/>
        <v>1308.8748525017354</v>
      </c>
      <c r="H55" s="34">
        <f t="shared" si="5"/>
        <v>135.57969840039814</v>
      </c>
      <c r="I55" s="34">
        <f t="shared" si="6"/>
        <v>95.796984003981379</v>
      </c>
      <c r="J55" s="34">
        <f t="shared" si="7"/>
        <v>1953.906623144278</v>
      </c>
    </row>
    <row r="56" spans="1:10" x14ac:dyDescent="0.3">
      <c r="A56" s="9">
        <v>26</v>
      </c>
      <c r="B56" s="10">
        <v>112</v>
      </c>
      <c r="C56" s="34">
        <v>100</v>
      </c>
      <c r="D56" s="34" t="s">
        <v>163</v>
      </c>
      <c r="E56" s="34">
        <f t="shared" si="2"/>
        <v>107.89551585974618</v>
      </c>
      <c r="F56" s="34">
        <f t="shared" si="3"/>
        <v>107.43946206638464</v>
      </c>
      <c r="G56" s="34">
        <f t="shared" si="4"/>
        <v>20.798506243944701</v>
      </c>
      <c r="H56" s="34">
        <f t="shared" si="5"/>
        <v>114.35796984003981</v>
      </c>
      <c r="I56" s="34">
        <f t="shared" si="6"/>
        <v>135.57969840039814</v>
      </c>
      <c r="J56" s="34">
        <f t="shared" si="7"/>
        <v>556.00217665373873</v>
      </c>
    </row>
    <row r="57" spans="1:10" x14ac:dyDescent="0.3">
      <c r="A57" s="9">
        <v>27</v>
      </c>
      <c r="B57" s="10">
        <v>100</v>
      </c>
      <c r="C57" s="34">
        <v>100</v>
      </c>
      <c r="D57" s="34" t="s">
        <v>163</v>
      </c>
      <c r="E57" s="34">
        <f t="shared" si="2"/>
        <v>107.10596427377156</v>
      </c>
      <c r="F57" s="34">
        <f t="shared" si="3"/>
        <v>107.89551585974618</v>
      </c>
      <c r="G57" s="34">
        <f t="shared" si="4"/>
        <v>62.339170691503512</v>
      </c>
      <c r="H57" s="34">
        <f t="shared" si="5"/>
        <v>101.43579698400399</v>
      </c>
      <c r="I57" s="34">
        <f t="shared" si="6"/>
        <v>114.35796984003981</v>
      </c>
      <c r="J57" s="34">
        <f t="shared" si="7"/>
        <v>206.15129792749292</v>
      </c>
    </row>
    <row r="58" spans="1:10" x14ac:dyDescent="0.3">
      <c r="A58" s="9">
        <v>28</v>
      </c>
      <c r="B58" s="10">
        <v>110</v>
      </c>
      <c r="C58" s="34">
        <v>100</v>
      </c>
      <c r="D58" s="34" t="s">
        <v>163</v>
      </c>
      <c r="E58" s="34">
        <f t="shared" si="2"/>
        <v>107.39536784639441</v>
      </c>
      <c r="F58" s="34">
        <f t="shared" si="3"/>
        <v>107.10596427377156</v>
      </c>
      <c r="G58" s="34">
        <f t="shared" si="4"/>
        <v>8.3754427846865624</v>
      </c>
      <c r="H58" s="34">
        <f t="shared" si="5"/>
        <v>109.1435796984004</v>
      </c>
      <c r="I58" s="34">
        <f t="shared" si="6"/>
        <v>101.43579698400399</v>
      </c>
      <c r="J58" s="34">
        <f t="shared" si="7"/>
        <v>73.345573299195223</v>
      </c>
    </row>
    <row r="59" spans="1:10" x14ac:dyDescent="0.3">
      <c r="A59" s="9">
        <v>29</v>
      </c>
      <c r="B59" s="10">
        <v>110</v>
      </c>
      <c r="C59" s="34">
        <v>100</v>
      </c>
      <c r="D59" s="34" t="s">
        <v>163</v>
      </c>
      <c r="E59" s="34">
        <f t="shared" si="2"/>
        <v>107.65583106175497</v>
      </c>
      <c r="F59" s="34">
        <f t="shared" si="3"/>
        <v>107.39536784639441</v>
      </c>
      <c r="G59" s="34">
        <f t="shared" si="4"/>
        <v>6.7841086555961079</v>
      </c>
      <c r="H59" s="34">
        <f t="shared" si="5"/>
        <v>109.91435796984004</v>
      </c>
      <c r="I59" s="34">
        <f t="shared" si="6"/>
        <v>109.1435796984004</v>
      </c>
      <c r="J59" s="34">
        <f t="shared" si="7"/>
        <v>0.73345573299194744</v>
      </c>
    </row>
    <row r="60" spans="1:10" x14ac:dyDescent="0.3">
      <c r="A60" s="9">
        <v>30</v>
      </c>
      <c r="B60" s="10">
        <v>87</v>
      </c>
      <c r="C60" s="34">
        <v>100</v>
      </c>
      <c r="D60" s="34" t="s">
        <v>163</v>
      </c>
      <c r="E60" s="34">
        <f t="shared" si="2"/>
        <v>105.59024795557947</v>
      </c>
      <c r="F60" s="34">
        <f t="shared" si="3"/>
        <v>107.65583106175497</v>
      </c>
      <c r="G60" s="34">
        <f t="shared" si="4"/>
        <v>426.66335685176131</v>
      </c>
      <c r="H60" s="34">
        <f t="shared" si="5"/>
        <v>89.291435796984004</v>
      </c>
      <c r="I60" s="34">
        <f t="shared" si="6"/>
        <v>109.91435796984004</v>
      </c>
      <c r="J60" s="34">
        <f t="shared" si="7"/>
        <v>525.06780116997174</v>
      </c>
    </row>
    <row r="61" spans="1:10" x14ac:dyDescent="0.3">
      <c r="A61" s="9">
        <v>31</v>
      </c>
      <c r="B61" s="10">
        <v>93</v>
      </c>
      <c r="C61" s="34">
        <v>100</v>
      </c>
      <c r="D61" s="34" t="s">
        <v>163</v>
      </c>
      <c r="E61" s="34">
        <f t="shared" si="2"/>
        <v>104.33122316002152</v>
      </c>
      <c r="F61" s="34">
        <f t="shared" si="3"/>
        <v>105.59024795557947</v>
      </c>
      <c r="G61" s="34">
        <f t="shared" si="4"/>
        <v>158.51434358297305</v>
      </c>
      <c r="H61" s="34">
        <f t="shared" si="5"/>
        <v>92.629143579698393</v>
      </c>
      <c r="I61" s="34">
        <f t="shared" si="6"/>
        <v>89.291435796984004</v>
      </c>
      <c r="J61" s="34">
        <f t="shared" si="7"/>
        <v>13.753448447891669</v>
      </c>
    </row>
    <row r="62" spans="1:10" x14ac:dyDescent="0.3">
      <c r="A62" s="9">
        <v>32</v>
      </c>
      <c r="B62" s="10">
        <v>101</v>
      </c>
      <c r="C62" s="34">
        <v>100</v>
      </c>
      <c r="D62" s="34" t="s">
        <v>163</v>
      </c>
      <c r="E62" s="34">
        <f t="shared" si="2"/>
        <v>103.99810084401938</v>
      </c>
      <c r="F62" s="34">
        <f t="shared" si="3"/>
        <v>104.33122316002152</v>
      </c>
      <c r="G62" s="34">
        <f t="shared" si="4"/>
        <v>11.097047741863779</v>
      </c>
      <c r="H62" s="34">
        <f t="shared" si="5"/>
        <v>100.16291435796984</v>
      </c>
      <c r="I62" s="34">
        <f t="shared" si="6"/>
        <v>92.629143579698393</v>
      </c>
      <c r="J62" s="34">
        <f t="shared" si="7"/>
        <v>70.071237209304627</v>
      </c>
    </row>
    <row r="63" spans="1:10" x14ac:dyDescent="0.3">
      <c r="A63" s="9">
        <v>33</v>
      </c>
      <c r="B63" s="10">
        <v>121</v>
      </c>
      <c r="C63" s="34">
        <v>100</v>
      </c>
      <c r="D63" s="34" t="s">
        <v>163</v>
      </c>
      <c r="E63" s="34">
        <f t="shared" si="2"/>
        <v>105.69829075961744</v>
      </c>
      <c r="F63" s="34">
        <f t="shared" si="3"/>
        <v>103.99810084401938</v>
      </c>
      <c r="G63" s="34">
        <f t="shared" si="4"/>
        <v>289.06457491013464</v>
      </c>
      <c r="H63" s="34">
        <f t="shared" si="5"/>
        <v>118.91629143579699</v>
      </c>
      <c r="I63" s="34">
        <f t="shared" si="6"/>
        <v>100.16291435796984</v>
      </c>
      <c r="J63" s="34">
        <f t="shared" si="7"/>
        <v>434.18413805329948</v>
      </c>
    </row>
    <row r="64" spans="1:10" x14ac:dyDescent="0.3">
      <c r="A64" s="9">
        <v>34</v>
      </c>
      <c r="B64" s="10">
        <v>83</v>
      </c>
      <c r="C64" s="34">
        <v>100</v>
      </c>
      <c r="D64" s="34" t="s">
        <v>163</v>
      </c>
      <c r="E64" s="34">
        <f t="shared" ref="E64:E90" si="8">$B$4*B64+(1-$B$4)*E63</f>
        <v>103.4284616836557</v>
      </c>
      <c r="F64" s="34">
        <f t="shared" ref="F64:F90" si="9">E63</f>
        <v>105.69829075961744</v>
      </c>
      <c r="G64" s="34">
        <f t="shared" ref="G64:G95" si="10">(B64-F64)^2</f>
        <v>515.21240340813426</v>
      </c>
      <c r="H64" s="34">
        <f t="shared" ref="H64:H90" si="11">$B$5*B64+(1-$B$5)*H63</f>
        <v>86.591629143579695</v>
      </c>
      <c r="I64" s="34">
        <f t="shared" ref="I64:I90" si="12">H63</f>
        <v>118.91629143579699</v>
      </c>
      <c r="J64" s="34">
        <f t="shared" ref="J64:J95" si="13">(B64-I64)^2</f>
        <v>1289.9799905011043</v>
      </c>
    </row>
    <row r="65" spans="1:10" x14ac:dyDescent="0.3">
      <c r="A65" s="9">
        <v>35</v>
      </c>
      <c r="B65" s="10">
        <v>100</v>
      </c>
      <c r="C65" s="34">
        <v>100</v>
      </c>
      <c r="D65" s="34" t="s">
        <v>163</v>
      </c>
      <c r="E65" s="34">
        <f t="shared" si="8"/>
        <v>103.08561551529013</v>
      </c>
      <c r="F65" s="34">
        <f t="shared" si="9"/>
        <v>103.4284616836557</v>
      </c>
      <c r="G65" s="34">
        <f t="shared" si="10"/>
        <v>11.754349516295262</v>
      </c>
      <c r="H65" s="34">
        <f t="shared" si="11"/>
        <v>98.659162914357964</v>
      </c>
      <c r="I65" s="34">
        <f t="shared" si="12"/>
        <v>86.591629143579695</v>
      </c>
      <c r="J65" s="34">
        <f t="shared" si="13"/>
        <v>179.78440902330138</v>
      </c>
    </row>
    <row r="66" spans="1:10" x14ac:dyDescent="0.3">
      <c r="A66" s="9">
        <v>36</v>
      </c>
      <c r="B66" s="10">
        <v>93</v>
      </c>
      <c r="C66" s="34">
        <v>100</v>
      </c>
      <c r="D66" s="34" t="s">
        <v>163</v>
      </c>
      <c r="E66" s="34">
        <f t="shared" si="8"/>
        <v>102.07705396376112</v>
      </c>
      <c r="F66" s="34">
        <f t="shared" si="9"/>
        <v>103.08561551529013</v>
      </c>
      <c r="G66" s="34">
        <f t="shared" si="10"/>
        <v>101.71964032226099</v>
      </c>
      <c r="H66" s="34">
        <f t="shared" si="11"/>
        <v>93.565916291435798</v>
      </c>
      <c r="I66" s="34">
        <f t="shared" si="12"/>
        <v>98.659162914357964</v>
      </c>
      <c r="J66" s="34">
        <f t="shared" si="13"/>
        <v>32.026124891244521</v>
      </c>
    </row>
    <row r="67" spans="1:10" x14ac:dyDescent="0.3">
      <c r="A67" s="9">
        <v>37</v>
      </c>
      <c r="B67" s="10">
        <v>97</v>
      </c>
      <c r="C67" s="34">
        <v>100</v>
      </c>
      <c r="D67" s="34" t="s">
        <v>163</v>
      </c>
      <c r="E67" s="34">
        <f t="shared" si="8"/>
        <v>101.56934856738501</v>
      </c>
      <c r="F67" s="34">
        <f t="shared" si="9"/>
        <v>102.07705396376112</v>
      </c>
      <c r="G67" s="34">
        <f t="shared" si="10"/>
        <v>25.776476950942463</v>
      </c>
      <c r="H67" s="34">
        <f t="shared" si="11"/>
        <v>96.656591629143577</v>
      </c>
      <c r="I67" s="34">
        <f t="shared" si="12"/>
        <v>93.565916291435798</v>
      </c>
      <c r="J67" s="34">
        <f t="shared" si="13"/>
        <v>11.792930917426064</v>
      </c>
    </row>
    <row r="68" spans="1:10" x14ac:dyDescent="0.3">
      <c r="A68" s="9">
        <v>38</v>
      </c>
      <c r="B68" s="10">
        <v>86</v>
      </c>
      <c r="C68" s="34">
        <v>100</v>
      </c>
      <c r="D68" s="34" t="s">
        <v>163</v>
      </c>
      <c r="E68" s="34">
        <f t="shared" si="8"/>
        <v>100.0124137106465</v>
      </c>
      <c r="F68" s="34">
        <f t="shared" si="9"/>
        <v>101.56934856738501</v>
      </c>
      <c r="G68" s="34">
        <f t="shared" si="10"/>
        <v>242.40461481273354</v>
      </c>
      <c r="H68" s="34">
        <f t="shared" si="11"/>
        <v>87.065659162914358</v>
      </c>
      <c r="I68" s="34">
        <f t="shared" si="12"/>
        <v>96.656591629143577</v>
      </c>
      <c r="J68" s="34">
        <f t="shared" si="13"/>
        <v>113.56294515033295</v>
      </c>
    </row>
    <row r="69" spans="1:10" x14ac:dyDescent="0.3">
      <c r="A69" s="9">
        <v>39</v>
      </c>
      <c r="B69" s="10">
        <v>110</v>
      </c>
      <c r="C69" s="34">
        <v>100</v>
      </c>
      <c r="D69" s="34" t="s">
        <v>163</v>
      </c>
      <c r="E69" s="34">
        <f t="shared" si="8"/>
        <v>101.01117233958185</v>
      </c>
      <c r="F69" s="34">
        <f t="shared" si="9"/>
        <v>100.0124137106465</v>
      </c>
      <c r="G69" s="34">
        <f t="shared" si="10"/>
        <v>99.751879887282044</v>
      </c>
      <c r="H69" s="34">
        <f t="shared" si="11"/>
        <v>107.70656591629144</v>
      </c>
      <c r="I69" s="34">
        <f t="shared" si="12"/>
        <v>87.065659162914358</v>
      </c>
      <c r="J69" s="34">
        <f t="shared" si="13"/>
        <v>525.98398963161412</v>
      </c>
    </row>
    <row r="70" spans="1:10" x14ac:dyDescent="0.3">
      <c r="A70" s="9">
        <v>40</v>
      </c>
      <c r="B70" s="10">
        <v>94</v>
      </c>
      <c r="C70" s="34">
        <v>100</v>
      </c>
      <c r="D70" s="34" t="s">
        <v>163</v>
      </c>
      <c r="E70" s="34">
        <f t="shared" si="8"/>
        <v>100.31005510562368</v>
      </c>
      <c r="F70" s="34">
        <f t="shared" si="9"/>
        <v>101.01117233958185</v>
      </c>
      <c r="G70" s="34">
        <f t="shared" si="10"/>
        <v>49.156537575317593</v>
      </c>
      <c r="H70" s="34">
        <f t="shared" si="11"/>
        <v>95.370656591629142</v>
      </c>
      <c r="I70" s="34">
        <f t="shared" si="12"/>
        <v>107.70656591629144</v>
      </c>
      <c r="J70" s="34">
        <f t="shared" si="13"/>
        <v>187.86994921764216</v>
      </c>
    </row>
    <row r="71" spans="1:10" x14ac:dyDescent="0.3">
      <c r="A71" s="12">
        <v>41</v>
      </c>
      <c r="B71" s="11">
        <v>132</v>
      </c>
      <c r="C71" s="45">
        <v>140</v>
      </c>
      <c r="D71" s="45" t="s">
        <v>164</v>
      </c>
      <c r="E71" s="45">
        <f t="shared" si="8"/>
        <v>103.47904959506131</v>
      </c>
      <c r="F71" s="45">
        <f t="shared" si="9"/>
        <v>100.31005510562368</v>
      </c>
      <c r="G71" s="45">
        <f t="shared" si="10"/>
        <v>1004.2526074086081</v>
      </c>
      <c r="H71" s="45">
        <f t="shared" si="11"/>
        <v>128.3370656591629</v>
      </c>
      <c r="I71" s="45">
        <f t="shared" si="12"/>
        <v>95.370656591629142</v>
      </c>
      <c r="J71" s="45">
        <f t="shared" si="13"/>
        <v>1341.7087985283615</v>
      </c>
    </row>
    <row r="72" spans="1:10" x14ac:dyDescent="0.3">
      <c r="A72" s="12">
        <v>42</v>
      </c>
      <c r="B72" s="11">
        <v>150</v>
      </c>
      <c r="C72" s="45">
        <v>140</v>
      </c>
      <c r="D72" s="45" t="s">
        <v>164</v>
      </c>
      <c r="E72" s="45">
        <f t="shared" si="8"/>
        <v>108.13114463555519</v>
      </c>
      <c r="F72" s="45">
        <f t="shared" si="9"/>
        <v>103.47904959506131</v>
      </c>
      <c r="G72" s="45">
        <f t="shared" si="10"/>
        <v>2164.198826578765</v>
      </c>
      <c r="H72" s="45">
        <f t="shared" si="11"/>
        <v>147.83370656591629</v>
      </c>
      <c r="I72" s="45">
        <f t="shared" si="12"/>
        <v>128.3370656591629</v>
      </c>
      <c r="J72" s="45">
        <f t="shared" si="13"/>
        <v>469.28272425541917</v>
      </c>
    </row>
    <row r="73" spans="1:10" x14ac:dyDescent="0.3">
      <c r="A73" s="12">
        <v>43</v>
      </c>
      <c r="B73" s="11">
        <v>148</v>
      </c>
      <c r="C73" s="45">
        <v>140</v>
      </c>
      <c r="D73" s="45" t="s">
        <v>164</v>
      </c>
      <c r="E73" s="45">
        <f t="shared" si="8"/>
        <v>112.11803017199966</v>
      </c>
      <c r="F73" s="45">
        <f t="shared" si="9"/>
        <v>108.13114463555519</v>
      </c>
      <c r="G73" s="45">
        <f t="shared" si="10"/>
        <v>1589.5256280710198</v>
      </c>
      <c r="H73" s="45">
        <f t="shared" si="11"/>
        <v>147.98337065659163</v>
      </c>
      <c r="I73" s="45">
        <f t="shared" si="12"/>
        <v>147.83370656591629</v>
      </c>
      <c r="J73" s="45">
        <f t="shared" si="13"/>
        <v>2.7653506219354054E-2</v>
      </c>
    </row>
    <row r="74" spans="1:10" x14ac:dyDescent="0.3">
      <c r="A74" s="12">
        <v>44</v>
      </c>
      <c r="B74" s="11">
        <v>138</v>
      </c>
      <c r="C74" s="45">
        <v>140</v>
      </c>
      <c r="D74" s="45" t="s">
        <v>164</v>
      </c>
      <c r="E74" s="45">
        <f t="shared" si="8"/>
        <v>114.70622715479969</v>
      </c>
      <c r="F74" s="45">
        <f t="shared" si="9"/>
        <v>112.11803017199966</v>
      </c>
      <c r="G74" s="45">
        <f t="shared" si="10"/>
        <v>669.87636217751981</v>
      </c>
      <c r="H74" s="45">
        <f t="shared" si="11"/>
        <v>138.99833706565917</v>
      </c>
      <c r="I74" s="45">
        <f t="shared" si="12"/>
        <v>147.98337065659163</v>
      </c>
      <c r="J74" s="45">
        <f t="shared" si="13"/>
        <v>99.66768966689483</v>
      </c>
    </row>
    <row r="75" spans="1:10" x14ac:dyDescent="0.3">
      <c r="A75" s="12">
        <v>45</v>
      </c>
      <c r="B75" s="11">
        <v>130</v>
      </c>
      <c r="C75" s="45">
        <v>140</v>
      </c>
      <c r="D75" s="45" t="s">
        <v>164</v>
      </c>
      <c r="E75" s="45">
        <f t="shared" si="8"/>
        <v>116.23560443931973</v>
      </c>
      <c r="F75" s="45">
        <f t="shared" si="9"/>
        <v>114.70622715479969</v>
      </c>
      <c r="G75" s="45">
        <f t="shared" si="10"/>
        <v>233.89948784058635</v>
      </c>
      <c r="H75" s="45">
        <f t="shared" si="11"/>
        <v>130.89983370656591</v>
      </c>
      <c r="I75" s="45">
        <f t="shared" si="12"/>
        <v>138.99833706565917</v>
      </c>
      <c r="J75" s="45">
        <f t="shared" si="13"/>
        <v>80.970069947215705</v>
      </c>
    </row>
    <row r="76" spans="1:10" x14ac:dyDescent="0.3">
      <c r="A76" s="12">
        <v>46</v>
      </c>
      <c r="B76" s="11">
        <v>141</v>
      </c>
      <c r="C76" s="45">
        <v>140</v>
      </c>
      <c r="D76" s="45" t="s">
        <v>164</v>
      </c>
      <c r="E76" s="45">
        <f t="shared" si="8"/>
        <v>118.71204399538777</v>
      </c>
      <c r="F76" s="45">
        <f t="shared" si="9"/>
        <v>116.23560443931973</v>
      </c>
      <c r="G76" s="45">
        <f t="shared" si="10"/>
        <v>613.27528748584075</v>
      </c>
      <c r="H76" s="45">
        <f t="shared" si="11"/>
        <v>139.9899833706566</v>
      </c>
      <c r="I76" s="45">
        <f t="shared" si="12"/>
        <v>130.89983370656591</v>
      </c>
      <c r="J76" s="45">
        <f t="shared" si="13"/>
        <v>102.01335915502203</v>
      </c>
    </row>
    <row r="77" spans="1:10" x14ac:dyDescent="0.3">
      <c r="A77" s="12">
        <v>47</v>
      </c>
      <c r="B77" s="11">
        <v>141</v>
      </c>
      <c r="C77" s="45">
        <v>140</v>
      </c>
      <c r="D77" s="45" t="s">
        <v>164</v>
      </c>
      <c r="E77" s="45">
        <f t="shared" si="8"/>
        <v>120.94083959584901</v>
      </c>
      <c r="F77" s="45">
        <f t="shared" si="9"/>
        <v>118.71204399538777</v>
      </c>
      <c r="G77" s="45">
        <f t="shared" si="10"/>
        <v>496.75298286353018</v>
      </c>
      <c r="H77" s="45">
        <f t="shared" si="11"/>
        <v>140.89899833706568</v>
      </c>
      <c r="I77" s="45">
        <f t="shared" si="12"/>
        <v>139.9899833706566</v>
      </c>
      <c r="J77" s="45">
        <f t="shared" si="13"/>
        <v>1.0201335915501974</v>
      </c>
    </row>
    <row r="78" spans="1:10" x14ac:dyDescent="0.3">
      <c r="A78" s="12">
        <v>48</v>
      </c>
      <c r="B78" s="11">
        <v>154</v>
      </c>
      <c r="C78" s="45">
        <v>140</v>
      </c>
      <c r="D78" s="45" t="s">
        <v>164</v>
      </c>
      <c r="E78" s="45">
        <f t="shared" si="8"/>
        <v>124.24675563626413</v>
      </c>
      <c r="F78" s="45">
        <f t="shared" si="9"/>
        <v>120.94083959584901</v>
      </c>
      <c r="G78" s="45">
        <f t="shared" si="10"/>
        <v>1092.9080866273844</v>
      </c>
      <c r="H78" s="45">
        <f t="shared" si="11"/>
        <v>152.68989983370656</v>
      </c>
      <c r="I78" s="45">
        <f t="shared" si="12"/>
        <v>140.89899833706568</v>
      </c>
      <c r="J78" s="45">
        <f t="shared" si="13"/>
        <v>171.63624457220789</v>
      </c>
    </row>
    <row r="79" spans="1:10" x14ac:dyDescent="0.3">
      <c r="A79" s="12">
        <v>49</v>
      </c>
      <c r="B79" s="11">
        <v>133</v>
      </c>
      <c r="C79" s="45">
        <v>140</v>
      </c>
      <c r="D79" s="45" t="s">
        <v>164</v>
      </c>
      <c r="E79" s="45">
        <f t="shared" si="8"/>
        <v>125.12208007263771</v>
      </c>
      <c r="F79" s="45">
        <f t="shared" si="9"/>
        <v>124.24675563626413</v>
      </c>
      <c r="G79" s="45">
        <f t="shared" si="10"/>
        <v>76.619286891273845</v>
      </c>
      <c r="H79" s="45">
        <f t="shared" si="11"/>
        <v>134.96898998337065</v>
      </c>
      <c r="I79" s="45">
        <f t="shared" si="12"/>
        <v>152.68989983370656</v>
      </c>
      <c r="J79" s="45">
        <f t="shared" si="13"/>
        <v>387.6921554613977</v>
      </c>
    </row>
    <row r="80" spans="1:10" x14ac:dyDescent="0.3">
      <c r="A80" s="12">
        <v>50</v>
      </c>
      <c r="B80" s="11">
        <v>129</v>
      </c>
      <c r="C80" s="45">
        <v>140</v>
      </c>
      <c r="D80" s="45" t="s">
        <v>164</v>
      </c>
      <c r="E80" s="45">
        <f t="shared" si="8"/>
        <v>125.50987206537395</v>
      </c>
      <c r="F80" s="45">
        <f t="shared" si="9"/>
        <v>125.12208007263771</v>
      </c>
      <c r="G80" s="45">
        <f t="shared" si="10"/>
        <v>15.03826296303351</v>
      </c>
      <c r="H80" s="45">
        <f t="shared" si="11"/>
        <v>129.59689899833708</v>
      </c>
      <c r="I80" s="45">
        <f t="shared" si="12"/>
        <v>134.96898998337065</v>
      </c>
      <c r="J80" s="45">
        <f t="shared" si="13"/>
        <v>35.628841421579125</v>
      </c>
    </row>
    <row r="81" spans="1:10" x14ac:dyDescent="0.3">
      <c r="A81" s="12">
        <v>51</v>
      </c>
      <c r="B81" s="11">
        <v>148</v>
      </c>
      <c r="C81" s="45">
        <v>140</v>
      </c>
      <c r="D81" s="45" t="s">
        <v>165</v>
      </c>
      <c r="E81" s="45">
        <f t="shared" si="8"/>
        <v>127.75888485883655</v>
      </c>
      <c r="F81" s="45">
        <f t="shared" si="9"/>
        <v>125.50987206537395</v>
      </c>
      <c r="G81" s="45">
        <f t="shared" si="10"/>
        <v>505.80585451584676</v>
      </c>
      <c r="H81" s="45">
        <f t="shared" si="11"/>
        <v>146.15968989983372</v>
      </c>
      <c r="I81" s="45">
        <f t="shared" si="12"/>
        <v>129.59689899833708</v>
      </c>
      <c r="J81" s="45">
        <f t="shared" si="13"/>
        <v>338.67412647740673</v>
      </c>
    </row>
    <row r="82" spans="1:10" x14ac:dyDescent="0.3">
      <c r="A82" s="12">
        <v>52</v>
      </c>
      <c r="B82" s="11">
        <v>138</v>
      </c>
      <c r="C82" s="45">
        <v>140</v>
      </c>
      <c r="D82" s="45" t="s">
        <v>165</v>
      </c>
      <c r="E82" s="45">
        <f t="shared" si="8"/>
        <v>128.78299637295291</v>
      </c>
      <c r="F82" s="45">
        <f t="shared" si="9"/>
        <v>127.75888485883655</v>
      </c>
      <c r="G82" s="45">
        <f t="shared" si="10"/>
        <v>104.88043933456723</v>
      </c>
      <c r="H82" s="45">
        <f t="shared" si="11"/>
        <v>138.81596898998336</v>
      </c>
      <c r="I82" s="45">
        <f t="shared" si="12"/>
        <v>146.15968989983372</v>
      </c>
      <c r="J82" s="45">
        <f t="shared" si="13"/>
        <v>66.580539261448465</v>
      </c>
    </row>
    <row r="83" spans="1:10" x14ac:dyDescent="0.3">
      <c r="A83" s="12">
        <v>53</v>
      </c>
      <c r="B83" s="11">
        <v>133</v>
      </c>
      <c r="C83" s="45">
        <v>140</v>
      </c>
      <c r="D83" s="45" t="s">
        <v>165</v>
      </c>
      <c r="E83" s="45">
        <f t="shared" si="8"/>
        <v>129.20469673565762</v>
      </c>
      <c r="F83" s="45">
        <f t="shared" si="9"/>
        <v>128.78299637295291</v>
      </c>
      <c r="G83" s="45">
        <f t="shared" si="10"/>
        <v>17.783119590528326</v>
      </c>
      <c r="H83" s="45">
        <f t="shared" si="11"/>
        <v>133.58159689899833</v>
      </c>
      <c r="I83" s="45">
        <f t="shared" si="12"/>
        <v>138.81596898998336</v>
      </c>
      <c r="J83" s="45">
        <f t="shared" si="13"/>
        <v>33.825495292448075</v>
      </c>
    </row>
    <row r="84" spans="1:10" x14ac:dyDescent="0.3">
      <c r="A84" s="12">
        <v>54</v>
      </c>
      <c r="B84" s="11">
        <v>135</v>
      </c>
      <c r="C84" s="45">
        <v>140</v>
      </c>
      <c r="D84" s="45" t="s">
        <v>165</v>
      </c>
      <c r="E84" s="45">
        <f t="shared" si="8"/>
        <v>129.78422706209187</v>
      </c>
      <c r="F84" s="45">
        <f t="shared" si="9"/>
        <v>129.20469673565762</v>
      </c>
      <c r="G84" s="45">
        <f t="shared" si="10"/>
        <v>33.585539925697439</v>
      </c>
      <c r="H84" s="45">
        <f t="shared" si="11"/>
        <v>134.85815968989982</v>
      </c>
      <c r="I84" s="45">
        <f t="shared" si="12"/>
        <v>133.58159689899833</v>
      </c>
      <c r="J84" s="45">
        <f t="shared" si="13"/>
        <v>2.0118673569311607</v>
      </c>
    </row>
    <row r="85" spans="1:10" x14ac:dyDescent="0.3">
      <c r="A85" s="12">
        <v>55</v>
      </c>
      <c r="B85" s="11">
        <v>127</v>
      </c>
      <c r="C85" s="45">
        <v>140</v>
      </c>
      <c r="D85" s="45" t="s">
        <v>165</v>
      </c>
      <c r="E85" s="45">
        <f t="shared" si="8"/>
        <v>129.50580435588267</v>
      </c>
      <c r="F85" s="45">
        <f t="shared" si="9"/>
        <v>129.78422706209187</v>
      </c>
      <c r="G85" s="45">
        <f t="shared" si="10"/>
        <v>7.7519203332847395</v>
      </c>
      <c r="H85" s="45">
        <f t="shared" si="11"/>
        <v>127.78581596898998</v>
      </c>
      <c r="I85" s="45">
        <f t="shared" si="12"/>
        <v>134.85815968989982</v>
      </c>
      <c r="J85" s="45">
        <f t="shared" si="13"/>
        <v>61.750673711966456</v>
      </c>
    </row>
    <row r="86" spans="1:10" x14ac:dyDescent="0.3">
      <c r="A86" s="12">
        <v>56</v>
      </c>
      <c r="B86" s="11">
        <v>152</v>
      </c>
      <c r="C86" s="45">
        <v>140</v>
      </c>
      <c r="D86" s="45" t="s">
        <v>165</v>
      </c>
      <c r="E86" s="45">
        <f t="shared" si="8"/>
        <v>131.75522392029441</v>
      </c>
      <c r="F86" s="45">
        <f t="shared" si="9"/>
        <v>129.50580435588267</v>
      </c>
      <c r="G86" s="45">
        <f t="shared" si="10"/>
        <v>505.98883767582691</v>
      </c>
      <c r="H86" s="45">
        <f t="shared" si="11"/>
        <v>149.578581596899</v>
      </c>
      <c r="I86" s="45">
        <f t="shared" si="12"/>
        <v>127.78581596898998</v>
      </c>
      <c r="J86" s="45">
        <f t="shared" si="13"/>
        <v>586.3267082876207</v>
      </c>
    </row>
    <row r="87" spans="1:10" x14ac:dyDescent="0.3">
      <c r="A87" s="12">
        <v>57</v>
      </c>
      <c r="B87" s="11">
        <v>137</v>
      </c>
      <c r="C87" s="45">
        <v>140</v>
      </c>
      <c r="D87" s="45" t="s">
        <v>165</v>
      </c>
      <c r="E87" s="45">
        <f t="shared" si="8"/>
        <v>132.27970152826498</v>
      </c>
      <c r="F87" s="45">
        <f t="shared" si="9"/>
        <v>131.75522392029441</v>
      </c>
      <c r="G87" s="45">
        <f t="shared" si="10"/>
        <v>27.507676126251916</v>
      </c>
      <c r="H87" s="45">
        <f t="shared" si="11"/>
        <v>138.2578581596899</v>
      </c>
      <c r="I87" s="45">
        <f t="shared" si="12"/>
        <v>149.578581596899</v>
      </c>
      <c r="J87" s="45">
        <f t="shared" si="13"/>
        <v>158.22071498984619</v>
      </c>
    </row>
    <row r="88" spans="1:10" x14ac:dyDescent="0.3">
      <c r="A88" s="12">
        <v>58</v>
      </c>
      <c r="B88" s="11">
        <v>132</v>
      </c>
      <c r="C88" s="45">
        <v>140</v>
      </c>
      <c r="D88" s="45" t="s">
        <v>165</v>
      </c>
      <c r="E88" s="45">
        <f t="shared" si="8"/>
        <v>132.25173137543848</v>
      </c>
      <c r="F88" s="45">
        <f t="shared" si="9"/>
        <v>132.27970152826498</v>
      </c>
      <c r="G88" s="45">
        <f t="shared" si="10"/>
        <v>7.8232944913765132E-2</v>
      </c>
      <c r="H88" s="45">
        <f t="shared" si="11"/>
        <v>132.62578581596898</v>
      </c>
      <c r="I88" s="45">
        <f t="shared" si="12"/>
        <v>138.2578581596899</v>
      </c>
      <c r="J88" s="45">
        <f t="shared" si="13"/>
        <v>39.160788746797493</v>
      </c>
    </row>
    <row r="89" spans="1:10" x14ac:dyDescent="0.3">
      <c r="A89" s="12">
        <v>59</v>
      </c>
      <c r="B89" s="11">
        <v>154</v>
      </c>
      <c r="C89" s="45">
        <v>140</v>
      </c>
      <c r="D89" s="45" t="s">
        <v>165</v>
      </c>
      <c r="E89" s="45">
        <f t="shared" si="8"/>
        <v>134.42655823789462</v>
      </c>
      <c r="F89" s="45">
        <f t="shared" si="9"/>
        <v>132.25173137543848</v>
      </c>
      <c r="G89" s="45">
        <f t="shared" si="10"/>
        <v>472.98718816608698</v>
      </c>
      <c r="H89" s="45">
        <f t="shared" si="11"/>
        <v>151.86257858159689</v>
      </c>
      <c r="I89" s="45">
        <f t="shared" si="12"/>
        <v>132.62578581596898</v>
      </c>
      <c r="J89" s="45">
        <f t="shared" si="13"/>
        <v>456.85703198483276</v>
      </c>
    </row>
    <row r="90" spans="1:10" x14ac:dyDescent="0.3">
      <c r="A90" s="12">
        <v>60</v>
      </c>
      <c r="B90" s="11">
        <v>150</v>
      </c>
      <c r="C90" s="45">
        <v>140</v>
      </c>
      <c r="D90" s="45" t="s">
        <v>165</v>
      </c>
      <c r="E90" s="45">
        <f t="shared" si="8"/>
        <v>135.98390241410516</v>
      </c>
      <c r="F90" s="45">
        <f t="shared" si="9"/>
        <v>134.42655823789462</v>
      </c>
      <c r="G90" s="45">
        <f t="shared" si="10"/>
        <v>242.53208831768777</v>
      </c>
      <c r="H90" s="45">
        <f t="shared" si="11"/>
        <v>150.18625785815968</v>
      </c>
      <c r="I90" s="45">
        <f t="shared" si="12"/>
        <v>151.86257858159689</v>
      </c>
      <c r="J90" s="45">
        <f t="shared" si="13"/>
        <v>3.469198972623492</v>
      </c>
    </row>
  </sheetData>
  <mergeCells count="3">
    <mergeCell ref="B23:D23"/>
    <mergeCell ref="B24:D24"/>
    <mergeCell ref="B25:D25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4"/>
  <sheetViews>
    <sheetView showGridLines="0" zoomScaleNormal="100" workbookViewId="0">
      <selection activeCell="M1" sqref="M1"/>
    </sheetView>
  </sheetViews>
  <sheetFormatPr defaultColWidth="8.6640625" defaultRowHeight="14.4" x14ac:dyDescent="0.3"/>
  <cols>
    <col min="1" max="1" width="22" customWidth="1"/>
    <col min="2" max="4" width="16" customWidth="1"/>
    <col min="5" max="5" width="11" customWidth="1"/>
    <col min="6" max="6" width="12" customWidth="1"/>
    <col min="7" max="7" width="16" customWidth="1"/>
    <col min="8" max="8" width="11" customWidth="1"/>
    <col min="9" max="9" width="9" customWidth="1"/>
    <col min="10" max="10" width="11" customWidth="1"/>
    <col min="11" max="12" width="8" customWidth="1"/>
    <col min="13" max="13" width="17" customWidth="1"/>
    <col min="14" max="14" width="11" customWidth="1"/>
    <col min="15" max="15" width="9" customWidth="1"/>
    <col min="16" max="16" width="11" customWidth="1"/>
    <col min="17" max="18" width="8" customWidth="1"/>
  </cols>
  <sheetData>
    <row r="1" spans="1:6" ht="17.399999999999999" x14ac:dyDescent="0.3">
      <c r="A1" s="4" t="s">
        <v>166</v>
      </c>
    </row>
    <row r="2" spans="1:6" x14ac:dyDescent="0.3">
      <c r="A2" s="5" t="s">
        <v>167</v>
      </c>
    </row>
    <row r="4" spans="1:6" x14ac:dyDescent="0.3">
      <c r="A4" s="13" t="s">
        <v>61</v>
      </c>
      <c r="B4" s="14">
        <v>0.28000000000000003</v>
      </c>
      <c r="C4" s="5" t="s">
        <v>168</v>
      </c>
    </row>
    <row r="5" spans="1:6" x14ac:dyDescent="0.3">
      <c r="A5" s="13" t="s">
        <v>169</v>
      </c>
      <c r="B5" s="14">
        <v>0.26</v>
      </c>
      <c r="C5" s="5" t="s">
        <v>170</v>
      </c>
    </row>
    <row r="6" spans="1:6" x14ac:dyDescent="0.3">
      <c r="A6" s="5" t="s">
        <v>171</v>
      </c>
    </row>
    <row r="10" spans="1:6" ht="42" customHeight="1" x14ac:dyDescent="0.3">
      <c r="A10" s="8" t="s">
        <v>67</v>
      </c>
      <c r="B10" s="8" t="s">
        <v>172</v>
      </c>
      <c r="C10" s="8" t="s">
        <v>69</v>
      </c>
      <c r="D10" s="8" t="s">
        <v>70</v>
      </c>
    </row>
    <row r="11" spans="1:6" x14ac:dyDescent="0.3">
      <c r="A11" s="18" t="s">
        <v>71</v>
      </c>
      <c r="B11" s="19">
        <f>AVERAGE(I22:I30)</f>
        <v>5.0506249109604999</v>
      </c>
      <c r="C11" s="19">
        <f>AVERAGE(O31:O34)</f>
        <v>5.0352591764342662</v>
      </c>
      <c r="D11" s="19">
        <f>AVERAGE(I31:I34)</f>
        <v>5.6258436754879995</v>
      </c>
      <c r="F11" s="5" t="s">
        <v>173</v>
      </c>
    </row>
    <row r="12" spans="1:6" x14ac:dyDescent="0.3">
      <c r="A12" s="18" t="s">
        <v>73</v>
      </c>
      <c r="B12" s="19">
        <f>AVERAGE(J22:J30)</f>
        <v>39.471805548352251</v>
      </c>
      <c r="C12" s="19">
        <f>AVERAGE(P31:P34)</f>
        <v>44.932931640352145</v>
      </c>
      <c r="D12" s="19">
        <f>AVERAGE(J31:J34)</f>
        <v>38.120037036642643</v>
      </c>
    </row>
    <row r="13" spans="1:6" x14ac:dyDescent="0.3">
      <c r="A13" s="18" t="s">
        <v>75</v>
      </c>
      <c r="B13" s="19">
        <f>SQRT(AVERAGE(J22:J30))</f>
        <v>6.28265911444766</v>
      </c>
      <c r="C13" s="19">
        <f>SQRT(AVERAGE(P31:P34))</f>
        <v>6.7032030881028914</v>
      </c>
      <c r="D13" s="19">
        <f>SQRT(AVERAGE(J31:J34))</f>
        <v>6.1741426155088641</v>
      </c>
    </row>
    <row r="14" spans="1:6" x14ac:dyDescent="0.3">
      <c r="A14" s="18" t="s">
        <v>76</v>
      </c>
      <c r="B14" s="21">
        <f>AVERAGE(K22:K30)</f>
        <v>7.3424399630470684E-3</v>
      </c>
      <c r="C14" s="21">
        <f>AVERAGE(Q31:Q34)</f>
        <v>7.0776481810393126E-3</v>
      </c>
      <c r="D14" s="21">
        <f>AVERAGE(K31:K34)</f>
        <v>7.8609635880689758E-3</v>
      </c>
    </row>
    <row r="15" spans="1:6" x14ac:dyDescent="0.3">
      <c r="A15" s="18" t="s">
        <v>77</v>
      </c>
      <c r="B15" s="21">
        <f>AVERAGE(L22:L30)</f>
        <v>3.0020042116897187E-3</v>
      </c>
      <c r="C15" s="21">
        <f>AVERAGE(R31:R34)</f>
        <v>-7.0776481810393126E-3</v>
      </c>
      <c r="D15" s="21">
        <f>AVERAGE(L31:L34)</f>
        <v>-3.6491252110672622E-3</v>
      </c>
    </row>
    <row r="16" spans="1:6" x14ac:dyDescent="0.3">
      <c r="A16" s="18" t="s">
        <v>78</v>
      </c>
      <c r="B16" s="19">
        <f>SUM(J22:J30)</f>
        <v>355.24624993517023</v>
      </c>
      <c r="C16" s="19">
        <f>SUM(P31:P34)</f>
        <v>179.73172656140858</v>
      </c>
      <c r="D16" s="19">
        <f>SUM(J31:J34)</f>
        <v>152.48014814657057</v>
      </c>
    </row>
    <row r="17" spans="1:18" x14ac:dyDescent="0.3">
      <c r="A17" s="18" t="s">
        <v>79</v>
      </c>
      <c r="B17" s="22">
        <f>COUNT(J22:J30)</f>
        <v>9</v>
      </c>
      <c r="C17" s="22">
        <f>COUNT(P31:P34)</f>
        <v>4</v>
      </c>
      <c r="D17" s="22">
        <f>COUNT(J31:J34)</f>
        <v>4</v>
      </c>
    </row>
    <row r="19" spans="1:18" ht="42" customHeight="1" x14ac:dyDescent="0.3">
      <c r="A19" s="8" t="s">
        <v>43</v>
      </c>
      <c r="B19" s="8" t="s">
        <v>174</v>
      </c>
      <c r="C19" s="8" t="s">
        <v>47</v>
      </c>
      <c r="D19" s="8" t="s">
        <v>81</v>
      </c>
      <c r="E19" s="8" t="s">
        <v>175</v>
      </c>
      <c r="F19" s="8" t="s">
        <v>176</v>
      </c>
      <c r="G19" s="8" t="s">
        <v>177</v>
      </c>
      <c r="H19" s="8" t="s">
        <v>84</v>
      </c>
      <c r="I19" s="8" t="s">
        <v>85</v>
      </c>
      <c r="J19" s="8" t="s">
        <v>86</v>
      </c>
      <c r="K19" s="8" t="s">
        <v>87</v>
      </c>
      <c r="L19" s="8" t="s">
        <v>88</v>
      </c>
      <c r="M19" s="8" t="s">
        <v>178</v>
      </c>
      <c r="N19" s="8" t="s">
        <v>84</v>
      </c>
      <c r="O19" s="8" t="s">
        <v>85</v>
      </c>
      <c r="P19" s="8" t="s">
        <v>86</v>
      </c>
      <c r="Q19" s="8" t="s">
        <v>87</v>
      </c>
      <c r="R19" s="8" t="s">
        <v>88</v>
      </c>
    </row>
    <row r="20" spans="1:18" x14ac:dyDescent="0.3">
      <c r="A20" s="23">
        <v>1</v>
      </c>
      <c r="B20" s="23" t="s">
        <v>179</v>
      </c>
      <c r="C20" s="24" t="s">
        <v>51</v>
      </c>
      <c r="D20" s="24">
        <f>Dados!H5</f>
        <v>654</v>
      </c>
      <c r="E20" s="24"/>
      <c r="F20" s="24"/>
      <c r="G20" s="24"/>
      <c r="H20" s="24"/>
      <c r="I20" s="24"/>
      <c r="J20" s="24"/>
      <c r="K20" s="25"/>
      <c r="L20" s="25"/>
      <c r="M20" s="24"/>
      <c r="N20" s="24"/>
      <c r="O20" s="24"/>
      <c r="P20" s="24"/>
      <c r="Q20" s="25"/>
      <c r="R20" s="25"/>
    </row>
    <row r="21" spans="1:18" x14ac:dyDescent="0.3">
      <c r="A21" s="23">
        <v>2</v>
      </c>
      <c r="B21" s="23" t="s">
        <v>180</v>
      </c>
      <c r="C21" s="24" t="s">
        <v>51</v>
      </c>
      <c r="D21" s="24">
        <f>Dados!H6</f>
        <v>658</v>
      </c>
      <c r="E21" s="24">
        <f>D21</f>
        <v>658</v>
      </c>
      <c r="F21" s="24">
        <f>D21-D20</f>
        <v>4</v>
      </c>
      <c r="G21" s="24"/>
      <c r="H21" s="24"/>
      <c r="I21" s="24"/>
      <c r="J21" s="24"/>
      <c r="K21" s="25"/>
      <c r="L21" s="25"/>
      <c r="M21" s="24"/>
      <c r="N21" s="24"/>
      <c r="O21" s="24"/>
      <c r="P21" s="24"/>
      <c r="Q21" s="25"/>
      <c r="R21" s="25"/>
    </row>
    <row r="22" spans="1:18" x14ac:dyDescent="0.3">
      <c r="A22" s="9">
        <v>3</v>
      </c>
      <c r="B22" s="9" t="s">
        <v>181</v>
      </c>
      <c r="C22" s="26" t="s">
        <v>51</v>
      </c>
      <c r="D22" s="26">
        <f>Dados!H7</f>
        <v>665</v>
      </c>
      <c r="E22" s="26">
        <f t="shared" ref="E22:E34" si="0">$B$4*D22+(1-$B$4)*(E21+F21)</f>
        <v>662.84</v>
      </c>
      <c r="F22" s="26">
        <f t="shared" ref="F22:F34" si="1">$B$5*(E22-E21)+(1-$B$5)*F21</f>
        <v>4.2184000000000079</v>
      </c>
      <c r="G22" s="26">
        <f t="shared" ref="G22:G34" si="2">E21+F21</f>
        <v>662</v>
      </c>
      <c r="H22" s="26">
        <f t="shared" ref="H22:H34" si="3">D22-G22</f>
        <v>3</v>
      </c>
      <c r="I22" s="26">
        <f t="shared" ref="I22:I34" si="4">ABS(H22)</f>
        <v>3</v>
      </c>
      <c r="J22" s="26">
        <f t="shared" ref="J22:J34" si="5">H22^2</f>
        <v>9</v>
      </c>
      <c r="K22" s="27">
        <f t="shared" ref="K22:K34" si="6">I22/D22</f>
        <v>4.5112781954887221E-3</v>
      </c>
      <c r="L22" s="27">
        <f t="shared" ref="L22:L34" si="7">H22/D22</f>
        <v>4.5112781954887221E-3</v>
      </c>
      <c r="M22" s="26"/>
      <c r="N22" s="26"/>
      <c r="O22" s="26"/>
      <c r="P22" s="26"/>
      <c r="Q22" s="27"/>
      <c r="R22" s="27"/>
    </row>
    <row r="23" spans="1:18" x14ac:dyDescent="0.3">
      <c r="A23" s="9">
        <v>4</v>
      </c>
      <c r="B23" s="9" t="s">
        <v>182</v>
      </c>
      <c r="C23" s="26" t="s">
        <v>51</v>
      </c>
      <c r="D23" s="26">
        <f>Dados!H8</f>
        <v>672</v>
      </c>
      <c r="E23" s="26">
        <f t="shared" si="0"/>
        <v>668.442048</v>
      </c>
      <c r="F23" s="26">
        <f t="shared" si="1"/>
        <v>4.5781484799999976</v>
      </c>
      <c r="G23" s="26">
        <f t="shared" si="2"/>
        <v>667.05840000000001</v>
      </c>
      <c r="H23" s="26">
        <f t="shared" si="3"/>
        <v>4.941599999999994</v>
      </c>
      <c r="I23" s="26">
        <f t="shared" si="4"/>
        <v>4.941599999999994</v>
      </c>
      <c r="J23" s="26">
        <f t="shared" si="5"/>
        <v>24.419410559999939</v>
      </c>
      <c r="K23" s="27">
        <f t="shared" si="6"/>
        <v>7.3535714285714194E-3</v>
      </c>
      <c r="L23" s="27">
        <f t="shared" si="7"/>
        <v>7.3535714285714194E-3</v>
      </c>
      <c r="M23" s="26"/>
      <c r="N23" s="26"/>
      <c r="O23" s="26"/>
      <c r="P23" s="26"/>
      <c r="Q23" s="27"/>
      <c r="R23" s="27"/>
    </row>
    <row r="24" spans="1:18" x14ac:dyDescent="0.3">
      <c r="A24" s="9">
        <v>5</v>
      </c>
      <c r="B24" s="9" t="s">
        <v>183</v>
      </c>
      <c r="C24" s="26" t="s">
        <v>51</v>
      </c>
      <c r="D24" s="26">
        <f>Dados!H9</f>
        <v>673</v>
      </c>
      <c r="E24" s="26">
        <f t="shared" si="0"/>
        <v>673.01454146560002</v>
      </c>
      <c r="F24" s="26">
        <f t="shared" si="1"/>
        <v>4.5766781762560029</v>
      </c>
      <c r="G24" s="26">
        <f t="shared" si="2"/>
        <v>673.02019647999998</v>
      </c>
      <c r="H24" s="26">
        <f t="shared" si="3"/>
        <v>-2.019647999998142E-2</v>
      </c>
      <c r="I24" s="26">
        <f t="shared" si="4"/>
        <v>2.019647999998142E-2</v>
      </c>
      <c r="J24" s="26">
        <f t="shared" si="5"/>
        <v>4.0789780438964951E-4</v>
      </c>
      <c r="K24" s="27">
        <f t="shared" si="6"/>
        <v>3.0009628528947134E-5</v>
      </c>
      <c r="L24" s="27">
        <f t="shared" si="7"/>
        <v>-3.0009628528947134E-5</v>
      </c>
      <c r="M24" s="26"/>
      <c r="N24" s="26"/>
      <c r="O24" s="26"/>
      <c r="P24" s="26"/>
      <c r="Q24" s="27"/>
      <c r="R24" s="27"/>
    </row>
    <row r="25" spans="1:18" x14ac:dyDescent="0.3">
      <c r="A25" s="9">
        <v>6</v>
      </c>
      <c r="B25" s="9" t="s">
        <v>184</v>
      </c>
      <c r="C25" s="26" t="s">
        <v>51</v>
      </c>
      <c r="D25" s="26">
        <f>Dados!H10</f>
        <v>671</v>
      </c>
      <c r="E25" s="26">
        <f t="shared" si="0"/>
        <v>675.74567814213628</v>
      </c>
      <c r="F25" s="26">
        <f t="shared" si="1"/>
        <v>4.0968373863288718</v>
      </c>
      <c r="G25" s="26">
        <f t="shared" si="2"/>
        <v>677.59121964185601</v>
      </c>
      <c r="H25" s="26">
        <f t="shared" si="3"/>
        <v>-6.5912196418560143</v>
      </c>
      <c r="I25" s="26">
        <f t="shared" si="4"/>
        <v>6.5912196418560143</v>
      </c>
      <c r="J25" s="26">
        <f t="shared" si="5"/>
        <v>43.444176367188525</v>
      </c>
      <c r="K25" s="27">
        <f t="shared" si="6"/>
        <v>9.8229800921848208E-3</v>
      </c>
      <c r="L25" s="27">
        <f t="shared" si="7"/>
        <v>-9.8229800921848208E-3</v>
      </c>
      <c r="M25" s="26"/>
      <c r="N25" s="26"/>
      <c r="O25" s="26"/>
      <c r="P25" s="26"/>
      <c r="Q25" s="27"/>
      <c r="R25" s="27"/>
    </row>
    <row r="26" spans="1:18" x14ac:dyDescent="0.3">
      <c r="A26" s="9">
        <v>7</v>
      </c>
      <c r="B26" s="9" t="s">
        <v>185</v>
      </c>
      <c r="C26" s="26" t="s">
        <v>51</v>
      </c>
      <c r="D26" s="26">
        <f>Dados!H11</f>
        <v>693</v>
      </c>
      <c r="E26" s="26">
        <f t="shared" si="0"/>
        <v>683.52661118049491</v>
      </c>
      <c r="F26" s="26">
        <f t="shared" si="1"/>
        <v>5.0547022558566077</v>
      </c>
      <c r="G26" s="26">
        <f t="shared" si="2"/>
        <v>679.84251552846513</v>
      </c>
      <c r="H26" s="26">
        <f t="shared" si="3"/>
        <v>13.157484471534872</v>
      </c>
      <c r="I26" s="26">
        <f t="shared" si="4"/>
        <v>13.157484471534872</v>
      </c>
      <c r="J26" s="26">
        <f t="shared" si="5"/>
        <v>173.11939761868129</v>
      </c>
      <c r="K26" s="27">
        <f t="shared" si="6"/>
        <v>1.8986269078693899E-2</v>
      </c>
      <c r="L26" s="27">
        <f t="shared" si="7"/>
        <v>1.8986269078693899E-2</v>
      </c>
      <c r="M26" s="26"/>
      <c r="N26" s="26"/>
      <c r="O26" s="26"/>
      <c r="P26" s="26"/>
      <c r="Q26" s="27"/>
      <c r="R26" s="27"/>
    </row>
    <row r="27" spans="1:18" x14ac:dyDescent="0.3">
      <c r="A27" s="9">
        <v>8</v>
      </c>
      <c r="B27" s="9" t="s">
        <v>186</v>
      </c>
      <c r="C27" s="26" t="s">
        <v>51</v>
      </c>
      <c r="D27" s="26">
        <f>Dados!H12</f>
        <v>694</v>
      </c>
      <c r="E27" s="26">
        <f t="shared" si="0"/>
        <v>690.09854567417312</v>
      </c>
      <c r="F27" s="26">
        <f t="shared" si="1"/>
        <v>5.4491826376902255</v>
      </c>
      <c r="G27" s="26">
        <f t="shared" si="2"/>
        <v>688.58131343635148</v>
      </c>
      <c r="H27" s="26">
        <f t="shared" si="3"/>
        <v>5.4186865636485209</v>
      </c>
      <c r="I27" s="26">
        <f t="shared" si="4"/>
        <v>5.4186865636485209</v>
      </c>
      <c r="J27" s="26">
        <f t="shared" si="5"/>
        <v>29.362164075065017</v>
      </c>
      <c r="K27" s="27">
        <f t="shared" si="6"/>
        <v>7.8079057113091075E-3</v>
      </c>
      <c r="L27" s="27">
        <f t="shared" si="7"/>
        <v>7.8079057113091075E-3</v>
      </c>
      <c r="M27" s="26"/>
      <c r="N27" s="26"/>
      <c r="O27" s="26"/>
      <c r="P27" s="26"/>
      <c r="Q27" s="27"/>
      <c r="R27" s="27"/>
    </row>
    <row r="28" spans="1:18" x14ac:dyDescent="0.3">
      <c r="A28" s="9">
        <v>9</v>
      </c>
      <c r="B28" s="9" t="s">
        <v>187</v>
      </c>
      <c r="C28" s="26" t="s">
        <v>51</v>
      </c>
      <c r="D28" s="26">
        <f>Dados!H13</f>
        <v>701</v>
      </c>
      <c r="E28" s="26">
        <f t="shared" si="0"/>
        <v>697.0743643845417</v>
      </c>
      <c r="F28" s="26">
        <f t="shared" si="1"/>
        <v>5.8461080165865953</v>
      </c>
      <c r="G28" s="26">
        <f t="shared" si="2"/>
        <v>695.54772831186335</v>
      </c>
      <c r="H28" s="26">
        <f t="shared" si="3"/>
        <v>5.4522716881366478</v>
      </c>
      <c r="I28" s="26">
        <f t="shared" si="4"/>
        <v>5.4522716881366478</v>
      </c>
      <c r="J28" s="26">
        <f t="shared" si="5"/>
        <v>29.72726656125645</v>
      </c>
      <c r="K28" s="27">
        <f t="shared" si="6"/>
        <v>7.7778483425629784E-3</v>
      </c>
      <c r="L28" s="27">
        <f t="shared" si="7"/>
        <v>7.7778483425629784E-3</v>
      </c>
      <c r="M28" s="26"/>
      <c r="N28" s="26"/>
      <c r="O28" s="26"/>
      <c r="P28" s="26"/>
      <c r="Q28" s="27"/>
      <c r="R28" s="27"/>
    </row>
    <row r="29" spans="1:18" x14ac:dyDescent="0.3">
      <c r="A29" s="9">
        <v>10</v>
      </c>
      <c r="B29" s="9" t="s">
        <v>188</v>
      </c>
      <c r="C29" s="26" t="s">
        <v>51</v>
      </c>
      <c r="D29" s="26">
        <f>Dados!H14</f>
        <v>703</v>
      </c>
      <c r="E29" s="26">
        <f t="shared" si="0"/>
        <v>702.94274012881237</v>
      </c>
      <c r="F29" s="26">
        <f t="shared" si="1"/>
        <v>5.8518976257844573</v>
      </c>
      <c r="G29" s="26">
        <f t="shared" si="2"/>
        <v>702.92047240112834</v>
      </c>
      <c r="H29" s="26">
        <f t="shared" si="3"/>
        <v>7.952759887166394E-2</v>
      </c>
      <c r="I29" s="26">
        <f t="shared" si="4"/>
        <v>7.952759887166394E-2</v>
      </c>
      <c r="J29" s="26">
        <f t="shared" si="5"/>
        <v>6.3246389822922836E-3</v>
      </c>
      <c r="K29" s="27">
        <f t="shared" si="6"/>
        <v>1.1312602968942239E-4</v>
      </c>
      <c r="L29" s="27">
        <f t="shared" si="7"/>
        <v>1.1312602968942239E-4</v>
      </c>
      <c r="M29" s="26"/>
      <c r="N29" s="26"/>
      <c r="O29" s="26"/>
      <c r="P29" s="26"/>
      <c r="Q29" s="27"/>
      <c r="R29" s="27"/>
    </row>
    <row r="30" spans="1:18" x14ac:dyDescent="0.3">
      <c r="A30" s="9">
        <v>11</v>
      </c>
      <c r="B30" s="9" t="s">
        <v>189</v>
      </c>
      <c r="C30" s="26" t="s">
        <v>51</v>
      </c>
      <c r="D30" s="26">
        <f>Dados!H15</f>
        <v>702</v>
      </c>
      <c r="E30" s="26">
        <f t="shared" si="0"/>
        <v>706.89213918330972</v>
      </c>
      <c r="F30" s="26">
        <f t="shared" si="1"/>
        <v>5.357247997249809</v>
      </c>
      <c r="G30" s="26">
        <f t="shared" si="2"/>
        <v>708.79463775459681</v>
      </c>
      <c r="H30" s="26">
        <f t="shared" si="3"/>
        <v>-6.7946377545968062</v>
      </c>
      <c r="I30" s="26">
        <f t="shared" si="4"/>
        <v>6.7946377545968062</v>
      </c>
      <c r="J30" s="26">
        <f t="shared" si="5"/>
        <v>46.167102216192326</v>
      </c>
      <c r="K30" s="27">
        <f t="shared" si="6"/>
        <v>9.6789711603943104E-3</v>
      </c>
      <c r="L30" s="27">
        <f t="shared" si="7"/>
        <v>-9.6789711603943104E-3</v>
      </c>
      <c r="M30" s="26"/>
      <c r="N30" s="26"/>
      <c r="O30" s="26"/>
      <c r="P30" s="26"/>
      <c r="Q30" s="27"/>
      <c r="R30" s="27"/>
    </row>
    <row r="31" spans="1:18" x14ac:dyDescent="0.3">
      <c r="A31" s="12">
        <v>12</v>
      </c>
      <c r="B31" s="12" t="s">
        <v>190</v>
      </c>
      <c r="C31" s="28" t="s">
        <v>54</v>
      </c>
      <c r="D31" s="28">
        <f>Dados!H16</f>
        <v>710</v>
      </c>
      <c r="E31" s="28">
        <f t="shared" si="0"/>
        <v>711.61955877000287</v>
      </c>
      <c r="F31" s="28">
        <f t="shared" si="1"/>
        <v>5.1934926105050767</v>
      </c>
      <c r="G31" s="28">
        <f t="shared" si="2"/>
        <v>712.24938718055955</v>
      </c>
      <c r="H31" s="28">
        <f t="shared" si="3"/>
        <v>-2.2493871805595518</v>
      </c>
      <c r="I31" s="28">
        <f t="shared" si="4"/>
        <v>2.2493871805595518</v>
      </c>
      <c r="J31" s="28">
        <f t="shared" si="5"/>
        <v>5.0597426880656498</v>
      </c>
      <c r="K31" s="29">
        <f t="shared" si="6"/>
        <v>3.1681509585345801E-3</v>
      </c>
      <c r="L31" s="29">
        <f t="shared" si="7"/>
        <v>-3.1681509585345801E-3</v>
      </c>
      <c r="M31" s="28">
        <f>$E$30+(A31-11)*$F$30</f>
        <v>712.24938718055955</v>
      </c>
      <c r="N31" s="28">
        <f>D31-M31</f>
        <v>-2.2493871805595518</v>
      </c>
      <c r="O31" s="28">
        <f>ABS(N31)</f>
        <v>2.2493871805595518</v>
      </c>
      <c r="P31" s="28">
        <f>N31^2</f>
        <v>5.0597426880656498</v>
      </c>
      <c r="Q31" s="29">
        <f>O31/D31</f>
        <v>3.1681509585345801E-3</v>
      </c>
      <c r="R31" s="29">
        <f>N31/D31</f>
        <v>-3.1681509585345801E-3</v>
      </c>
    </row>
    <row r="32" spans="1:18" x14ac:dyDescent="0.3">
      <c r="A32" s="12">
        <v>13</v>
      </c>
      <c r="B32" s="12" t="s">
        <v>191</v>
      </c>
      <c r="C32" s="28" t="s">
        <v>54</v>
      </c>
      <c r="D32" s="28">
        <f>Dados!H17</f>
        <v>712</v>
      </c>
      <c r="E32" s="28">
        <f t="shared" si="0"/>
        <v>715.46539699396578</v>
      </c>
      <c r="F32" s="28">
        <f t="shared" si="1"/>
        <v>4.8431024700041139</v>
      </c>
      <c r="G32" s="28">
        <f t="shared" si="2"/>
        <v>716.813051380508</v>
      </c>
      <c r="H32" s="28">
        <f t="shared" si="3"/>
        <v>-4.813051380508</v>
      </c>
      <c r="I32" s="28">
        <f t="shared" si="4"/>
        <v>4.813051380508</v>
      </c>
      <c r="J32" s="28">
        <f t="shared" si="5"/>
        <v>23.165463591409964</v>
      </c>
      <c r="K32" s="29">
        <f t="shared" si="6"/>
        <v>6.7599036243089885E-3</v>
      </c>
      <c r="L32" s="29">
        <f t="shared" si="7"/>
        <v>-6.7599036243089885E-3</v>
      </c>
      <c r="M32" s="28">
        <f>$E$30+(A32-11)*$F$30</f>
        <v>717.60663517780938</v>
      </c>
      <c r="N32" s="28">
        <f>D32-M32</f>
        <v>-5.6066351778093804</v>
      </c>
      <c r="O32" s="28">
        <f>ABS(N32)</f>
        <v>5.6066351778093804</v>
      </c>
      <c r="P32" s="28">
        <f>N32^2</f>
        <v>31.434358017049622</v>
      </c>
      <c r="Q32" s="29">
        <f>O32/D32</f>
        <v>7.8744876092828372E-3</v>
      </c>
      <c r="R32" s="29">
        <f>N32/D32</f>
        <v>-7.8744876092828372E-3</v>
      </c>
    </row>
    <row r="33" spans="1:18" x14ac:dyDescent="0.3">
      <c r="A33" s="12">
        <v>14</v>
      </c>
      <c r="B33" s="12" t="s">
        <v>192</v>
      </c>
      <c r="C33" s="28" t="s">
        <v>54</v>
      </c>
      <c r="D33" s="28">
        <f>Dados!H18</f>
        <v>711</v>
      </c>
      <c r="E33" s="28">
        <f t="shared" si="0"/>
        <v>717.70211961405835</v>
      </c>
      <c r="F33" s="28">
        <f t="shared" si="1"/>
        <v>4.1654437090271115</v>
      </c>
      <c r="G33" s="28">
        <f t="shared" si="2"/>
        <v>720.30849946396995</v>
      </c>
      <c r="H33" s="28">
        <f t="shared" si="3"/>
        <v>-9.3084994639699516</v>
      </c>
      <c r="I33" s="28">
        <f t="shared" si="4"/>
        <v>9.3084994639699516</v>
      </c>
      <c r="J33" s="28">
        <f t="shared" si="5"/>
        <v>86.648162270728875</v>
      </c>
      <c r="K33" s="29">
        <f t="shared" si="6"/>
        <v>1.3092123015428905E-2</v>
      </c>
      <c r="L33" s="29">
        <f t="shared" si="7"/>
        <v>-1.3092123015428905E-2</v>
      </c>
      <c r="M33" s="28">
        <f>$E$30+(A33-11)*$F$30</f>
        <v>722.96388317505921</v>
      </c>
      <c r="N33" s="28">
        <f>D33-M33</f>
        <v>-11.963883175059209</v>
      </c>
      <c r="O33" s="28">
        <f>ABS(N33)</f>
        <v>11.963883175059209</v>
      </c>
      <c r="P33" s="28">
        <f>N33^2</f>
        <v>143.13450062646481</v>
      </c>
      <c r="Q33" s="29">
        <f>O33/D33</f>
        <v>1.6826839908662742E-2</v>
      </c>
      <c r="R33" s="29">
        <f>N33/D33</f>
        <v>-1.6826839908662742E-2</v>
      </c>
    </row>
    <row r="34" spans="1:18" x14ac:dyDescent="0.3">
      <c r="A34" s="12">
        <v>15</v>
      </c>
      <c r="B34" s="12" t="s">
        <v>193</v>
      </c>
      <c r="C34" s="28" t="s">
        <v>54</v>
      </c>
      <c r="D34" s="28">
        <f>Dados!H19</f>
        <v>728</v>
      </c>
      <c r="E34" s="28">
        <f t="shared" si="0"/>
        <v>723.58464559262154</v>
      </c>
      <c r="F34" s="28">
        <f t="shared" si="1"/>
        <v>4.6118850991064928</v>
      </c>
      <c r="G34" s="28">
        <f t="shared" si="2"/>
        <v>721.86756332308551</v>
      </c>
      <c r="H34" s="28">
        <f t="shared" si="3"/>
        <v>6.1324366769144945</v>
      </c>
      <c r="I34" s="28">
        <f t="shared" si="4"/>
        <v>6.1324366769144945</v>
      </c>
      <c r="J34" s="28">
        <f t="shared" si="5"/>
        <v>37.606779596366088</v>
      </c>
      <c r="K34" s="29">
        <f t="shared" si="6"/>
        <v>8.4236767540034271E-3</v>
      </c>
      <c r="L34" s="29">
        <f t="shared" si="7"/>
        <v>8.4236767540034271E-3</v>
      </c>
      <c r="M34" s="28">
        <f>$E$30+(A34-11)*$F$30</f>
        <v>728.32113117230892</v>
      </c>
      <c r="N34" s="28">
        <f>D34-M34</f>
        <v>-0.32113117230892385</v>
      </c>
      <c r="O34" s="28">
        <f>ABS(N34)</f>
        <v>0.32113117230892385</v>
      </c>
      <c r="P34" s="28">
        <f>N34^2</f>
        <v>0.10312522982850374</v>
      </c>
      <c r="Q34" s="29">
        <f>O34/D34</f>
        <v>4.4111424767709318E-4</v>
      </c>
      <c r="R34" s="29">
        <f>N34/D34</f>
        <v>-4.4111424767709318E-4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7"/>
  <sheetViews>
    <sheetView showGridLines="0" topLeftCell="A6" zoomScaleNormal="100" workbookViewId="0"/>
  </sheetViews>
  <sheetFormatPr defaultColWidth="8.6640625" defaultRowHeight="14.4" x14ac:dyDescent="0.3"/>
  <cols>
    <col min="1" max="1" width="22" customWidth="1"/>
    <col min="2" max="4" width="16" customWidth="1"/>
    <col min="5" max="5" width="11" customWidth="1"/>
    <col min="6" max="6" width="12" customWidth="1"/>
    <col min="7" max="7" width="16" customWidth="1"/>
    <col min="8" max="8" width="11" customWidth="1"/>
    <col min="9" max="9" width="9" customWidth="1"/>
    <col min="10" max="10" width="11" customWidth="1"/>
    <col min="11" max="12" width="8" customWidth="1"/>
    <col min="13" max="13" width="17" customWidth="1"/>
    <col min="14" max="14" width="11" customWidth="1"/>
    <col min="15" max="15" width="9" customWidth="1"/>
    <col min="16" max="16" width="11" customWidth="1"/>
    <col min="17" max="18" width="8" customWidth="1"/>
  </cols>
  <sheetData>
    <row r="1" spans="1:6" ht="17.399999999999999" x14ac:dyDescent="0.3">
      <c r="A1" s="4" t="s">
        <v>194</v>
      </c>
    </row>
    <row r="2" spans="1:6" x14ac:dyDescent="0.3">
      <c r="A2" s="5" t="s">
        <v>195</v>
      </c>
    </row>
    <row r="4" spans="1:6" x14ac:dyDescent="0.3">
      <c r="A4" s="13" t="s">
        <v>61</v>
      </c>
      <c r="B4" s="14">
        <v>0.24</v>
      </c>
      <c r="C4" s="5" t="s">
        <v>168</v>
      </c>
    </row>
    <row r="5" spans="1:6" x14ac:dyDescent="0.3">
      <c r="A5" s="13" t="s">
        <v>169</v>
      </c>
      <c r="B5" s="14">
        <v>0.25</v>
      </c>
      <c r="C5" s="5" t="s">
        <v>170</v>
      </c>
    </row>
    <row r="6" spans="1:6" x14ac:dyDescent="0.3">
      <c r="A6" s="5" t="s">
        <v>196</v>
      </c>
    </row>
    <row r="10" spans="1:6" ht="42" customHeight="1" x14ac:dyDescent="0.3">
      <c r="A10" s="8" t="s">
        <v>67</v>
      </c>
      <c r="B10" s="8" t="s">
        <v>197</v>
      </c>
      <c r="C10" s="8" t="s">
        <v>69</v>
      </c>
      <c r="D10" s="8" t="s">
        <v>70</v>
      </c>
    </row>
    <row r="11" spans="1:6" x14ac:dyDescent="0.3">
      <c r="A11" s="18" t="s">
        <v>71</v>
      </c>
      <c r="B11" s="19">
        <f>AVERAGE(I24:I43)</f>
        <v>125.16600267896816</v>
      </c>
      <c r="C11" s="19">
        <f>AVERAGE(O44:O47)</f>
        <v>125</v>
      </c>
      <c r="D11" s="19">
        <f>AVERAGE(I44:I47)</f>
        <v>160.4219809569523</v>
      </c>
      <c r="F11" s="5" t="s">
        <v>173</v>
      </c>
    </row>
    <row r="12" spans="1:6" x14ac:dyDescent="0.3">
      <c r="A12" s="18" t="s">
        <v>73</v>
      </c>
      <c r="B12" s="19">
        <f>AVERAGE(J24:J43)</f>
        <v>22178.796772311067</v>
      </c>
      <c r="C12" s="19">
        <f>AVERAGE(P44:P47)</f>
        <v>25663.065801570436</v>
      </c>
      <c r="D12" s="19">
        <f>AVERAGE(J44:J47)</f>
        <v>34375.863252431394</v>
      </c>
    </row>
    <row r="13" spans="1:6" x14ac:dyDescent="0.3">
      <c r="A13" s="18" t="s">
        <v>75</v>
      </c>
      <c r="B13" s="19">
        <f>SQRT(AVERAGE(J24:J43))</f>
        <v>148.92547388647472</v>
      </c>
      <c r="C13" s="19">
        <f>SQRT(AVERAGE(P44:P47))</f>
        <v>160.19695940176405</v>
      </c>
      <c r="D13" s="19">
        <f>SQRT(AVERAGE(J44:J47))</f>
        <v>185.40729018145805</v>
      </c>
    </row>
    <row r="14" spans="1:6" x14ac:dyDescent="0.3">
      <c r="A14" s="18" t="s">
        <v>76</v>
      </c>
      <c r="B14" s="21">
        <f>AVERAGE(K24:K43)</f>
        <v>0.3226794880269539</v>
      </c>
      <c r="C14" s="21">
        <f>AVERAGE(Q44:Q47)</f>
        <v>0.21138657464003699</v>
      </c>
      <c r="D14" s="21">
        <f>AVERAGE(K44:K47)</f>
        <v>0.2752022143653175</v>
      </c>
    </row>
    <row r="15" spans="1:6" x14ac:dyDescent="0.3">
      <c r="A15" s="18" t="s">
        <v>77</v>
      </c>
      <c r="B15" s="21">
        <f>AVERAGE(L24:L43)</f>
        <v>-2.7393639160452232E-2</v>
      </c>
      <c r="C15" s="21">
        <f>AVERAGE(R44:R47)</f>
        <v>-7.6190490123948185E-2</v>
      </c>
      <c r="D15" s="21">
        <f>AVERAGE(L44:L47)</f>
        <v>-0.12017767254543532</v>
      </c>
    </row>
    <row r="16" spans="1:6" x14ac:dyDescent="0.3">
      <c r="A16" s="18" t="s">
        <v>78</v>
      </c>
      <c r="B16" s="19">
        <f>SUM(J24:J43)</f>
        <v>443575.93544622132</v>
      </c>
      <c r="C16" s="19">
        <f>SUM(P44:P47)</f>
        <v>102652.26320628174</v>
      </c>
      <c r="D16" s="19">
        <f>SUM(J44:J47)</f>
        <v>137503.45300972558</v>
      </c>
    </row>
    <row r="17" spans="1:18" x14ac:dyDescent="0.3">
      <c r="A17" s="18" t="s">
        <v>79</v>
      </c>
      <c r="B17" s="22">
        <f>COUNT(J24:J43)</f>
        <v>20</v>
      </c>
      <c r="C17" s="22">
        <f>COUNT(P44:P47)</f>
        <v>4</v>
      </c>
      <c r="D17" s="22">
        <f>COUNT(J44:J47)</f>
        <v>4</v>
      </c>
    </row>
    <row r="19" spans="1:18" ht="42" customHeight="1" x14ac:dyDescent="0.3">
      <c r="A19" s="8" t="s">
        <v>43</v>
      </c>
      <c r="B19" s="8" t="s">
        <v>174</v>
      </c>
      <c r="C19" s="8" t="s">
        <v>47</v>
      </c>
      <c r="D19" s="8" t="s">
        <v>81</v>
      </c>
      <c r="E19" s="8" t="s">
        <v>175</v>
      </c>
      <c r="F19" s="8" t="s">
        <v>176</v>
      </c>
      <c r="G19" s="8" t="s">
        <v>177</v>
      </c>
      <c r="H19" s="8" t="s">
        <v>84</v>
      </c>
      <c r="I19" s="8" t="s">
        <v>85</v>
      </c>
      <c r="J19" s="8" t="s">
        <v>86</v>
      </c>
      <c r="K19" s="8" t="s">
        <v>87</v>
      </c>
      <c r="L19" s="8" t="s">
        <v>88</v>
      </c>
      <c r="M19" s="8" t="s">
        <v>178</v>
      </c>
      <c r="N19" s="8" t="s">
        <v>84</v>
      </c>
      <c r="O19" s="8" t="s">
        <v>85</v>
      </c>
      <c r="P19" s="8" t="s">
        <v>86</v>
      </c>
      <c r="Q19" s="8" t="s">
        <v>87</v>
      </c>
      <c r="R19" s="8" t="s">
        <v>88</v>
      </c>
    </row>
    <row r="20" spans="1:18" x14ac:dyDescent="0.3">
      <c r="A20" s="23">
        <v>1</v>
      </c>
      <c r="B20" s="23" t="s">
        <v>198</v>
      </c>
      <c r="C20" s="24" t="s">
        <v>51</v>
      </c>
      <c r="D20" s="24">
        <f>Dados!D5</f>
        <v>500</v>
      </c>
      <c r="E20" s="24"/>
      <c r="F20" s="24"/>
      <c r="G20" s="24"/>
      <c r="H20" s="24"/>
      <c r="I20" s="24"/>
      <c r="J20" s="24"/>
      <c r="K20" s="25"/>
      <c r="L20" s="25"/>
      <c r="M20" s="24"/>
      <c r="N20" s="24"/>
      <c r="O20" s="24"/>
      <c r="P20" s="24"/>
      <c r="Q20" s="25"/>
      <c r="R20" s="25"/>
    </row>
    <row r="21" spans="1:18" x14ac:dyDescent="0.3">
      <c r="A21" s="23">
        <v>2</v>
      </c>
      <c r="B21" s="23" t="s">
        <v>199</v>
      </c>
      <c r="C21" s="24" t="s">
        <v>51</v>
      </c>
      <c r="D21" s="24">
        <f>Dados!D6</f>
        <v>350</v>
      </c>
      <c r="E21" s="24"/>
      <c r="F21" s="24"/>
      <c r="G21" s="24"/>
      <c r="H21" s="24"/>
      <c r="I21" s="24"/>
      <c r="J21" s="24"/>
      <c r="K21" s="25"/>
      <c r="L21" s="25"/>
      <c r="M21" s="24"/>
      <c r="N21" s="24"/>
      <c r="O21" s="24"/>
      <c r="P21" s="24"/>
      <c r="Q21" s="25"/>
      <c r="R21" s="25"/>
    </row>
    <row r="22" spans="1:18" x14ac:dyDescent="0.3">
      <c r="A22" s="23">
        <v>3</v>
      </c>
      <c r="B22" s="23" t="s">
        <v>200</v>
      </c>
      <c r="C22" s="24" t="s">
        <v>51</v>
      </c>
      <c r="D22" s="24">
        <f>Dados!D7</f>
        <v>250</v>
      </c>
      <c r="E22" s="24"/>
      <c r="F22" s="24"/>
      <c r="G22" s="24"/>
      <c r="H22" s="24"/>
      <c r="I22" s="24"/>
      <c r="J22" s="24"/>
      <c r="K22" s="25"/>
      <c r="L22" s="25"/>
      <c r="M22" s="24"/>
      <c r="N22" s="24"/>
      <c r="O22" s="24"/>
      <c r="P22" s="24"/>
      <c r="Q22" s="25"/>
      <c r="R22" s="25"/>
    </row>
    <row r="23" spans="1:18" x14ac:dyDescent="0.3">
      <c r="A23" s="23">
        <v>4</v>
      </c>
      <c r="B23" s="23" t="s">
        <v>201</v>
      </c>
      <c r="C23" s="24" t="s">
        <v>51</v>
      </c>
      <c r="D23" s="24">
        <f>Dados!D8</f>
        <v>400</v>
      </c>
      <c r="E23" s="24">
        <f>AVERAGE(D20:D23)</f>
        <v>375</v>
      </c>
      <c r="F23" s="24">
        <f>(AVERAGE(D24:D27)-AVERAGE(D20:D23))/4</f>
        <v>-12.5</v>
      </c>
      <c r="G23" s="24"/>
      <c r="H23" s="24"/>
      <c r="I23" s="24"/>
      <c r="J23" s="24"/>
      <c r="K23" s="25"/>
      <c r="L23" s="25"/>
      <c r="M23" s="24"/>
      <c r="N23" s="24"/>
      <c r="O23" s="24"/>
      <c r="P23" s="24"/>
      <c r="Q23" s="25"/>
      <c r="R23" s="25"/>
    </row>
    <row r="24" spans="1:18" x14ac:dyDescent="0.3">
      <c r="A24" s="9">
        <v>5</v>
      </c>
      <c r="B24" s="9" t="s">
        <v>202</v>
      </c>
      <c r="C24" s="26" t="s">
        <v>51</v>
      </c>
      <c r="D24" s="26">
        <f>Dados!D9</f>
        <v>450</v>
      </c>
      <c r="E24" s="26">
        <f t="shared" ref="E24:E47" si="0">$B$4*D24+(1-$B$4)*(E23+F23)</f>
        <v>383.5</v>
      </c>
      <c r="F24" s="26">
        <f t="shared" ref="F24:F47" si="1">$B$5*(E24-E23)+(1-$B$5)*F23</f>
        <v>-7.25</v>
      </c>
      <c r="G24" s="26">
        <f t="shared" ref="G24:G47" si="2">E23+F23</f>
        <v>362.5</v>
      </c>
      <c r="H24" s="26">
        <f t="shared" ref="H24:H47" si="3">D24-G24</f>
        <v>87.5</v>
      </c>
      <c r="I24" s="26">
        <f t="shared" ref="I24:I47" si="4">ABS(H24)</f>
        <v>87.5</v>
      </c>
      <c r="J24" s="26">
        <f t="shared" ref="J24:J47" si="5">H24^2</f>
        <v>7656.25</v>
      </c>
      <c r="K24" s="27">
        <f t="shared" ref="K24:K47" si="6">I24/D24</f>
        <v>0.19444444444444445</v>
      </c>
      <c r="L24" s="27">
        <f t="shared" ref="L24:L47" si="7">H24/D24</f>
        <v>0.19444444444444445</v>
      </c>
      <c r="M24" s="26"/>
      <c r="N24" s="26"/>
      <c r="O24" s="26"/>
      <c r="P24" s="26"/>
      <c r="Q24" s="27"/>
      <c r="R24" s="27"/>
    </row>
    <row r="25" spans="1:18" x14ac:dyDescent="0.3">
      <c r="A25" s="9">
        <v>6</v>
      </c>
      <c r="B25" s="9" t="s">
        <v>203</v>
      </c>
      <c r="C25" s="26" t="s">
        <v>51</v>
      </c>
      <c r="D25" s="26">
        <f>Dados!D10</f>
        <v>350</v>
      </c>
      <c r="E25" s="26">
        <f t="shared" si="0"/>
        <v>369.95</v>
      </c>
      <c r="F25" s="26">
        <f t="shared" si="1"/>
        <v>-8.8250000000000028</v>
      </c>
      <c r="G25" s="26">
        <f t="shared" si="2"/>
        <v>376.25</v>
      </c>
      <c r="H25" s="26">
        <f t="shared" si="3"/>
        <v>-26.25</v>
      </c>
      <c r="I25" s="26">
        <f t="shared" si="4"/>
        <v>26.25</v>
      </c>
      <c r="J25" s="26">
        <f t="shared" si="5"/>
        <v>689.0625</v>
      </c>
      <c r="K25" s="27">
        <f t="shared" si="6"/>
        <v>7.4999999999999997E-2</v>
      </c>
      <c r="L25" s="27">
        <f t="shared" si="7"/>
        <v>-7.4999999999999997E-2</v>
      </c>
      <c r="M25" s="26"/>
      <c r="N25" s="26"/>
      <c r="O25" s="26"/>
      <c r="P25" s="26"/>
      <c r="Q25" s="27"/>
      <c r="R25" s="27"/>
    </row>
    <row r="26" spans="1:18" x14ac:dyDescent="0.3">
      <c r="A26" s="9">
        <v>7</v>
      </c>
      <c r="B26" s="9" t="s">
        <v>204</v>
      </c>
      <c r="C26" s="26" t="s">
        <v>51</v>
      </c>
      <c r="D26" s="26">
        <f>Dados!D11</f>
        <v>200</v>
      </c>
      <c r="E26" s="26">
        <f t="shared" si="0"/>
        <v>322.45499999999998</v>
      </c>
      <c r="F26" s="26">
        <f t="shared" si="1"/>
        <v>-18.492500000000003</v>
      </c>
      <c r="G26" s="26">
        <f t="shared" si="2"/>
        <v>361.125</v>
      </c>
      <c r="H26" s="26">
        <f t="shared" si="3"/>
        <v>-161.125</v>
      </c>
      <c r="I26" s="26">
        <f t="shared" si="4"/>
        <v>161.125</v>
      </c>
      <c r="J26" s="26">
        <f t="shared" si="5"/>
        <v>25961.265625</v>
      </c>
      <c r="K26" s="27">
        <f t="shared" si="6"/>
        <v>0.80562500000000004</v>
      </c>
      <c r="L26" s="27">
        <f t="shared" si="7"/>
        <v>-0.80562500000000004</v>
      </c>
      <c r="M26" s="26"/>
      <c r="N26" s="26"/>
      <c r="O26" s="26"/>
      <c r="P26" s="26"/>
      <c r="Q26" s="27"/>
      <c r="R26" s="27"/>
    </row>
    <row r="27" spans="1:18" x14ac:dyDescent="0.3">
      <c r="A27" s="9">
        <v>8</v>
      </c>
      <c r="B27" s="9" t="s">
        <v>205</v>
      </c>
      <c r="C27" s="26" t="s">
        <v>51</v>
      </c>
      <c r="D27" s="26">
        <f>Dados!D12</f>
        <v>300</v>
      </c>
      <c r="E27" s="26">
        <f t="shared" si="0"/>
        <v>303.01149999999996</v>
      </c>
      <c r="F27" s="26">
        <f t="shared" si="1"/>
        <v>-18.730250000000009</v>
      </c>
      <c r="G27" s="26">
        <f t="shared" si="2"/>
        <v>303.96249999999998</v>
      </c>
      <c r="H27" s="26">
        <f t="shared" si="3"/>
        <v>-3.9624999999999773</v>
      </c>
      <c r="I27" s="26">
        <f t="shared" si="4"/>
        <v>3.9624999999999773</v>
      </c>
      <c r="J27" s="26">
        <f t="shared" si="5"/>
        <v>15.70140624999982</v>
      </c>
      <c r="K27" s="27">
        <f t="shared" si="6"/>
        <v>1.3208333333333258E-2</v>
      </c>
      <c r="L27" s="27">
        <f t="shared" si="7"/>
        <v>-1.3208333333333258E-2</v>
      </c>
      <c r="M27" s="26"/>
      <c r="N27" s="26"/>
      <c r="O27" s="26"/>
      <c r="P27" s="26"/>
      <c r="Q27" s="27"/>
      <c r="R27" s="27"/>
    </row>
    <row r="28" spans="1:18" x14ac:dyDescent="0.3">
      <c r="A28" s="9">
        <v>9</v>
      </c>
      <c r="B28" s="9" t="s">
        <v>206</v>
      </c>
      <c r="C28" s="26" t="s">
        <v>51</v>
      </c>
      <c r="D28" s="26">
        <f>Dados!D13</f>
        <v>350</v>
      </c>
      <c r="E28" s="26">
        <f t="shared" si="0"/>
        <v>300.05374999999992</v>
      </c>
      <c r="F28" s="26">
        <f t="shared" si="1"/>
        <v>-14.787125000000014</v>
      </c>
      <c r="G28" s="26">
        <f t="shared" si="2"/>
        <v>284.28124999999994</v>
      </c>
      <c r="H28" s="26">
        <f t="shared" si="3"/>
        <v>65.718750000000057</v>
      </c>
      <c r="I28" s="26">
        <f t="shared" si="4"/>
        <v>65.718750000000057</v>
      </c>
      <c r="J28" s="26">
        <f t="shared" si="5"/>
        <v>4318.9541015625073</v>
      </c>
      <c r="K28" s="27">
        <f t="shared" si="6"/>
        <v>0.18776785714285729</v>
      </c>
      <c r="L28" s="27">
        <f t="shared" si="7"/>
        <v>0.18776785714285729</v>
      </c>
      <c r="M28" s="26"/>
      <c r="N28" s="26"/>
      <c r="O28" s="26"/>
      <c r="P28" s="26"/>
      <c r="Q28" s="27"/>
      <c r="R28" s="27"/>
    </row>
    <row r="29" spans="1:18" x14ac:dyDescent="0.3">
      <c r="A29" s="9">
        <v>10</v>
      </c>
      <c r="B29" s="9" t="s">
        <v>207</v>
      </c>
      <c r="C29" s="26" t="s">
        <v>51</v>
      </c>
      <c r="D29" s="26">
        <f>Dados!D14</f>
        <v>200</v>
      </c>
      <c r="E29" s="26">
        <f t="shared" si="0"/>
        <v>264.80263499999995</v>
      </c>
      <c r="F29" s="26">
        <f t="shared" si="1"/>
        <v>-19.903122500000002</v>
      </c>
      <c r="G29" s="26">
        <f t="shared" si="2"/>
        <v>285.26662499999992</v>
      </c>
      <c r="H29" s="26">
        <f t="shared" si="3"/>
        <v>-85.26662499999992</v>
      </c>
      <c r="I29" s="26">
        <f t="shared" si="4"/>
        <v>85.26662499999992</v>
      </c>
      <c r="J29" s="26">
        <f t="shared" si="5"/>
        <v>7270.3973388906115</v>
      </c>
      <c r="K29" s="27">
        <f t="shared" si="6"/>
        <v>0.42633312499999959</v>
      </c>
      <c r="L29" s="27">
        <f t="shared" si="7"/>
        <v>-0.42633312499999959</v>
      </c>
      <c r="M29" s="26"/>
      <c r="N29" s="26"/>
      <c r="O29" s="26"/>
      <c r="P29" s="26"/>
      <c r="Q29" s="27"/>
      <c r="R29" s="27"/>
    </row>
    <row r="30" spans="1:18" x14ac:dyDescent="0.3">
      <c r="A30" s="9">
        <v>11</v>
      </c>
      <c r="B30" s="9" t="s">
        <v>208</v>
      </c>
      <c r="C30" s="26" t="s">
        <v>51</v>
      </c>
      <c r="D30" s="26">
        <f>Dados!D15</f>
        <v>150</v>
      </c>
      <c r="E30" s="26">
        <f t="shared" si="0"/>
        <v>222.12362949999996</v>
      </c>
      <c r="F30" s="26">
        <f t="shared" si="1"/>
        <v>-25.59709325</v>
      </c>
      <c r="G30" s="26">
        <f t="shared" si="2"/>
        <v>244.89951249999996</v>
      </c>
      <c r="H30" s="26">
        <f t="shared" si="3"/>
        <v>-94.899512499999958</v>
      </c>
      <c r="I30" s="26">
        <f t="shared" si="4"/>
        <v>94.899512499999958</v>
      </c>
      <c r="J30" s="26">
        <f t="shared" si="5"/>
        <v>9005.9174727376485</v>
      </c>
      <c r="K30" s="27">
        <f t="shared" si="6"/>
        <v>0.63266341666666637</v>
      </c>
      <c r="L30" s="27">
        <f t="shared" si="7"/>
        <v>-0.63266341666666637</v>
      </c>
      <c r="M30" s="26"/>
      <c r="N30" s="26"/>
      <c r="O30" s="26"/>
      <c r="P30" s="26"/>
      <c r="Q30" s="27"/>
      <c r="R30" s="27"/>
    </row>
    <row r="31" spans="1:18" x14ac:dyDescent="0.3">
      <c r="A31" s="9">
        <v>12</v>
      </c>
      <c r="B31" s="9" t="s">
        <v>209</v>
      </c>
      <c r="C31" s="26" t="s">
        <v>51</v>
      </c>
      <c r="D31" s="26">
        <f>Dados!D16</f>
        <v>400</v>
      </c>
      <c r="E31" s="26">
        <f t="shared" si="0"/>
        <v>245.36016754999997</v>
      </c>
      <c r="F31" s="26">
        <f t="shared" si="1"/>
        <v>-13.388685424999998</v>
      </c>
      <c r="G31" s="26">
        <f t="shared" si="2"/>
        <v>196.52653624999996</v>
      </c>
      <c r="H31" s="26">
        <f t="shared" si="3"/>
        <v>203.47346375000004</v>
      </c>
      <c r="I31" s="26">
        <f t="shared" si="4"/>
        <v>203.47346375000004</v>
      </c>
      <c r="J31" s="26">
        <f t="shared" si="5"/>
        <v>41401.450450422577</v>
      </c>
      <c r="K31" s="27">
        <f t="shared" si="6"/>
        <v>0.50868365937500004</v>
      </c>
      <c r="L31" s="27">
        <f t="shared" si="7"/>
        <v>0.50868365937500004</v>
      </c>
      <c r="M31" s="26"/>
      <c r="N31" s="26"/>
      <c r="O31" s="26"/>
      <c r="P31" s="26"/>
      <c r="Q31" s="27"/>
      <c r="R31" s="27"/>
    </row>
    <row r="32" spans="1:18" x14ac:dyDescent="0.3">
      <c r="A32" s="9">
        <v>13</v>
      </c>
      <c r="B32" s="9" t="s">
        <v>210</v>
      </c>
      <c r="C32" s="26" t="s">
        <v>51</v>
      </c>
      <c r="D32" s="26">
        <f>Dados!D17</f>
        <v>550</v>
      </c>
      <c r="E32" s="26">
        <f t="shared" si="0"/>
        <v>308.29832641499996</v>
      </c>
      <c r="F32" s="26">
        <f t="shared" si="1"/>
        <v>5.693025647499999</v>
      </c>
      <c r="G32" s="26">
        <f t="shared" si="2"/>
        <v>231.97148212499997</v>
      </c>
      <c r="H32" s="26">
        <f t="shared" si="3"/>
        <v>318.02851787500003</v>
      </c>
      <c r="I32" s="26">
        <f t="shared" si="4"/>
        <v>318.02851787500003</v>
      </c>
      <c r="J32" s="26">
        <f t="shared" si="5"/>
        <v>101142.13818176922</v>
      </c>
      <c r="K32" s="27">
        <f t="shared" si="6"/>
        <v>0.57823366886363647</v>
      </c>
      <c r="L32" s="27">
        <f t="shared" si="7"/>
        <v>0.57823366886363647</v>
      </c>
      <c r="M32" s="26"/>
      <c r="N32" s="26"/>
      <c r="O32" s="26"/>
      <c r="P32" s="26"/>
      <c r="Q32" s="27"/>
      <c r="R32" s="27"/>
    </row>
    <row r="33" spans="1:18" x14ac:dyDescent="0.3">
      <c r="A33" s="9">
        <v>14</v>
      </c>
      <c r="B33" s="9" t="s">
        <v>211</v>
      </c>
      <c r="C33" s="26" t="s">
        <v>51</v>
      </c>
      <c r="D33" s="26">
        <f>Dados!D18</f>
        <v>350</v>
      </c>
      <c r="E33" s="26">
        <f t="shared" si="0"/>
        <v>322.63342756750001</v>
      </c>
      <c r="F33" s="26">
        <f t="shared" si="1"/>
        <v>7.8535445237500099</v>
      </c>
      <c r="G33" s="26">
        <f t="shared" si="2"/>
        <v>313.99135206249997</v>
      </c>
      <c r="H33" s="26">
        <f t="shared" si="3"/>
        <v>36.008647937500029</v>
      </c>
      <c r="I33" s="26">
        <f t="shared" si="4"/>
        <v>36.008647937500029</v>
      </c>
      <c r="J33" s="26">
        <f t="shared" si="5"/>
        <v>1296.6227262868251</v>
      </c>
      <c r="K33" s="27">
        <f t="shared" si="6"/>
        <v>0.10288185125000009</v>
      </c>
      <c r="L33" s="27">
        <f t="shared" si="7"/>
        <v>0.10288185125000009</v>
      </c>
      <c r="M33" s="26"/>
      <c r="N33" s="26"/>
      <c r="O33" s="26"/>
      <c r="P33" s="26"/>
      <c r="Q33" s="27"/>
      <c r="R33" s="27"/>
    </row>
    <row r="34" spans="1:18" x14ac:dyDescent="0.3">
      <c r="A34" s="9">
        <v>15</v>
      </c>
      <c r="B34" s="9" t="s">
        <v>212</v>
      </c>
      <c r="C34" s="26" t="s">
        <v>51</v>
      </c>
      <c r="D34" s="26">
        <f>Dados!D19</f>
        <v>250</v>
      </c>
      <c r="E34" s="26">
        <f t="shared" si="0"/>
        <v>311.17009878935005</v>
      </c>
      <c r="F34" s="26">
        <f t="shared" si="1"/>
        <v>3.024326198275018</v>
      </c>
      <c r="G34" s="26">
        <f t="shared" si="2"/>
        <v>330.48697209125004</v>
      </c>
      <c r="H34" s="26">
        <f t="shared" si="3"/>
        <v>-80.486972091250038</v>
      </c>
      <c r="I34" s="26">
        <f t="shared" si="4"/>
        <v>80.486972091250038</v>
      </c>
      <c r="J34" s="26">
        <f t="shared" si="5"/>
        <v>6478.1526764176624</v>
      </c>
      <c r="K34" s="27">
        <f t="shared" si="6"/>
        <v>0.32194788836500016</v>
      </c>
      <c r="L34" s="27">
        <f t="shared" si="7"/>
        <v>-0.32194788836500016</v>
      </c>
      <c r="M34" s="26"/>
      <c r="N34" s="26"/>
      <c r="O34" s="26"/>
      <c r="P34" s="26"/>
      <c r="Q34" s="27"/>
      <c r="R34" s="27"/>
    </row>
    <row r="35" spans="1:18" x14ac:dyDescent="0.3">
      <c r="A35" s="9">
        <v>16</v>
      </c>
      <c r="B35" s="9" t="s">
        <v>213</v>
      </c>
      <c r="C35" s="26" t="s">
        <v>51</v>
      </c>
      <c r="D35" s="26">
        <f>Dados!D20</f>
        <v>550</v>
      </c>
      <c r="E35" s="26">
        <f t="shared" si="0"/>
        <v>370.78776299059507</v>
      </c>
      <c r="F35" s="26">
        <f t="shared" si="1"/>
        <v>17.17266069901752</v>
      </c>
      <c r="G35" s="26">
        <f t="shared" si="2"/>
        <v>314.19442498762504</v>
      </c>
      <c r="H35" s="26">
        <f t="shared" si="3"/>
        <v>235.80557501237496</v>
      </c>
      <c r="I35" s="26">
        <f t="shared" si="4"/>
        <v>235.80557501237496</v>
      </c>
      <c r="J35" s="26">
        <f t="shared" si="5"/>
        <v>55604.269206916797</v>
      </c>
      <c r="K35" s="27">
        <f t="shared" si="6"/>
        <v>0.42873740911340902</v>
      </c>
      <c r="L35" s="27">
        <f t="shared" si="7"/>
        <v>0.42873740911340902</v>
      </c>
      <c r="M35" s="26"/>
      <c r="N35" s="26"/>
      <c r="O35" s="26"/>
      <c r="P35" s="26"/>
      <c r="Q35" s="27"/>
      <c r="R35" s="27"/>
    </row>
    <row r="36" spans="1:18" x14ac:dyDescent="0.3">
      <c r="A36" s="9">
        <v>17</v>
      </c>
      <c r="B36" s="9" t="s">
        <v>214</v>
      </c>
      <c r="C36" s="26" t="s">
        <v>51</v>
      </c>
      <c r="D36" s="26">
        <f>Dados!D21</f>
        <v>550</v>
      </c>
      <c r="E36" s="26">
        <f t="shared" si="0"/>
        <v>426.84992200410557</v>
      </c>
      <c r="F36" s="26">
        <f t="shared" si="1"/>
        <v>26.895035277640766</v>
      </c>
      <c r="G36" s="26">
        <f t="shared" si="2"/>
        <v>387.96042368961258</v>
      </c>
      <c r="H36" s="26">
        <f t="shared" si="3"/>
        <v>162.03957631038742</v>
      </c>
      <c r="I36" s="26">
        <f t="shared" si="4"/>
        <v>162.03957631038742</v>
      </c>
      <c r="J36" s="26">
        <f t="shared" si="5"/>
        <v>26256.824290849869</v>
      </c>
      <c r="K36" s="27">
        <f t="shared" si="6"/>
        <v>0.29461741147343168</v>
      </c>
      <c r="L36" s="27">
        <f t="shared" si="7"/>
        <v>0.29461741147343168</v>
      </c>
      <c r="M36" s="26"/>
      <c r="N36" s="26"/>
      <c r="O36" s="26"/>
      <c r="P36" s="26"/>
      <c r="Q36" s="27"/>
      <c r="R36" s="27"/>
    </row>
    <row r="37" spans="1:18" x14ac:dyDescent="0.3">
      <c r="A37" s="9">
        <v>18</v>
      </c>
      <c r="B37" s="9" t="s">
        <v>215</v>
      </c>
      <c r="C37" s="26" t="s">
        <v>51</v>
      </c>
      <c r="D37" s="26">
        <f>Dados!D22</f>
        <v>400</v>
      </c>
      <c r="E37" s="26">
        <f t="shared" si="0"/>
        <v>440.84616753412723</v>
      </c>
      <c r="F37" s="26">
        <f t="shared" si="1"/>
        <v>23.670337840735989</v>
      </c>
      <c r="G37" s="26">
        <f t="shared" si="2"/>
        <v>453.74495728174634</v>
      </c>
      <c r="H37" s="26">
        <f t="shared" si="3"/>
        <v>-53.744957281746338</v>
      </c>
      <c r="I37" s="26">
        <f t="shared" si="4"/>
        <v>53.744957281746338</v>
      </c>
      <c r="J37" s="26">
        <f t="shared" si="5"/>
        <v>2888.5204332167386</v>
      </c>
      <c r="K37" s="27">
        <f t="shared" si="6"/>
        <v>0.13436239320436585</v>
      </c>
      <c r="L37" s="27">
        <f t="shared" si="7"/>
        <v>-0.13436239320436585</v>
      </c>
      <c r="M37" s="26"/>
      <c r="N37" s="26"/>
      <c r="O37" s="26"/>
      <c r="P37" s="26"/>
      <c r="Q37" s="27"/>
      <c r="R37" s="27"/>
    </row>
    <row r="38" spans="1:18" x14ac:dyDescent="0.3">
      <c r="A38" s="9">
        <v>19</v>
      </c>
      <c r="B38" s="9" t="s">
        <v>216</v>
      </c>
      <c r="C38" s="26" t="s">
        <v>51</v>
      </c>
      <c r="D38" s="26">
        <f>Dados!D23</f>
        <v>350</v>
      </c>
      <c r="E38" s="26">
        <f t="shared" si="0"/>
        <v>437.03254408489607</v>
      </c>
      <c r="F38" s="26">
        <f t="shared" si="1"/>
        <v>16.799347518244204</v>
      </c>
      <c r="G38" s="26">
        <f t="shared" si="2"/>
        <v>464.51650537486324</v>
      </c>
      <c r="H38" s="26">
        <f t="shared" si="3"/>
        <v>-114.51650537486324</v>
      </c>
      <c r="I38" s="26">
        <f t="shared" si="4"/>
        <v>114.51650537486324</v>
      </c>
      <c r="J38" s="26">
        <f t="shared" si="5"/>
        <v>13114.030003271082</v>
      </c>
      <c r="K38" s="27">
        <f t="shared" si="6"/>
        <v>0.32719001535675213</v>
      </c>
      <c r="L38" s="27">
        <f t="shared" si="7"/>
        <v>-0.32719001535675213</v>
      </c>
      <c r="M38" s="26"/>
      <c r="N38" s="26"/>
      <c r="O38" s="26"/>
      <c r="P38" s="26"/>
      <c r="Q38" s="27"/>
      <c r="R38" s="27"/>
    </row>
    <row r="39" spans="1:18" x14ac:dyDescent="0.3">
      <c r="A39" s="9">
        <v>20</v>
      </c>
      <c r="B39" s="9" t="s">
        <v>217</v>
      </c>
      <c r="C39" s="26" t="s">
        <v>51</v>
      </c>
      <c r="D39" s="26">
        <f>Dados!D24</f>
        <v>600</v>
      </c>
      <c r="E39" s="26">
        <f t="shared" si="0"/>
        <v>488.9122376183866</v>
      </c>
      <c r="F39" s="26">
        <f t="shared" si="1"/>
        <v>25.569434022055784</v>
      </c>
      <c r="G39" s="26">
        <f t="shared" si="2"/>
        <v>453.83189160314026</v>
      </c>
      <c r="H39" s="26">
        <f t="shared" si="3"/>
        <v>146.16810839685974</v>
      </c>
      <c r="I39" s="26">
        <f t="shared" si="4"/>
        <v>146.16810839685974</v>
      </c>
      <c r="J39" s="26">
        <f t="shared" si="5"/>
        <v>21365.115912316138</v>
      </c>
      <c r="K39" s="27">
        <f t="shared" si="6"/>
        <v>0.24361351399476622</v>
      </c>
      <c r="L39" s="27">
        <f t="shared" si="7"/>
        <v>0.24361351399476622</v>
      </c>
      <c r="M39" s="26"/>
      <c r="N39" s="26"/>
      <c r="O39" s="26"/>
      <c r="P39" s="26"/>
      <c r="Q39" s="27"/>
      <c r="R39" s="27"/>
    </row>
    <row r="40" spans="1:18" x14ac:dyDescent="0.3">
      <c r="A40" s="9">
        <v>21</v>
      </c>
      <c r="B40" s="9" t="s">
        <v>218</v>
      </c>
      <c r="C40" s="26" t="s">
        <v>51</v>
      </c>
      <c r="D40" s="26">
        <f>Dados!D25</f>
        <v>750</v>
      </c>
      <c r="E40" s="26">
        <f t="shared" si="0"/>
        <v>571.0060704467362</v>
      </c>
      <c r="F40" s="26">
        <f t="shared" si="1"/>
        <v>39.700533723629235</v>
      </c>
      <c r="G40" s="26">
        <f t="shared" si="2"/>
        <v>514.48167164044241</v>
      </c>
      <c r="H40" s="26">
        <f t="shared" si="3"/>
        <v>235.51832835955759</v>
      </c>
      <c r="I40" s="26">
        <f t="shared" si="4"/>
        <v>235.51832835955759</v>
      </c>
      <c r="J40" s="26">
        <f t="shared" si="5"/>
        <v>55468.882993280386</v>
      </c>
      <c r="K40" s="27">
        <f t="shared" si="6"/>
        <v>0.31402443781274347</v>
      </c>
      <c r="L40" s="27">
        <f t="shared" si="7"/>
        <v>0.31402443781274347</v>
      </c>
      <c r="M40" s="26"/>
      <c r="N40" s="26"/>
      <c r="O40" s="26"/>
      <c r="P40" s="26"/>
      <c r="Q40" s="27"/>
      <c r="R40" s="27"/>
    </row>
    <row r="41" spans="1:18" x14ac:dyDescent="0.3">
      <c r="A41" s="9">
        <v>22</v>
      </c>
      <c r="B41" s="9" t="s">
        <v>219</v>
      </c>
      <c r="C41" s="26" t="s">
        <v>51</v>
      </c>
      <c r="D41" s="26">
        <f>Dados!D26</f>
        <v>500</v>
      </c>
      <c r="E41" s="26">
        <f t="shared" si="0"/>
        <v>584.13701916947775</v>
      </c>
      <c r="F41" s="26">
        <f t="shared" si="1"/>
        <v>33.058137473407314</v>
      </c>
      <c r="G41" s="26">
        <f t="shared" si="2"/>
        <v>610.70660417036538</v>
      </c>
      <c r="H41" s="26">
        <f t="shared" si="3"/>
        <v>-110.70660417036538</v>
      </c>
      <c r="I41" s="26">
        <f t="shared" si="4"/>
        <v>110.70660417036538</v>
      </c>
      <c r="J41" s="26">
        <f t="shared" si="5"/>
        <v>12255.952206933962</v>
      </c>
      <c r="K41" s="27">
        <f t="shared" si="6"/>
        <v>0.22141320834073075</v>
      </c>
      <c r="L41" s="27">
        <f t="shared" si="7"/>
        <v>-0.22141320834073075</v>
      </c>
      <c r="M41" s="26"/>
      <c r="N41" s="26"/>
      <c r="O41" s="26"/>
      <c r="P41" s="26"/>
      <c r="Q41" s="27"/>
      <c r="R41" s="27"/>
    </row>
    <row r="42" spans="1:18" x14ac:dyDescent="0.3">
      <c r="A42" s="9">
        <v>23</v>
      </c>
      <c r="B42" s="9" t="s">
        <v>220</v>
      </c>
      <c r="C42" s="26" t="s">
        <v>51</v>
      </c>
      <c r="D42" s="26">
        <f>Dados!D27</f>
        <v>400</v>
      </c>
      <c r="E42" s="26">
        <f t="shared" si="0"/>
        <v>565.06831904859268</v>
      </c>
      <c r="F42" s="26">
        <f t="shared" si="1"/>
        <v>20.026428074834218</v>
      </c>
      <c r="G42" s="26">
        <f t="shared" si="2"/>
        <v>617.19515664288508</v>
      </c>
      <c r="H42" s="26">
        <f t="shared" si="3"/>
        <v>-217.19515664288508</v>
      </c>
      <c r="I42" s="26">
        <f t="shared" si="4"/>
        <v>217.19515664288508</v>
      </c>
      <c r="J42" s="26">
        <f t="shared" si="5"/>
        <v>47173.736069127386</v>
      </c>
      <c r="K42" s="27">
        <f t="shared" si="6"/>
        <v>0.54298789160721272</v>
      </c>
      <c r="L42" s="27">
        <f t="shared" si="7"/>
        <v>-0.54298789160721272</v>
      </c>
      <c r="M42" s="26"/>
      <c r="N42" s="26"/>
      <c r="O42" s="26"/>
      <c r="P42" s="26"/>
      <c r="Q42" s="27"/>
      <c r="R42" s="27"/>
    </row>
    <row r="43" spans="1:18" x14ac:dyDescent="0.3">
      <c r="A43" s="9">
        <v>24</v>
      </c>
      <c r="B43" s="9" t="s">
        <v>221</v>
      </c>
      <c r="C43" s="26" t="s">
        <v>51</v>
      </c>
      <c r="D43" s="26">
        <f>Dados!D28</f>
        <v>650</v>
      </c>
      <c r="E43" s="26">
        <f t="shared" si="0"/>
        <v>600.6720078138045</v>
      </c>
      <c r="F43" s="26">
        <f t="shared" si="1"/>
        <v>23.920743247428618</v>
      </c>
      <c r="G43" s="26">
        <f t="shared" si="2"/>
        <v>585.09474712342694</v>
      </c>
      <c r="H43" s="26">
        <f t="shared" si="3"/>
        <v>64.905252876573059</v>
      </c>
      <c r="I43" s="26">
        <f t="shared" si="4"/>
        <v>64.905252876573059</v>
      </c>
      <c r="J43" s="26">
        <f t="shared" si="5"/>
        <v>4212.6918509718953</v>
      </c>
      <c r="K43" s="27">
        <f t="shared" si="6"/>
        <v>9.9854235194727789E-2</v>
      </c>
      <c r="L43" s="27">
        <f t="shared" si="7"/>
        <v>9.9854235194727789E-2</v>
      </c>
      <c r="M43" s="26"/>
      <c r="N43" s="26"/>
      <c r="O43" s="26"/>
      <c r="P43" s="26"/>
      <c r="Q43" s="27"/>
      <c r="R43" s="27"/>
    </row>
    <row r="44" spans="1:18" x14ac:dyDescent="0.3">
      <c r="A44" s="12">
        <v>25</v>
      </c>
      <c r="B44" s="12" t="s">
        <v>222</v>
      </c>
      <c r="C44" s="28" t="s">
        <v>54</v>
      </c>
      <c r="D44" s="28">
        <f>Dados!D29</f>
        <v>850</v>
      </c>
      <c r="E44" s="28">
        <f t="shared" si="0"/>
        <v>678.69049080653713</v>
      </c>
      <c r="F44" s="28">
        <f t="shared" si="1"/>
        <v>37.445178183754621</v>
      </c>
      <c r="G44" s="28">
        <f t="shared" si="2"/>
        <v>624.59275106123312</v>
      </c>
      <c r="H44" s="28">
        <f t="shared" si="3"/>
        <v>225.40724893876688</v>
      </c>
      <c r="I44" s="28">
        <f t="shared" si="4"/>
        <v>225.40724893876688</v>
      </c>
      <c r="J44" s="28">
        <f t="shared" si="5"/>
        <v>50808.427874143228</v>
      </c>
      <c r="K44" s="29">
        <f t="shared" si="6"/>
        <v>0.26518499875149043</v>
      </c>
      <c r="L44" s="29">
        <f t="shared" si="7"/>
        <v>0.26518499875149043</v>
      </c>
      <c r="M44" s="28">
        <f>$E$43+(A44-24)*$F$43</f>
        <v>624.59275106123312</v>
      </c>
      <c r="N44" s="28">
        <f>D44-M44</f>
        <v>225.40724893876688</v>
      </c>
      <c r="O44" s="28">
        <f>ABS(N44)</f>
        <v>225.40724893876688</v>
      </c>
      <c r="P44" s="28">
        <f>N44^2</f>
        <v>50808.427874143228</v>
      </c>
      <c r="Q44" s="29">
        <f>O44/D44</f>
        <v>0.26518499875149043</v>
      </c>
      <c r="R44" s="29">
        <f>N44/D44</f>
        <v>0.26518499875149043</v>
      </c>
    </row>
    <row r="45" spans="1:18" x14ac:dyDescent="0.3">
      <c r="A45" s="12">
        <v>26</v>
      </c>
      <c r="B45" s="12" t="s">
        <v>223</v>
      </c>
      <c r="C45" s="28" t="s">
        <v>54</v>
      </c>
      <c r="D45" s="28">
        <f>Dados!D30</f>
        <v>600</v>
      </c>
      <c r="E45" s="28">
        <f t="shared" si="0"/>
        <v>688.26310843262172</v>
      </c>
      <c r="F45" s="28">
        <f t="shared" si="1"/>
        <v>30.477038044337114</v>
      </c>
      <c r="G45" s="28">
        <f t="shared" si="2"/>
        <v>716.13566899029172</v>
      </c>
      <c r="H45" s="28">
        <f t="shared" si="3"/>
        <v>-116.13566899029172</v>
      </c>
      <c r="I45" s="28">
        <f t="shared" si="4"/>
        <v>116.13566899029172</v>
      </c>
      <c r="J45" s="28">
        <f t="shared" si="5"/>
        <v>13487.493611822605</v>
      </c>
      <c r="K45" s="29">
        <f t="shared" si="6"/>
        <v>0.19355944831715285</v>
      </c>
      <c r="L45" s="29">
        <f t="shared" si="7"/>
        <v>-0.19355944831715285</v>
      </c>
      <c r="M45" s="28">
        <f>$E$43+(A45-24)*$F$43</f>
        <v>648.51349430866173</v>
      </c>
      <c r="N45" s="28">
        <f>D45-M45</f>
        <v>-48.513494308661734</v>
      </c>
      <c r="O45" s="28">
        <f>ABS(N45)</f>
        <v>48.513494308661734</v>
      </c>
      <c r="P45" s="28">
        <f>N45^2</f>
        <v>2353.5591300365545</v>
      </c>
      <c r="Q45" s="29">
        <f>O45/D45</f>
        <v>8.0855823847769556E-2</v>
      </c>
      <c r="R45" s="29">
        <f>N45/D45</f>
        <v>-8.0855823847769556E-2</v>
      </c>
    </row>
    <row r="46" spans="1:18" x14ac:dyDescent="0.3">
      <c r="A46" s="12">
        <v>27</v>
      </c>
      <c r="B46" s="12" t="s">
        <v>224</v>
      </c>
      <c r="C46" s="28" t="s">
        <v>54</v>
      </c>
      <c r="D46" s="28">
        <f>Dados!D31</f>
        <v>450</v>
      </c>
      <c r="E46" s="28">
        <f t="shared" si="0"/>
        <v>654.24251132248867</v>
      </c>
      <c r="F46" s="28">
        <f t="shared" si="1"/>
        <v>14.35262925571957</v>
      </c>
      <c r="G46" s="28">
        <f t="shared" si="2"/>
        <v>718.74014647695878</v>
      </c>
      <c r="H46" s="28">
        <f t="shared" si="3"/>
        <v>-268.74014647695878</v>
      </c>
      <c r="I46" s="28">
        <f t="shared" si="4"/>
        <v>268.74014647695878</v>
      </c>
      <c r="J46" s="28">
        <f t="shared" si="5"/>
        <v>72221.266328457263</v>
      </c>
      <c r="K46" s="29">
        <f t="shared" si="6"/>
        <v>0.59720032550435287</v>
      </c>
      <c r="L46" s="29">
        <f t="shared" si="7"/>
        <v>-0.59720032550435287</v>
      </c>
      <c r="M46" s="28">
        <f>$E$43+(A46-24)*$F$43</f>
        <v>672.43423755609035</v>
      </c>
      <c r="N46" s="28">
        <f>D46-M46</f>
        <v>-222.43423755609035</v>
      </c>
      <c r="O46" s="28">
        <f>ABS(N46)</f>
        <v>222.43423755609035</v>
      </c>
      <c r="P46" s="28">
        <f>N46^2</f>
        <v>49476.990037159238</v>
      </c>
      <c r="Q46" s="29">
        <f>O46/D46</f>
        <v>0.49429830568020078</v>
      </c>
      <c r="R46" s="29">
        <f>N46/D46</f>
        <v>-0.49429830568020078</v>
      </c>
    </row>
    <row r="47" spans="1:18" x14ac:dyDescent="0.3">
      <c r="A47" s="12">
        <v>28</v>
      </c>
      <c r="B47" s="12" t="s">
        <v>225</v>
      </c>
      <c r="C47" s="28" t="s">
        <v>54</v>
      </c>
      <c r="D47" s="28">
        <f>Dados!D32</f>
        <v>700</v>
      </c>
      <c r="E47" s="28">
        <f t="shared" si="0"/>
        <v>676.13230683943823</v>
      </c>
      <c r="F47" s="28">
        <f t="shared" si="1"/>
        <v>16.23692082102707</v>
      </c>
      <c r="G47" s="28">
        <f t="shared" si="2"/>
        <v>668.5951405782082</v>
      </c>
      <c r="H47" s="28">
        <f t="shared" si="3"/>
        <v>31.404859421791798</v>
      </c>
      <c r="I47" s="28">
        <f t="shared" si="4"/>
        <v>31.404859421791798</v>
      </c>
      <c r="J47" s="28">
        <f t="shared" si="5"/>
        <v>986.26519530250505</v>
      </c>
      <c r="K47" s="29">
        <f t="shared" si="6"/>
        <v>4.4864084888273995E-2</v>
      </c>
      <c r="L47" s="29">
        <f t="shared" si="7"/>
        <v>4.4864084888273995E-2</v>
      </c>
      <c r="M47" s="28">
        <f>$E$43+(A47-24)*$F$43</f>
        <v>696.35498080351897</v>
      </c>
      <c r="N47" s="28">
        <f>D47-M47</f>
        <v>3.6450191964810301</v>
      </c>
      <c r="O47" s="28">
        <f>ABS(N47)</f>
        <v>3.6450191964810301</v>
      </c>
      <c r="P47" s="28">
        <f>N47^2</f>
        <v>13.286164942715214</v>
      </c>
      <c r="Q47" s="29">
        <f>O47/D47</f>
        <v>5.2071702806871858E-3</v>
      </c>
      <c r="R47" s="29">
        <f>N47/D47</f>
        <v>5.2071702806871858E-3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1"/>
  <sheetViews>
    <sheetView showGridLines="0" topLeftCell="A10" zoomScaleNormal="100" workbookViewId="0">
      <selection activeCell="G24" sqref="G24"/>
    </sheetView>
  </sheetViews>
  <sheetFormatPr defaultColWidth="8.6640625" defaultRowHeight="14.4" x14ac:dyDescent="0.3"/>
  <cols>
    <col min="1" max="1" width="22" customWidth="1"/>
    <col min="2" max="4" width="16" customWidth="1"/>
    <col min="5" max="5" width="11" customWidth="1"/>
    <col min="6" max="7" width="12" customWidth="1"/>
    <col min="8" max="8" width="18" customWidth="1"/>
    <col min="9" max="9" width="11" customWidth="1"/>
    <col min="10" max="10" width="9" customWidth="1"/>
    <col min="11" max="11" width="11" customWidth="1"/>
    <col min="12" max="13" width="8" customWidth="1"/>
    <col min="14" max="14" width="17" customWidth="1"/>
    <col min="15" max="15" width="11" customWidth="1"/>
    <col min="16" max="16" width="9" customWidth="1"/>
    <col min="17" max="17" width="11" customWidth="1"/>
    <col min="18" max="19" width="8" customWidth="1"/>
    <col min="20" max="20" width="17" customWidth="1"/>
  </cols>
  <sheetData>
    <row r="1" spans="1:13" ht="17.399999999999999" x14ac:dyDescent="0.3">
      <c r="A1" s="4" t="s">
        <v>226</v>
      </c>
    </row>
    <row r="2" spans="1:13" x14ac:dyDescent="0.3">
      <c r="A2" s="5" t="s">
        <v>227</v>
      </c>
    </row>
    <row r="4" spans="1:13" x14ac:dyDescent="0.3">
      <c r="A4" s="13" t="s">
        <v>61</v>
      </c>
      <c r="B4" s="14">
        <v>0.8</v>
      </c>
      <c r="C4" s="5" t="s">
        <v>228</v>
      </c>
    </row>
    <row r="5" spans="1:13" x14ac:dyDescent="0.3">
      <c r="A5" s="13" t="s">
        <v>169</v>
      </c>
      <c r="B5" s="14">
        <v>0.1</v>
      </c>
      <c r="C5" s="5"/>
    </row>
    <row r="6" spans="1:13" x14ac:dyDescent="0.3">
      <c r="A6" s="13" t="s">
        <v>229</v>
      </c>
      <c r="B6" s="14">
        <v>0.3</v>
      </c>
      <c r="C6" s="5" t="s">
        <v>230</v>
      </c>
    </row>
    <row r="7" spans="1:13" x14ac:dyDescent="0.3">
      <c r="A7" s="5" t="s">
        <v>231</v>
      </c>
    </row>
    <row r="10" spans="1:13" ht="42" customHeight="1" x14ac:dyDescent="0.3">
      <c r="A10" s="8" t="s">
        <v>67</v>
      </c>
      <c r="B10" s="8" t="s">
        <v>197</v>
      </c>
      <c r="C10" s="8" t="s">
        <v>69</v>
      </c>
      <c r="D10" s="8" t="s">
        <v>70</v>
      </c>
    </row>
    <row r="11" spans="1:13" x14ac:dyDescent="0.3">
      <c r="A11" s="18" t="s">
        <v>71</v>
      </c>
      <c r="B11" s="19">
        <f>AVERAGE(J24:J43)</f>
        <v>46.345866474321454</v>
      </c>
      <c r="C11" s="19">
        <f>AVERAGE(P44:P47)</f>
        <v>31.386020795631509</v>
      </c>
      <c r="D11" s="19">
        <f>AVERAGE(J44:J47)</f>
        <v>29.288871976698701</v>
      </c>
      <c r="F11" s="5" t="s">
        <v>232</v>
      </c>
    </row>
    <row r="12" spans="1:13" x14ac:dyDescent="0.3">
      <c r="A12" s="18" t="s">
        <v>73</v>
      </c>
      <c r="B12" s="19">
        <f>AVERAGE(K24:K43)</f>
        <v>4332.4689291150307</v>
      </c>
      <c r="C12" s="19">
        <f>AVERAGE(Q44:Q47)</f>
        <v>1218.2321923448885</v>
      </c>
      <c r="D12" s="19">
        <f>AVERAGE(K44:K47)</f>
        <v>1621.4278709310975</v>
      </c>
    </row>
    <row r="13" spans="1:13" x14ac:dyDescent="0.3">
      <c r="A13" s="18" t="s">
        <v>75</v>
      </c>
      <c r="B13" s="19">
        <f>SQRT(AVERAGE(K24:K43))</f>
        <v>65.821492911624475</v>
      </c>
      <c r="C13" s="19">
        <f>SQRT(AVERAGE(Q44:Q47))</f>
        <v>34.903183126254952</v>
      </c>
      <c r="D13" s="19">
        <f>SQRT(AVERAGE(K44:K47))</f>
        <v>40.266957557420419</v>
      </c>
      <c r="F13" s="15" t="s">
        <v>233</v>
      </c>
      <c r="J13" s="46">
        <f>G44</f>
        <v>1.3342578423444298</v>
      </c>
      <c r="K13" s="46">
        <f>G45</f>
        <v>0.92423920114104607</v>
      </c>
      <c r="L13" s="46">
        <f>G46</f>
        <v>0.67393805428116349</v>
      </c>
      <c r="M13" s="46">
        <f>G47</f>
        <v>1.1070225383273533</v>
      </c>
    </row>
    <row r="14" spans="1:13" x14ac:dyDescent="0.3">
      <c r="A14" s="18" t="s">
        <v>76</v>
      </c>
      <c r="B14" s="21">
        <f>AVERAGE(L24:L43)</f>
        <v>0.11540974778267035</v>
      </c>
      <c r="C14" s="21">
        <f>AVERAGE(R44:R47)</f>
        <v>4.9226639945751029E-2</v>
      </c>
      <c r="D14" s="21">
        <f>AVERAGE(L44:L47)</f>
        <v>3.8990888048451966E-2</v>
      </c>
    </row>
    <row r="15" spans="1:13" x14ac:dyDescent="0.3">
      <c r="A15" s="18" t="s">
        <v>77</v>
      </c>
      <c r="B15" s="21">
        <f>AVERAGE(M24:M43)</f>
        <v>2.8879846257046503E-2</v>
      </c>
      <c r="C15" s="21">
        <f>AVERAGE(S44:S47)</f>
        <v>4.2094631053064539E-2</v>
      </c>
      <c r="D15" s="21">
        <f>AVERAGE(M44:M47)</f>
        <v>-4.3777971406036079E-3</v>
      </c>
    </row>
    <row r="16" spans="1:13" x14ac:dyDescent="0.3">
      <c r="A16" s="18" t="s">
        <v>78</v>
      </c>
      <c r="B16" s="19">
        <f>SUM(K24:K43)</f>
        <v>86649.378582300618</v>
      </c>
      <c r="C16" s="19">
        <f>SUM(Q44:Q47)</f>
        <v>4872.9287693795541</v>
      </c>
      <c r="D16" s="19">
        <f>SUM(K44:K47)</f>
        <v>6485.7114837243898</v>
      </c>
    </row>
    <row r="17" spans="1:20" x14ac:dyDescent="0.3">
      <c r="A17" s="18" t="s">
        <v>79</v>
      </c>
      <c r="B17" s="22">
        <f>COUNT(K24:K43)</f>
        <v>20</v>
      </c>
      <c r="C17" s="22">
        <f>COUNT(Q44:Q47)</f>
        <v>4</v>
      </c>
      <c r="D17" s="22">
        <f>COUNT(K44:K47)</f>
        <v>4</v>
      </c>
    </row>
    <row r="19" spans="1:20" ht="42" customHeight="1" x14ac:dyDescent="0.3">
      <c r="A19" s="8" t="s">
        <v>43</v>
      </c>
      <c r="B19" s="8" t="s">
        <v>174</v>
      </c>
      <c r="C19" s="8" t="s">
        <v>47</v>
      </c>
      <c r="D19" s="8" t="s">
        <v>81</v>
      </c>
      <c r="E19" s="8" t="s">
        <v>175</v>
      </c>
      <c r="F19" s="8" t="s">
        <v>176</v>
      </c>
      <c r="G19" s="8" t="s">
        <v>234</v>
      </c>
      <c r="H19" s="8" t="s">
        <v>235</v>
      </c>
      <c r="I19" s="8" t="s">
        <v>84</v>
      </c>
      <c r="J19" s="8" t="s">
        <v>85</v>
      </c>
      <c r="K19" s="8" t="s">
        <v>86</v>
      </c>
      <c r="L19" s="8" t="s">
        <v>87</v>
      </c>
      <c r="M19" s="8" t="s">
        <v>88</v>
      </c>
      <c r="N19" s="8" t="s">
        <v>236</v>
      </c>
      <c r="O19" s="8" t="s">
        <v>84</v>
      </c>
      <c r="P19" s="8" t="s">
        <v>85</v>
      </c>
      <c r="Q19" s="8" t="s">
        <v>86</v>
      </c>
      <c r="R19" s="8" t="s">
        <v>87</v>
      </c>
      <c r="S19" s="8" t="s">
        <v>88</v>
      </c>
      <c r="T19" s="8" t="s">
        <v>237</v>
      </c>
    </row>
    <row r="20" spans="1:20" x14ac:dyDescent="0.3">
      <c r="A20" s="23">
        <v>1</v>
      </c>
      <c r="B20" s="23" t="s">
        <v>198</v>
      </c>
      <c r="C20" s="24" t="s">
        <v>51</v>
      </c>
      <c r="D20" s="24">
        <f>Dados!D5</f>
        <v>500</v>
      </c>
      <c r="E20" s="24"/>
      <c r="F20" s="24"/>
      <c r="G20" s="47">
        <f>D20/AVERAGE($D$20:$D$23)</f>
        <v>1.3333333333333333</v>
      </c>
      <c r="H20" s="24"/>
      <c r="I20" s="24"/>
      <c r="J20" s="24"/>
      <c r="K20" s="24"/>
      <c r="L20" s="25"/>
      <c r="M20" s="25"/>
      <c r="N20" s="24"/>
      <c r="O20" s="24"/>
      <c r="P20" s="24"/>
      <c r="Q20" s="24"/>
      <c r="R20" s="25"/>
      <c r="S20" s="25"/>
      <c r="T20" s="24"/>
    </row>
    <row r="21" spans="1:20" x14ac:dyDescent="0.3">
      <c r="A21" s="23">
        <v>2</v>
      </c>
      <c r="B21" s="23" t="s">
        <v>199</v>
      </c>
      <c r="C21" s="24" t="s">
        <v>51</v>
      </c>
      <c r="D21" s="24">
        <f>Dados!D6</f>
        <v>350</v>
      </c>
      <c r="E21" s="24"/>
      <c r="F21" s="24"/>
      <c r="G21" s="47">
        <f>D21/AVERAGE($D$20:$D$23)</f>
        <v>0.93333333333333335</v>
      </c>
      <c r="H21" s="24"/>
      <c r="I21" s="24"/>
      <c r="J21" s="24"/>
      <c r="K21" s="24"/>
      <c r="L21" s="25"/>
      <c r="M21" s="25"/>
      <c r="N21" s="24"/>
      <c r="O21" s="24"/>
      <c r="P21" s="24"/>
      <c r="Q21" s="24"/>
      <c r="R21" s="25"/>
      <c r="S21" s="25"/>
      <c r="T21" s="24"/>
    </row>
    <row r="22" spans="1:20" x14ac:dyDescent="0.3">
      <c r="A22" s="23">
        <v>3</v>
      </c>
      <c r="B22" s="23" t="s">
        <v>200</v>
      </c>
      <c r="C22" s="24" t="s">
        <v>51</v>
      </c>
      <c r="D22" s="24">
        <f>Dados!D7</f>
        <v>250</v>
      </c>
      <c r="E22" s="24"/>
      <c r="F22" s="24"/>
      <c r="G22" s="47">
        <f>D22/AVERAGE($D$20:$D$23)</f>
        <v>0.66666666666666663</v>
      </c>
      <c r="H22" s="24"/>
      <c r="I22" s="24"/>
      <c r="J22" s="24"/>
      <c r="K22" s="24"/>
      <c r="L22" s="25"/>
      <c r="M22" s="25"/>
      <c r="N22" s="24"/>
      <c r="O22" s="24"/>
      <c r="P22" s="24"/>
      <c r="Q22" s="24"/>
      <c r="R22" s="25"/>
      <c r="S22" s="25"/>
      <c r="T22" s="24"/>
    </row>
    <row r="23" spans="1:20" x14ac:dyDescent="0.3">
      <c r="A23" s="23">
        <v>4</v>
      </c>
      <c r="B23" s="23" t="s">
        <v>201</v>
      </c>
      <c r="C23" s="24" t="s">
        <v>51</v>
      </c>
      <c r="D23" s="24">
        <f>Dados!D8</f>
        <v>400</v>
      </c>
      <c r="E23" s="24">
        <f>AVERAGE(D20:D23)</f>
        <v>375</v>
      </c>
      <c r="F23" s="24">
        <f>(AVERAGE(D24:D27)-AVERAGE(D20:D23))/4</f>
        <v>-12.5</v>
      </c>
      <c r="G23" s="47">
        <f>D23/AVERAGE($D$20:$D$23)</f>
        <v>1.0666666666666667</v>
      </c>
      <c r="H23" s="24"/>
      <c r="I23" s="24"/>
      <c r="J23" s="24"/>
      <c r="K23" s="24"/>
      <c r="L23" s="25"/>
      <c r="M23" s="25"/>
      <c r="N23" s="24"/>
      <c r="O23" s="24"/>
      <c r="P23" s="24"/>
      <c r="Q23" s="24"/>
      <c r="R23" s="25"/>
      <c r="S23" s="25"/>
      <c r="T23" s="24"/>
    </row>
    <row r="24" spans="1:20" x14ac:dyDescent="0.3">
      <c r="A24" s="9">
        <v>5</v>
      </c>
      <c r="B24" s="9" t="s">
        <v>202</v>
      </c>
      <c r="C24" s="26" t="s">
        <v>51</v>
      </c>
      <c r="D24" s="26">
        <f>Dados!D9</f>
        <v>450</v>
      </c>
      <c r="E24" s="26">
        <f t="shared" ref="E24:E47" si="0">$B$4*D24/G20+(1-$B$4)*(E23+F23)</f>
        <v>342.5</v>
      </c>
      <c r="F24" s="26">
        <f t="shared" ref="F24:F47" si="1">$B$5*(E24-E23)+(1-$B$5)*F23</f>
        <v>-14.5</v>
      </c>
      <c r="G24" s="48">
        <f t="shared" ref="G24:G47" si="2">$B$6*D24/E24+(1-$B$6)*G20</f>
        <v>1.3274939172749392</v>
      </c>
      <c r="H24" s="26">
        <f t="shared" ref="H24:H47" si="3">(E23+F23)*G20</f>
        <v>483.33333333333331</v>
      </c>
      <c r="I24" s="26">
        <f t="shared" ref="I24:I47" si="4">D24-H24</f>
        <v>-33.333333333333314</v>
      </c>
      <c r="J24" s="26">
        <f t="shared" ref="J24:J47" si="5">ABS(I24)</f>
        <v>33.333333333333314</v>
      </c>
      <c r="K24" s="26">
        <f t="shared" ref="K24:K47" si="6">I24^2</f>
        <v>1111.1111111111099</v>
      </c>
      <c r="L24" s="27">
        <f t="shared" ref="L24:L47" si="7">J24/D24</f>
        <v>7.4074074074074028E-2</v>
      </c>
      <c r="M24" s="27">
        <f t="shared" ref="M24:M47" si="8">I24/D24</f>
        <v>-7.4074074074074028E-2</v>
      </c>
      <c r="N24" s="26"/>
      <c r="O24" s="26"/>
      <c r="P24" s="26"/>
      <c r="Q24" s="26"/>
      <c r="R24" s="27"/>
      <c r="S24" s="27"/>
      <c r="T24" s="26"/>
    </row>
    <row r="25" spans="1:20" x14ac:dyDescent="0.3">
      <c r="A25" s="9">
        <v>6</v>
      </c>
      <c r="B25" s="9" t="s">
        <v>203</v>
      </c>
      <c r="C25" s="26" t="s">
        <v>51</v>
      </c>
      <c r="D25" s="26">
        <f>Dados!D10</f>
        <v>350</v>
      </c>
      <c r="E25" s="26">
        <f t="shared" si="0"/>
        <v>365.59999999999997</v>
      </c>
      <c r="F25" s="26">
        <f t="shared" si="1"/>
        <v>-10.740000000000004</v>
      </c>
      <c r="G25" s="48">
        <f t="shared" si="2"/>
        <v>0.94053245805981045</v>
      </c>
      <c r="H25" s="26">
        <f t="shared" si="3"/>
        <v>306.13333333333333</v>
      </c>
      <c r="I25" s="26">
        <f t="shared" si="4"/>
        <v>43.866666666666674</v>
      </c>
      <c r="J25" s="26">
        <f t="shared" si="5"/>
        <v>43.866666666666674</v>
      </c>
      <c r="K25" s="26">
        <f t="shared" si="6"/>
        <v>1924.2844444444452</v>
      </c>
      <c r="L25" s="27">
        <f t="shared" si="7"/>
        <v>0.12533333333333335</v>
      </c>
      <c r="M25" s="27">
        <f t="shared" si="8"/>
        <v>0.12533333333333335</v>
      </c>
      <c r="N25" s="26"/>
      <c r="O25" s="26"/>
      <c r="P25" s="26"/>
      <c r="Q25" s="26"/>
      <c r="R25" s="27"/>
      <c r="S25" s="27"/>
      <c r="T25" s="26"/>
    </row>
    <row r="26" spans="1:20" x14ac:dyDescent="0.3">
      <c r="A26" s="9">
        <v>7</v>
      </c>
      <c r="B26" s="9" t="s">
        <v>204</v>
      </c>
      <c r="C26" s="26" t="s">
        <v>51</v>
      </c>
      <c r="D26" s="26">
        <f>Dados!D11</f>
        <v>200</v>
      </c>
      <c r="E26" s="26">
        <f t="shared" si="0"/>
        <v>310.97199999999998</v>
      </c>
      <c r="F26" s="26">
        <f t="shared" si="1"/>
        <v>-15.128800000000002</v>
      </c>
      <c r="G26" s="48">
        <f t="shared" si="2"/>
        <v>0.65961008279416367</v>
      </c>
      <c r="H26" s="26">
        <f t="shared" si="3"/>
        <v>236.5733333333333</v>
      </c>
      <c r="I26" s="26">
        <f t="shared" si="4"/>
        <v>-36.573333333333295</v>
      </c>
      <c r="J26" s="26">
        <f t="shared" si="5"/>
        <v>36.573333333333295</v>
      </c>
      <c r="K26" s="26">
        <f t="shared" si="6"/>
        <v>1337.6087111111083</v>
      </c>
      <c r="L26" s="27">
        <f t="shared" si="7"/>
        <v>0.18286666666666648</v>
      </c>
      <c r="M26" s="27">
        <f t="shared" si="8"/>
        <v>-0.18286666666666648</v>
      </c>
      <c r="N26" s="26"/>
      <c r="O26" s="26"/>
      <c r="P26" s="26"/>
      <c r="Q26" s="26"/>
      <c r="R26" s="27"/>
      <c r="S26" s="27"/>
      <c r="T26" s="26"/>
    </row>
    <row r="27" spans="1:20" x14ac:dyDescent="0.3">
      <c r="A27" s="9">
        <v>8</v>
      </c>
      <c r="B27" s="9" t="s">
        <v>205</v>
      </c>
      <c r="C27" s="26" t="s">
        <v>51</v>
      </c>
      <c r="D27" s="26">
        <f>Dados!D12</f>
        <v>300</v>
      </c>
      <c r="E27" s="26">
        <f t="shared" si="0"/>
        <v>284.16863999999998</v>
      </c>
      <c r="F27" s="26">
        <f t="shared" si="1"/>
        <v>-16.296256000000003</v>
      </c>
      <c r="G27" s="48">
        <f t="shared" si="2"/>
        <v>1.0633800098420432</v>
      </c>
      <c r="H27" s="26">
        <f t="shared" si="3"/>
        <v>315.56607999999994</v>
      </c>
      <c r="I27" s="26">
        <f t="shared" si="4"/>
        <v>-15.566079999999943</v>
      </c>
      <c r="J27" s="26">
        <f t="shared" si="5"/>
        <v>15.566079999999943</v>
      </c>
      <c r="K27" s="26">
        <f t="shared" si="6"/>
        <v>242.30284656639822</v>
      </c>
      <c r="L27" s="27">
        <f t="shared" si="7"/>
        <v>5.1886933333333142E-2</v>
      </c>
      <c r="M27" s="27">
        <f t="shared" si="8"/>
        <v>-5.1886933333333142E-2</v>
      </c>
      <c r="N27" s="26"/>
      <c r="O27" s="26"/>
      <c r="P27" s="26"/>
      <c r="Q27" s="26"/>
      <c r="R27" s="27"/>
      <c r="S27" s="27"/>
      <c r="T27" s="26"/>
    </row>
    <row r="28" spans="1:20" x14ac:dyDescent="0.3">
      <c r="A28" s="9">
        <v>9</v>
      </c>
      <c r="B28" s="9" t="s">
        <v>206</v>
      </c>
      <c r="C28" s="26" t="s">
        <v>51</v>
      </c>
      <c r="D28" s="26">
        <f>Dados!D13</f>
        <v>350</v>
      </c>
      <c r="E28" s="26">
        <f t="shared" si="0"/>
        <v>264.49823046568912</v>
      </c>
      <c r="F28" s="26">
        <f t="shared" si="1"/>
        <v>-16.63367135343109</v>
      </c>
      <c r="G28" s="48">
        <f t="shared" si="2"/>
        <v>1.3262238232506247</v>
      </c>
      <c r="H28" s="26">
        <f t="shared" si="3"/>
        <v>355.59896036593665</v>
      </c>
      <c r="I28" s="26">
        <f t="shared" si="4"/>
        <v>-5.598960365936648</v>
      </c>
      <c r="J28" s="26">
        <f t="shared" si="5"/>
        <v>5.598960365936648</v>
      </c>
      <c r="K28" s="26">
        <f t="shared" si="6"/>
        <v>31.348357179329444</v>
      </c>
      <c r="L28" s="27">
        <f t="shared" si="7"/>
        <v>1.5997029616961853E-2</v>
      </c>
      <c r="M28" s="27">
        <f t="shared" si="8"/>
        <v>-1.5997029616961853E-2</v>
      </c>
      <c r="N28" s="26"/>
      <c r="O28" s="26"/>
      <c r="P28" s="26"/>
      <c r="Q28" s="26"/>
      <c r="R28" s="27"/>
      <c r="S28" s="27"/>
      <c r="T28" s="26"/>
    </row>
    <row r="29" spans="1:20" x14ac:dyDescent="0.3">
      <c r="A29" s="9">
        <v>10</v>
      </c>
      <c r="B29" s="9" t="s">
        <v>207</v>
      </c>
      <c r="C29" s="26" t="s">
        <v>51</v>
      </c>
      <c r="D29" s="26">
        <f>Dados!D14</f>
        <v>200</v>
      </c>
      <c r="E29" s="26">
        <f t="shared" si="0"/>
        <v>219.68931623666828</v>
      </c>
      <c r="F29" s="26">
        <f t="shared" si="1"/>
        <v>-19.451195640990065</v>
      </c>
      <c r="G29" s="48">
        <f t="shared" si="2"/>
        <v>0.93148568320106073</v>
      </c>
      <c r="H29" s="26">
        <f t="shared" si="3"/>
        <v>233.12466304776325</v>
      </c>
      <c r="I29" s="26">
        <f t="shared" si="4"/>
        <v>-33.124663047763249</v>
      </c>
      <c r="J29" s="26">
        <f t="shared" si="5"/>
        <v>33.124663047763249</v>
      </c>
      <c r="K29" s="26">
        <f t="shared" si="6"/>
        <v>1097.243302027852</v>
      </c>
      <c r="L29" s="27">
        <f t="shared" si="7"/>
        <v>0.16562331523881624</v>
      </c>
      <c r="M29" s="27">
        <f t="shared" si="8"/>
        <v>-0.16562331523881624</v>
      </c>
      <c r="N29" s="26"/>
      <c r="O29" s="26"/>
      <c r="P29" s="26"/>
      <c r="Q29" s="26"/>
      <c r="R29" s="27"/>
      <c r="S29" s="27"/>
      <c r="T29" s="26"/>
    </row>
    <row r="30" spans="1:20" x14ac:dyDescent="0.3">
      <c r="A30" s="9">
        <v>11</v>
      </c>
      <c r="B30" s="9" t="s">
        <v>208</v>
      </c>
      <c r="C30" s="26" t="s">
        <v>51</v>
      </c>
      <c r="D30" s="26">
        <f>Dados!D15</f>
        <v>150</v>
      </c>
      <c r="E30" s="26">
        <f t="shared" si="0"/>
        <v>221.97328464219788</v>
      </c>
      <c r="F30" s="26">
        <f t="shared" si="1"/>
        <v>-17.277679236338098</v>
      </c>
      <c r="G30" s="48">
        <f t="shared" si="2"/>
        <v>0.66445415672609398</v>
      </c>
      <c r="H30" s="26">
        <f t="shared" si="3"/>
        <v>132.07908330466302</v>
      </c>
      <c r="I30" s="26">
        <f t="shared" si="4"/>
        <v>17.920916695336985</v>
      </c>
      <c r="J30" s="26">
        <f t="shared" si="5"/>
        <v>17.920916695336985</v>
      </c>
      <c r="K30" s="26">
        <f t="shared" si="6"/>
        <v>321.15925520120788</v>
      </c>
      <c r="L30" s="27">
        <f t="shared" si="7"/>
        <v>0.11947277796891323</v>
      </c>
      <c r="M30" s="27">
        <f t="shared" si="8"/>
        <v>0.11947277796891323</v>
      </c>
      <c r="N30" s="26"/>
      <c r="O30" s="26"/>
      <c r="P30" s="26"/>
      <c r="Q30" s="26"/>
      <c r="R30" s="27"/>
      <c r="S30" s="27"/>
      <c r="T30" s="26"/>
    </row>
    <row r="31" spans="1:20" x14ac:dyDescent="0.3">
      <c r="A31" s="9">
        <v>12</v>
      </c>
      <c r="B31" s="9" t="s">
        <v>209</v>
      </c>
      <c r="C31" s="26" t="s">
        <v>51</v>
      </c>
      <c r="D31" s="26">
        <f>Dados!D16</f>
        <v>400</v>
      </c>
      <c r="E31" s="26">
        <f t="shared" si="0"/>
        <v>341.86635032966376</v>
      </c>
      <c r="F31" s="26">
        <f t="shared" si="1"/>
        <v>-3.5606047439577004</v>
      </c>
      <c r="G31" s="48">
        <f t="shared" si="2"/>
        <v>1.0953803722526292</v>
      </c>
      <c r="H31" s="26">
        <f t="shared" si="3"/>
        <v>217.66921489110618</v>
      </c>
      <c r="I31" s="26">
        <f t="shared" si="4"/>
        <v>182.33078510889382</v>
      </c>
      <c r="J31" s="26">
        <f t="shared" si="5"/>
        <v>182.33078510889382</v>
      </c>
      <c r="K31" s="26">
        <f t="shared" si="6"/>
        <v>33244.515198425615</v>
      </c>
      <c r="L31" s="27">
        <f t="shared" si="7"/>
        <v>0.45582696277223456</v>
      </c>
      <c r="M31" s="27">
        <f t="shared" si="8"/>
        <v>0.45582696277223456</v>
      </c>
      <c r="N31" s="26"/>
      <c r="O31" s="26"/>
      <c r="P31" s="26"/>
      <c r="Q31" s="26"/>
      <c r="R31" s="27"/>
      <c r="S31" s="27"/>
      <c r="T31" s="26"/>
    </row>
    <row r="32" spans="1:20" x14ac:dyDescent="0.3">
      <c r="A32" s="9">
        <v>13</v>
      </c>
      <c r="B32" s="9" t="s">
        <v>210</v>
      </c>
      <c r="C32" s="26" t="s">
        <v>51</v>
      </c>
      <c r="D32" s="26">
        <f>Dados!D17</f>
        <v>550</v>
      </c>
      <c r="E32" s="26">
        <f t="shared" si="0"/>
        <v>399.43018559964332</v>
      </c>
      <c r="F32" s="26">
        <f t="shared" si="1"/>
        <v>2.5518392574360265</v>
      </c>
      <c r="G32" s="48">
        <f t="shared" si="2"/>
        <v>1.3414451356573798</v>
      </c>
      <c r="H32" s="26">
        <f t="shared" si="3"/>
        <v>448.66913933832825</v>
      </c>
      <c r="I32" s="26">
        <f t="shared" si="4"/>
        <v>101.33086066167175</v>
      </c>
      <c r="J32" s="26">
        <f t="shared" si="5"/>
        <v>101.33086066167175</v>
      </c>
      <c r="K32" s="26">
        <f t="shared" si="6"/>
        <v>10267.943322435136</v>
      </c>
      <c r="L32" s="27">
        <f t="shared" si="7"/>
        <v>0.18423792847576681</v>
      </c>
      <c r="M32" s="27">
        <f t="shared" si="8"/>
        <v>0.18423792847576681</v>
      </c>
      <c r="N32" s="26"/>
      <c r="O32" s="26"/>
      <c r="P32" s="26"/>
      <c r="Q32" s="26"/>
      <c r="R32" s="27"/>
      <c r="S32" s="27"/>
      <c r="T32" s="26"/>
    </row>
    <row r="33" spans="1:20" x14ac:dyDescent="0.3">
      <c r="A33" s="9">
        <v>14</v>
      </c>
      <c r="B33" s="9" t="s">
        <v>211</v>
      </c>
      <c r="C33" s="26" t="s">
        <v>51</v>
      </c>
      <c r="D33" s="26">
        <f>Dados!D18</f>
        <v>350</v>
      </c>
      <c r="E33" s="26">
        <f t="shared" si="0"/>
        <v>380.99147052065427</v>
      </c>
      <c r="F33" s="26">
        <f t="shared" si="1"/>
        <v>0.45278382379351911</v>
      </c>
      <c r="G33" s="48">
        <f t="shared" si="2"/>
        <v>0.92763669922903491</v>
      </c>
      <c r="H33" s="26">
        <f t="shared" si="3"/>
        <v>374.44050105854234</v>
      </c>
      <c r="I33" s="26">
        <f t="shared" si="4"/>
        <v>-24.440501058542338</v>
      </c>
      <c r="J33" s="26">
        <f t="shared" si="5"/>
        <v>24.440501058542338</v>
      </c>
      <c r="K33" s="26">
        <f t="shared" si="6"/>
        <v>597.33809199260918</v>
      </c>
      <c r="L33" s="27">
        <f t="shared" si="7"/>
        <v>6.9830003024406687E-2</v>
      </c>
      <c r="M33" s="27">
        <f t="shared" si="8"/>
        <v>-6.9830003024406687E-2</v>
      </c>
      <c r="N33" s="26"/>
      <c r="O33" s="26"/>
      <c r="P33" s="26"/>
      <c r="Q33" s="26"/>
      <c r="R33" s="27"/>
      <c r="S33" s="27"/>
      <c r="T33" s="26"/>
    </row>
    <row r="34" spans="1:20" x14ac:dyDescent="0.3">
      <c r="A34" s="9">
        <v>15</v>
      </c>
      <c r="B34" s="9" t="s">
        <v>212</v>
      </c>
      <c r="C34" s="26" t="s">
        <v>51</v>
      </c>
      <c r="D34" s="26">
        <f>Dados!D19</f>
        <v>250</v>
      </c>
      <c r="E34" s="26">
        <f t="shared" si="0"/>
        <v>377.28779560488493</v>
      </c>
      <c r="F34" s="26">
        <f t="shared" si="1"/>
        <v>3.713794983723312E-2</v>
      </c>
      <c r="G34" s="48">
        <f t="shared" si="2"/>
        <v>0.6639051508374324</v>
      </c>
      <c r="H34" s="26">
        <f t="shared" si="3"/>
        <v>253.45222035845379</v>
      </c>
      <c r="I34" s="26">
        <f t="shared" si="4"/>
        <v>-3.4522203584537863</v>
      </c>
      <c r="J34" s="26">
        <f t="shared" si="5"/>
        <v>3.4522203584537863</v>
      </c>
      <c r="K34" s="26">
        <f t="shared" si="6"/>
        <v>11.917825403322789</v>
      </c>
      <c r="L34" s="27">
        <f t="shared" si="7"/>
        <v>1.3808881433815146E-2</v>
      </c>
      <c r="M34" s="27">
        <f t="shared" si="8"/>
        <v>-1.3808881433815146E-2</v>
      </c>
      <c r="N34" s="26"/>
      <c r="O34" s="26"/>
      <c r="P34" s="26"/>
      <c r="Q34" s="26"/>
      <c r="R34" s="27"/>
      <c r="S34" s="27"/>
      <c r="T34" s="26"/>
    </row>
    <row r="35" spans="1:20" x14ac:dyDescent="0.3">
      <c r="A35" s="9">
        <v>16</v>
      </c>
      <c r="B35" s="9" t="s">
        <v>213</v>
      </c>
      <c r="C35" s="26" t="s">
        <v>51</v>
      </c>
      <c r="D35" s="26">
        <f>Dados!D20</f>
        <v>550</v>
      </c>
      <c r="E35" s="26">
        <f t="shared" si="0"/>
        <v>477.15193596232479</v>
      </c>
      <c r="F35" s="26">
        <f t="shared" si="1"/>
        <v>10.019838190597495</v>
      </c>
      <c r="G35" s="48">
        <f t="shared" si="2"/>
        <v>1.1125680640783318</v>
      </c>
      <c r="H35" s="26">
        <f t="shared" si="3"/>
        <v>413.31432617737016</v>
      </c>
      <c r="I35" s="26">
        <f t="shared" si="4"/>
        <v>136.68567382262984</v>
      </c>
      <c r="J35" s="26">
        <f t="shared" si="5"/>
        <v>136.68567382262984</v>
      </c>
      <c r="K35" s="26">
        <f t="shared" si="6"/>
        <v>18682.973428346355</v>
      </c>
      <c r="L35" s="27">
        <f t="shared" si="7"/>
        <v>0.24851940695023605</v>
      </c>
      <c r="M35" s="27">
        <f t="shared" si="8"/>
        <v>0.24851940695023605</v>
      </c>
      <c r="N35" s="26"/>
      <c r="O35" s="26"/>
      <c r="P35" s="26"/>
      <c r="Q35" s="26"/>
      <c r="R35" s="27"/>
      <c r="S35" s="27"/>
      <c r="T35" s="26"/>
    </row>
    <row r="36" spans="1:20" x14ac:dyDescent="0.3">
      <c r="A36" s="9">
        <v>17</v>
      </c>
      <c r="B36" s="9" t="s">
        <v>214</v>
      </c>
      <c r="C36" s="26" t="s">
        <v>51</v>
      </c>
      <c r="D36" s="26">
        <f>Dados!D21</f>
        <v>550</v>
      </c>
      <c r="E36" s="26">
        <f t="shared" si="0"/>
        <v>425.43882426747757</v>
      </c>
      <c r="F36" s="26">
        <f t="shared" si="1"/>
        <v>3.8465432020530246</v>
      </c>
      <c r="G36" s="48">
        <f t="shared" si="2"/>
        <v>1.3268464388630412</v>
      </c>
      <c r="H36" s="26">
        <f t="shared" si="3"/>
        <v>653.51420666701324</v>
      </c>
      <c r="I36" s="26">
        <f t="shared" si="4"/>
        <v>-103.51420666701324</v>
      </c>
      <c r="J36" s="26">
        <f t="shared" si="5"/>
        <v>103.51420666701324</v>
      </c>
      <c r="K36" s="26">
        <f t="shared" si="6"/>
        <v>10715.190981901129</v>
      </c>
      <c r="L36" s="27">
        <f t="shared" si="7"/>
        <v>0.18820764848547861</v>
      </c>
      <c r="M36" s="27">
        <f t="shared" si="8"/>
        <v>-0.18820764848547861</v>
      </c>
      <c r="N36" s="26"/>
      <c r="O36" s="26"/>
      <c r="P36" s="26"/>
      <c r="Q36" s="26"/>
      <c r="R36" s="27"/>
      <c r="S36" s="27"/>
      <c r="T36" s="26"/>
    </row>
    <row r="37" spans="1:20" x14ac:dyDescent="0.3">
      <c r="A37" s="9">
        <v>18</v>
      </c>
      <c r="B37" s="9" t="s">
        <v>215</v>
      </c>
      <c r="C37" s="26" t="s">
        <v>51</v>
      </c>
      <c r="D37" s="26">
        <f>Dados!D22</f>
        <v>400</v>
      </c>
      <c r="E37" s="26">
        <f t="shared" si="0"/>
        <v>430.81970839823248</v>
      </c>
      <c r="F37" s="26">
        <f t="shared" si="1"/>
        <v>3.9999772949232129</v>
      </c>
      <c r="G37" s="48">
        <f t="shared" si="2"/>
        <v>0.92788447879787439</v>
      </c>
      <c r="H37" s="26">
        <f t="shared" si="3"/>
        <v>398.22086130675865</v>
      </c>
      <c r="I37" s="26">
        <f t="shared" si="4"/>
        <v>1.7791386932413502</v>
      </c>
      <c r="J37" s="26">
        <f t="shared" si="5"/>
        <v>1.7791386932413502</v>
      </c>
      <c r="K37" s="26">
        <f t="shared" si="6"/>
        <v>3.1653344897885392</v>
      </c>
      <c r="L37" s="27">
        <f t="shared" si="7"/>
        <v>4.4478467331033758E-3</v>
      </c>
      <c r="M37" s="27">
        <f t="shared" si="8"/>
        <v>4.4478467331033758E-3</v>
      </c>
      <c r="N37" s="26"/>
      <c r="O37" s="26"/>
      <c r="P37" s="26"/>
      <c r="Q37" s="26"/>
      <c r="R37" s="27"/>
      <c r="S37" s="27"/>
      <c r="T37" s="26"/>
    </row>
    <row r="38" spans="1:20" x14ac:dyDescent="0.3">
      <c r="A38" s="9">
        <v>19</v>
      </c>
      <c r="B38" s="9" t="s">
        <v>216</v>
      </c>
      <c r="C38" s="26" t="s">
        <v>51</v>
      </c>
      <c r="D38" s="26">
        <f>Dados!D23</f>
        <v>350</v>
      </c>
      <c r="E38" s="26">
        <f t="shared" si="0"/>
        <v>508.71092862802595</v>
      </c>
      <c r="F38" s="26">
        <f t="shared" si="1"/>
        <v>11.38910158841024</v>
      </c>
      <c r="G38" s="48">
        <f t="shared" si="2"/>
        <v>0.67113766355126547</v>
      </c>
      <c r="H38" s="26">
        <f t="shared" si="3"/>
        <v>288.67902901719947</v>
      </c>
      <c r="I38" s="26">
        <f t="shared" si="4"/>
        <v>61.320970982800532</v>
      </c>
      <c r="J38" s="26">
        <f t="shared" si="5"/>
        <v>61.320970982800532</v>
      </c>
      <c r="K38" s="26">
        <f t="shared" si="6"/>
        <v>3760.2614822734649</v>
      </c>
      <c r="L38" s="27">
        <f t="shared" si="7"/>
        <v>0.17520277423657296</v>
      </c>
      <c r="M38" s="27">
        <f t="shared" si="8"/>
        <v>0.17520277423657296</v>
      </c>
      <c r="N38" s="26"/>
      <c r="O38" s="26"/>
      <c r="P38" s="26"/>
      <c r="Q38" s="26"/>
      <c r="R38" s="27"/>
      <c r="S38" s="27"/>
      <c r="T38" s="26"/>
    </row>
    <row r="39" spans="1:20" x14ac:dyDescent="0.3">
      <c r="A39" s="9">
        <v>20</v>
      </c>
      <c r="B39" s="9" t="s">
        <v>217</v>
      </c>
      <c r="C39" s="26" t="s">
        <v>51</v>
      </c>
      <c r="D39" s="26">
        <f>Dados!D24</f>
        <v>600</v>
      </c>
      <c r="E39" s="26">
        <f t="shared" si="0"/>
        <v>535.45428453629722</v>
      </c>
      <c r="F39" s="26">
        <f t="shared" si="1"/>
        <v>12.924527020396344</v>
      </c>
      <c r="G39" s="48">
        <f t="shared" si="2"/>
        <v>1.1149607967770916</v>
      </c>
      <c r="H39" s="26">
        <f t="shared" si="3"/>
        <v>578.64668374498217</v>
      </c>
      <c r="I39" s="26">
        <f t="shared" si="4"/>
        <v>21.35331625501783</v>
      </c>
      <c r="J39" s="26">
        <f t="shared" si="5"/>
        <v>21.35331625501783</v>
      </c>
      <c r="K39" s="26">
        <f t="shared" si="6"/>
        <v>455.9641150868087</v>
      </c>
      <c r="L39" s="27">
        <f t="shared" si="7"/>
        <v>3.558886042502972E-2</v>
      </c>
      <c r="M39" s="27">
        <f t="shared" si="8"/>
        <v>3.558886042502972E-2</v>
      </c>
      <c r="N39" s="26"/>
      <c r="O39" s="26"/>
      <c r="P39" s="26"/>
      <c r="Q39" s="26"/>
      <c r="R39" s="27"/>
      <c r="S39" s="27"/>
      <c r="T39" s="26"/>
    </row>
    <row r="40" spans="1:20" x14ac:dyDescent="0.3">
      <c r="A40" s="9">
        <v>21</v>
      </c>
      <c r="B40" s="9" t="s">
        <v>218</v>
      </c>
      <c r="C40" s="26" t="s">
        <v>51</v>
      </c>
      <c r="D40" s="26">
        <f>Dados!D25</f>
        <v>750</v>
      </c>
      <c r="E40" s="26">
        <f t="shared" si="0"/>
        <v>561.87579271887614</v>
      </c>
      <c r="F40" s="26">
        <f t="shared" si="1"/>
        <v>14.274225136614602</v>
      </c>
      <c r="G40" s="48">
        <f t="shared" si="2"/>
        <v>1.3292368810598547</v>
      </c>
      <c r="H40" s="26">
        <f t="shared" si="3"/>
        <v>727.61447326194559</v>
      </c>
      <c r="I40" s="26">
        <f t="shared" si="4"/>
        <v>22.385526738054409</v>
      </c>
      <c r="J40" s="26">
        <f t="shared" si="5"/>
        <v>22.385526738054409</v>
      </c>
      <c r="K40" s="26">
        <f t="shared" si="6"/>
        <v>501.11180734014886</v>
      </c>
      <c r="L40" s="27">
        <f t="shared" si="7"/>
        <v>2.9847368984072545E-2</v>
      </c>
      <c r="M40" s="27">
        <f t="shared" si="8"/>
        <v>2.9847368984072545E-2</v>
      </c>
      <c r="N40" s="26"/>
      <c r="O40" s="26"/>
      <c r="P40" s="26"/>
      <c r="Q40" s="26"/>
      <c r="R40" s="27"/>
      <c r="S40" s="27"/>
      <c r="T40" s="26"/>
    </row>
    <row r="41" spans="1:20" x14ac:dyDescent="0.3">
      <c r="A41" s="9">
        <v>22</v>
      </c>
      <c r="B41" s="9" t="s">
        <v>219</v>
      </c>
      <c r="C41" s="26" t="s">
        <v>51</v>
      </c>
      <c r="D41" s="26">
        <f>Dados!D26</f>
        <v>500</v>
      </c>
      <c r="E41" s="26">
        <f t="shared" si="0"/>
        <v>546.31814992981526</v>
      </c>
      <c r="F41" s="26">
        <f t="shared" si="1"/>
        <v>11.291038344047054</v>
      </c>
      <c r="G41" s="48">
        <f t="shared" si="2"/>
        <v>0.92408442283799008</v>
      </c>
      <c r="H41" s="26">
        <f t="shared" si="3"/>
        <v>534.60065902722806</v>
      </c>
      <c r="I41" s="26">
        <f t="shared" si="4"/>
        <v>-34.600659027228062</v>
      </c>
      <c r="J41" s="26">
        <f t="shared" si="5"/>
        <v>34.600659027228062</v>
      </c>
      <c r="K41" s="26">
        <f t="shared" si="6"/>
        <v>1197.2056051184989</v>
      </c>
      <c r="L41" s="27">
        <f t="shared" si="7"/>
        <v>6.9201318054456118E-2</v>
      </c>
      <c r="M41" s="27">
        <f t="shared" si="8"/>
        <v>-6.9201318054456118E-2</v>
      </c>
      <c r="N41" s="26"/>
      <c r="O41" s="26"/>
      <c r="P41" s="26"/>
      <c r="Q41" s="26"/>
      <c r="R41" s="27"/>
      <c r="S41" s="27"/>
      <c r="T41" s="26"/>
    </row>
    <row r="42" spans="1:20" x14ac:dyDescent="0.3">
      <c r="A42" s="9">
        <v>23</v>
      </c>
      <c r="B42" s="9" t="s">
        <v>220</v>
      </c>
      <c r="C42" s="26" t="s">
        <v>51</v>
      </c>
      <c r="D42" s="26">
        <f>Dados!D27</f>
        <v>400</v>
      </c>
      <c r="E42" s="26">
        <f t="shared" si="0"/>
        <v>588.32416507408061</v>
      </c>
      <c r="F42" s="26">
        <f t="shared" si="1"/>
        <v>14.362536024068884</v>
      </c>
      <c r="G42" s="48">
        <f t="shared" si="2"/>
        <v>0.67376554869386385</v>
      </c>
      <c r="H42" s="26">
        <f t="shared" si="3"/>
        <v>374.23252779283763</v>
      </c>
      <c r="I42" s="26">
        <f t="shared" si="4"/>
        <v>25.767472207162371</v>
      </c>
      <c r="J42" s="26">
        <f t="shared" si="5"/>
        <v>25.767472207162371</v>
      </c>
      <c r="K42" s="26">
        <f t="shared" si="6"/>
        <v>663.96262394688517</v>
      </c>
      <c r="L42" s="27">
        <f t="shared" si="7"/>
        <v>6.4418680517905932E-2</v>
      </c>
      <c r="M42" s="27">
        <f t="shared" si="8"/>
        <v>6.4418680517905932E-2</v>
      </c>
      <c r="N42" s="26"/>
      <c r="O42" s="26"/>
      <c r="P42" s="26"/>
      <c r="Q42" s="26"/>
      <c r="R42" s="27"/>
      <c r="S42" s="27"/>
      <c r="T42" s="26"/>
    </row>
    <row r="43" spans="1:20" x14ac:dyDescent="0.3">
      <c r="A43" s="9">
        <v>24</v>
      </c>
      <c r="B43" s="9" t="s">
        <v>221</v>
      </c>
      <c r="C43" s="26" t="s">
        <v>51</v>
      </c>
      <c r="D43" s="26">
        <f>Dados!D28</f>
        <v>650</v>
      </c>
      <c r="E43" s="26">
        <f t="shared" si="0"/>
        <v>586.9214512153826</v>
      </c>
      <c r="F43" s="26">
        <f t="shared" si="1"/>
        <v>12.786011035792196</v>
      </c>
      <c r="G43" s="48">
        <f t="shared" si="2"/>
        <v>1.1127146313573901</v>
      </c>
      <c r="H43" s="26">
        <f t="shared" si="3"/>
        <v>671.97204446334956</v>
      </c>
      <c r="I43" s="26">
        <f t="shared" si="4"/>
        <v>-21.972044463349562</v>
      </c>
      <c r="J43" s="26">
        <f t="shared" si="5"/>
        <v>21.972044463349562</v>
      </c>
      <c r="K43" s="26">
        <f t="shared" si="6"/>
        <v>482.77073789941011</v>
      </c>
      <c r="L43" s="27">
        <f t="shared" si="7"/>
        <v>3.3803145328230096E-2</v>
      </c>
      <c r="M43" s="27">
        <f t="shared" si="8"/>
        <v>-3.3803145328230096E-2</v>
      </c>
      <c r="N43" s="26"/>
      <c r="O43" s="26"/>
      <c r="P43" s="26"/>
      <c r="Q43" s="26"/>
      <c r="R43" s="27"/>
      <c r="S43" s="27"/>
      <c r="T43" s="26"/>
    </row>
    <row r="44" spans="1:20" x14ac:dyDescent="0.3">
      <c r="A44" s="12">
        <v>25</v>
      </c>
      <c r="B44" s="12" t="s">
        <v>222</v>
      </c>
      <c r="C44" s="28" t="s">
        <v>54</v>
      </c>
      <c r="D44" s="28">
        <f>Dados!D29</f>
        <v>850</v>
      </c>
      <c r="E44" s="28">
        <f t="shared" si="0"/>
        <v>631.51321430752216</v>
      </c>
      <c r="F44" s="28">
        <f t="shared" si="1"/>
        <v>15.966586241426931</v>
      </c>
      <c r="G44" s="49">
        <f t="shared" si="2"/>
        <v>1.3342578423444298</v>
      </c>
      <c r="H44" s="28">
        <f t="shared" si="3"/>
        <v>797.15327667107215</v>
      </c>
      <c r="I44" s="28">
        <f t="shared" si="4"/>
        <v>52.846723328927851</v>
      </c>
      <c r="J44" s="28">
        <f t="shared" si="5"/>
        <v>52.846723328927851</v>
      </c>
      <c r="K44" s="28">
        <f t="shared" si="6"/>
        <v>2792.776166604247</v>
      </c>
      <c r="L44" s="29">
        <f t="shared" si="7"/>
        <v>6.2172615681091586E-2</v>
      </c>
      <c r="M44" s="29">
        <f t="shared" si="8"/>
        <v>6.2172615681091586E-2</v>
      </c>
      <c r="N44" s="28">
        <f>($E$43+(A44-24)*$F$43)*G40</f>
        <v>797.15327667107215</v>
      </c>
      <c r="O44" s="28">
        <f>D44-N44</f>
        <v>52.846723328927851</v>
      </c>
      <c r="P44" s="28">
        <f>ABS(O44)</f>
        <v>52.846723328927851</v>
      </c>
      <c r="Q44" s="28">
        <f>O44^2</f>
        <v>2792.776166604247</v>
      </c>
      <c r="R44" s="29">
        <f>P44/D44</f>
        <v>6.2172615681091586E-2</v>
      </c>
      <c r="S44" s="29">
        <f>O44/D44</f>
        <v>6.2172615681091586E-2</v>
      </c>
      <c r="T44" s="28"/>
    </row>
    <row r="45" spans="1:20" x14ac:dyDescent="0.3">
      <c r="A45" s="12">
        <v>26</v>
      </c>
      <c r="B45" s="12" t="s">
        <v>223</v>
      </c>
      <c r="C45" s="28" t="s">
        <v>54</v>
      </c>
      <c r="D45" s="28">
        <f>Dados!D30</f>
        <v>600</v>
      </c>
      <c r="E45" s="28">
        <f t="shared" si="0"/>
        <v>648.92902070165019</v>
      </c>
      <c r="F45" s="28">
        <f t="shared" si="1"/>
        <v>16.111508256697043</v>
      </c>
      <c r="G45" s="49">
        <f t="shared" si="2"/>
        <v>0.92423920114104607</v>
      </c>
      <c r="H45" s="28">
        <f t="shared" si="3"/>
        <v>598.32599778953261</v>
      </c>
      <c r="I45" s="28">
        <f t="shared" si="4"/>
        <v>1.6740022104673926</v>
      </c>
      <c r="J45" s="28">
        <f t="shared" si="5"/>
        <v>1.6740022104673926</v>
      </c>
      <c r="K45" s="28">
        <f t="shared" si="6"/>
        <v>2.8022834006497166</v>
      </c>
      <c r="L45" s="29">
        <f t="shared" si="7"/>
        <v>2.7900036841123211E-3</v>
      </c>
      <c r="M45" s="29">
        <f t="shared" si="8"/>
        <v>2.7900036841123211E-3</v>
      </c>
      <c r="N45" s="28">
        <f>($E$43+(A45-24)*$F$43)*G41</f>
        <v>565.99567775442279</v>
      </c>
      <c r="O45" s="28">
        <f>D45-N45</f>
        <v>34.004322245577214</v>
      </c>
      <c r="P45" s="28">
        <f>ABS(O45)</f>
        <v>34.004322245577214</v>
      </c>
      <c r="Q45" s="28">
        <f>O45^2</f>
        <v>1156.2939313810573</v>
      </c>
      <c r="R45" s="29">
        <f>P45/D45</f>
        <v>5.6673870409295356E-2</v>
      </c>
      <c r="S45" s="29">
        <f>O45/D45</f>
        <v>5.6673870409295356E-2</v>
      </c>
      <c r="T45" s="28"/>
    </row>
    <row r="46" spans="1:20" x14ac:dyDescent="0.3">
      <c r="A46" s="12">
        <v>27</v>
      </c>
      <c r="B46" s="12" t="s">
        <v>224</v>
      </c>
      <c r="C46" s="28" t="s">
        <v>54</v>
      </c>
      <c r="D46" s="28">
        <f>Dados!D31</f>
        <v>450</v>
      </c>
      <c r="E46" s="28">
        <f t="shared" si="0"/>
        <v>667.31859509745573</v>
      </c>
      <c r="F46" s="28">
        <f t="shared" si="1"/>
        <v>16.339314870607893</v>
      </c>
      <c r="G46" s="49">
        <f t="shared" si="2"/>
        <v>0.67393805428116349</v>
      </c>
      <c r="H46" s="28">
        <f t="shared" si="3"/>
        <v>448.08139689727824</v>
      </c>
      <c r="I46" s="28">
        <f t="shared" si="4"/>
        <v>1.9186031027217609</v>
      </c>
      <c r="J46" s="28">
        <f t="shared" si="5"/>
        <v>1.9186031027217609</v>
      </c>
      <c r="K46" s="28">
        <f t="shared" si="6"/>
        <v>3.6810378657735678</v>
      </c>
      <c r="L46" s="29">
        <f t="shared" si="7"/>
        <v>4.2635624504928022E-3</v>
      </c>
      <c r="M46" s="29">
        <f t="shared" si="8"/>
        <v>4.2635624504928022E-3</v>
      </c>
      <c r="N46" s="28">
        <f>($E$43+(A46-24)*$F$43)*G42</f>
        <v>421.29177484174011</v>
      </c>
      <c r="O46" s="28">
        <f>D46-N46</f>
        <v>28.708225158259893</v>
      </c>
      <c r="P46" s="28">
        <f>ABS(O46)</f>
        <v>28.708225158259893</v>
      </c>
      <c r="Q46" s="28">
        <f>O46^2</f>
        <v>824.16219173734623</v>
      </c>
      <c r="R46" s="29">
        <f>P46/D46</f>
        <v>6.3796055907244201E-2</v>
      </c>
      <c r="S46" s="29">
        <f>O46/D46</f>
        <v>6.3796055907244201E-2</v>
      </c>
      <c r="T46" s="28"/>
    </row>
    <row r="47" spans="1:20" x14ac:dyDescent="0.3">
      <c r="A47" s="12">
        <v>28</v>
      </c>
      <c r="B47" s="12" t="s">
        <v>225</v>
      </c>
      <c r="C47" s="28" t="s">
        <v>54</v>
      </c>
      <c r="D47" s="28">
        <f>Dados!D32</f>
        <v>700</v>
      </c>
      <c r="E47" s="28">
        <f t="shared" si="0"/>
        <v>640.0052733953886</v>
      </c>
      <c r="F47" s="28">
        <f t="shared" si="1"/>
        <v>11.974051213340392</v>
      </c>
      <c r="G47" s="49">
        <f t="shared" si="2"/>
        <v>1.1070225383273533</v>
      </c>
      <c r="H47" s="28">
        <f t="shared" si="3"/>
        <v>760.7161592646778</v>
      </c>
      <c r="I47" s="28">
        <f t="shared" si="4"/>
        <v>-60.716159264677799</v>
      </c>
      <c r="J47" s="28">
        <f t="shared" si="5"/>
        <v>60.716159264677799</v>
      </c>
      <c r="K47" s="28">
        <f t="shared" si="6"/>
        <v>3686.4519958537198</v>
      </c>
      <c r="L47" s="29">
        <f t="shared" si="7"/>
        <v>8.6737370378111148E-2</v>
      </c>
      <c r="M47" s="29">
        <f t="shared" si="8"/>
        <v>-8.6737370378111148E-2</v>
      </c>
      <c r="N47" s="28">
        <f>($E$43+(A47-24)*$F$43)*G43</f>
        <v>709.98481244976108</v>
      </c>
      <c r="O47" s="28">
        <f>D47-N47</f>
        <v>-9.9848124497610797</v>
      </c>
      <c r="P47" s="28">
        <f>ABS(O47)</f>
        <v>9.9848124497610797</v>
      </c>
      <c r="Q47" s="28">
        <f>O47^2</f>
        <v>99.696479656903861</v>
      </c>
      <c r="R47" s="29">
        <f>P47/D47</f>
        <v>1.4264017785372972E-2</v>
      </c>
      <c r="S47" s="29">
        <f>O47/D47</f>
        <v>-1.4264017785372972E-2</v>
      </c>
      <c r="T47" s="28"/>
    </row>
    <row r="48" spans="1:20" x14ac:dyDescent="0.3">
      <c r="A48" s="50">
        <v>29</v>
      </c>
      <c r="B48" s="50" t="s">
        <v>238</v>
      </c>
      <c r="C48" s="51" t="s">
        <v>239</v>
      </c>
      <c r="D48" s="51"/>
      <c r="E48" s="51"/>
      <c r="F48" s="51"/>
      <c r="G48" s="52"/>
      <c r="H48" s="51"/>
      <c r="I48" s="51"/>
      <c r="J48" s="51"/>
      <c r="K48" s="51"/>
      <c r="L48" s="53"/>
      <c r="M48" s="53"/>
      <c r="N48" s="51"/>
      <c r="O48" s="51"/>
      <c r="P48" s="51"/>
      <c r="Q48" s="51"/>
      <c r="R48" s="53"/>
      <c r="S48" s="53"/>
      <c r="T48" s="51">
        <f>($E$47+(A48-28)*$F$47)*G44</f>
        <v>869.90852690562144</v>
      </c>
    </row>
    <row r="49" spans="1:20" x14ac:dyDescent="0.3">
      <c r="A49" s="50">
        <v>30</v>
      </c>
      <c r="B49" s="50" t="s">
        <v>240</v>
      </c>
      <c r="C49" s="51" t="s">
        <v>239</v>
      </c>
      <c r="D49" s="51"/>
      <c r="E49" s="51"/>
      <c r="F49" s="51"/>
      <c r="G49" s="52"/>
      <c r="H49" s="51"/>
      <c r="I49" s="51"/>
      <c r="J49" s="51"/>
      <c r="K49" s="51"/>
      <c r="L49" s="53"/>
      <c r="M49" s="53"/>
      <c r="N49" s="51"/>
      <c r="O49" s="51"/>
      <c r="P49" s="51"/>
      <c r="Q49" s="51"/>
      <c r="R49" s="53"/>
      <c r="S49" s="53"/>
      <c r="T49" s="51">
        <f>($E$47+(A49-28)*$F$47)*G45</f>
        <v>613.65173766469013</v>
      </c>
    </row>
    <row r="50" spans="1:20" x14ac:dyDescent="0.3">
      <c r="A50" s="50">
        <v>31</v>
      </c>
      <c r="B50" s="50" t="s">
        <v>241</v>
      </c>
      <c r="C50" s="51" t="s">
        <v>239</v>
      </c>
      <c r="D50" s="51"/>
      <c r="E50" s="51"/>
      <c r="F50" s="51"/>
      <c r="G50" s="52"/>
      <c r="H50" s="51"/>
      <c r="I50" s="51"/>
      <c r="J50" s="51"/>
      <c r="K50" s="51"/>
      <c r="L50" s="53"/>
      <c r="M50" s="53"/>
      <c r="N50" s="51"/>
      <c r="O50" s="51"/>
      <c r="P50" s="51"/>
      <c r="Q50" s="51"/>
      <c r="R50" s="53"/>
      <c r="S50" s="53"/>
      <c r="T50" s="51">
        <f>($E$47+(A50-28)*$F$47)*G46</f>
        <v>455.53321501151714</v>
      </c>
    </row>
    <row r="51" spans="1:20" x14ac:dyDescent="0.3">
      <c r="A51" s="50">
        <v>32</v>
      </c>
      <c r="B51" s="50" t="s">
        <v>242</v>
      </c>
      <c r="C51" s="51" t="s">
        <v>239</v>
      </c>
      <c r="D51" s="51"/>
      <c r="E51" s="51"/>
      <c r="F51" s="51"/>
      <c r="G51" s="52"/>
      <c r="H51" s="51"/>
      <c r="I51" s="51"/>
      <c r="J51" s="51"/>
      <c r="K51" s="51"/>
      <c r="L51" s="53"/>
      <c r="M51" s="53"/>
      <c r="N51" s="51"/>
      <c r="O51" s="51"/>
      <c r="P51" s="51"/>
      <c r="Q51" s="51"/>
      <c r="R51" s="53"/>
      <c r="S51" s="53"/>
      <c r="T51" s="51">
        <f>($E$47+(A51-28)*$F$47)*G47</f>
        <v>761.5224405700701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"/>
  <sheetViews>
    <sheetView showGridLines="0" zoomScaleNormal="100" workbookViewId="0"/>
  </sheetViews>
  <sheetFormatPr defaultColWidth="8.6640625" defaultRowHeight="14.4" x14ac:dyDescent="0.3"/>
  <cols>
    <col min="1" max="1" width="16" customWidth="1"/>
    <col min="2" max="4" width="8" customWidth="1"/>
    <col min="5" max="5" width="16" customWidth="1"/>
    <col min="6" max="6" width="18" customWidth="1"/>
    <col min="7" max="7" width="16" customWidth="1"/>
    <col min="8" max="9" width="12" customWidth="1"/>
    <col min="10" max="10" width="32" customWidth="1"/>
  </cols>
  <sheetData>
    <row r="1" spans="1:10" ht="17.399999999999999" x14ac:dyDescent="0.3">
      <c r="A1" s="4" t="s">
        <v>243</v>
      </c>
    </row>
    <row r="2" spans="1:10" x14ac:dyDescent="0.3">
      <c r="A2" s="5" t="s">
        <v>244</v>
      </c>
    </row>
    <row r="4" spans="1:10" ht="42" customHeight="1" x14ac:dyDescent="0.3">
      <c r="A4" s="8" t="s">
        <v>245</v>
      </c>
      <c r="B4" s="8" t="s">
        <v>92</v>
      </c>
      <c r="C4" s="8" t="s">
        <v>246</v>
      </c>
      <c r="D4" s="8" t="s">
        <v>247</v>
      </c>
      <c r="E4" s="8" t="s">
        <v>248</v>
      </c>
      <c r="F4" s="8" t="s">
        <v>249</v>
      </c>
      <c r="G4" s="8" t="s">
        <v>250</v>
      </c>
      <c r="H4" s="8" t="s">
        <v>251</v>
      </c>
      <c r="I4" s="8" t="s">
        <v>252</v>
      </c>
      <c r="J4" s="8" t="s">
        <v>253</v>
      </c>
    </row>
    <row r="5" spans="1:10" x14ac:dyDescent="0.3">
      <c r="A5" s="54" t="s">
        <v>9</v>
      </c>
      <c r="B5" s="55">
        <f>SES!B4</f>
        <v>0.33540571349019888</v>
      </c>
      <c r="C5" s="55" t="s">
        <v>254</v>
      </c>
      <c r="D5" s="55" t="s">
        <v>254</v>
      </c>
      <c r="E5" s="56">
        <f>SES!B12</f>
        <v>21420.139552114262</v>
      </c>
      <c r="F5" s="56">
        <f>SES!C12</f>
        <v>31848.553821369183</v>
      </c>
      <c r="G5" s="56">
        <f>SES!D12</f>
        <v>35997.047393443347</v>
      </c>
      <c r="H5" s="57">
        <f>SES!C14</f>
        <v>0.21970673786267397</v>
      </c>
      <c r="I5" s="58">
        <f>G5/E5</f>
        <v>1.6805234767898736</v>
      </c>
      <c r="J5" s="54" t="s">
        <v>255</v>
      </c>
    </row>
    <row r="6" spans="1:10" x14ac:dyDescent="0.3">
      <c r="A6" s="54" t="s">
        <v>256</v>
      </c>
      <c r="B6" s="55">
        <f>Holt_Reparo!B4</f>
        <v>0.24</v>
      </c>
      <c r="C6" s="55">
        <f>Holt_Reparo!B5</f>
        <v>0.25</v>
      </c>
      <c r="D6" s="55" t="s">
        <v>254</v>
      </c>
      <c r="E6" s="56">
        <f>Holt_Reparo!B12</f>
        <v>22178.796772311067</v>
      </c>
      <c r="F6" s="56">
        <f>Holt_Reparo!C12</f>
        <v>25663.065801570436</v>
      </c>
      <c r="G6" s="56">
        <f>Holt_Reparo!D12</f>
        <v>34375.863252431394</v>
      </c>
      <c r="H6" s="57">
        <f>Holt_Reparo!C14</f>
        <v>0.21138657464003699</v>
      </c>
      <c r="I6" s="58">
        <f>G6/E6</f>
        <v>1.5499426594389309</v>
      </c>
      <c r="J6" s="54" t="s">
        <v>257</v>
      </c>
    </row>
    <row r="7" spans="1:10" x14ac:dyDescent="0.3">
      <c r="A7" s="54" t="s">
        <v>258</v>
      </c>
      <c r="B7" s="55">
        <f>HoltWinters!B4</f>
        <v>0.8</v>
      </c>
      <c r="C7" s="55">
        <f>HoltWinters!B5</f>
        <v>0.1</v>
      </c>
      <c r="D7" s="55">
        <f>HoltWinters!B6</f>
        <v>0.3</v>
      </c>
      <c r="E7" s="56">
        <f>HoltWinters!B12</f>
        <v>4332.4689291150307</v>
      </c>
      <c r="F7" s="56">
        <f>HoltWinters!C12</f>
        <v>1218.2321923448885</v>
      </c>
      <c r="G7" s="56">
        <f>HoltWinters!D12</f>
        <v>1621.4278709310975</v>
      </c>
      <c r="H7" s="57">
        <f>HoltWinters!C14</f>
        <v>4.9226639945751029E-2</v>
      </c>
      <c r="I7" s="58">
        <f>G7/E7</f>
        <v>0.37425031718860996</v>
      </c>
      <c r="J7" s="54" t="s">
        <v>259</v>
      </c>
    </row>
    <row r="9" spans="1:10" x14ac:dyDescent="0.3">
      <c r="A9" s="59" t="s">
        <v>260</v>
      </c>
    </row>
    <row r="10" spans="1:10" x14ac:dyDescent="0.3">
      <c r="A10" s="15" t="s">
        <v>261</v>
      </c>
    </row>
    <row r="11" spans="1:10" x14ac:dyDescent="0.3">
      <c r="A11" s="15" t="s">
        <v>262</v>
      </c>
    </row>
    <row r="12" spans="1:10" x14ac:dyDescent="0.3">
      <c r="A12" s="15" t="s">
        <v>263</v>
      </c>
    </row>
    <row r="13" spans="1:10" x14ac:dyDescent="0.3">
      <c r="A13" s="15" t="s">
        <v>264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Leia-me</vt:lpstr>
      <vt:lpstr>Dados</vt:lpstr>
      <vt:lpstr>SES</vt:lpstr>
      <vt:lpstr>SES_varredura</vt:lpstr>
      <vt:lpstr>SES_alfa</vt:lpstr>
      <vt:lpstr>Holt_Aco</vt:lpstr>
      <vt:lpstr>Holt_Reparo</vt:lpstr>
      <vt:lpstr>HoltWinters</vt:lpstr>
      <vt:lpstr>Comparacao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André Bergsten Mendes</cp:lastModifiedBy>
  <cp:revision>1</cp:revision>
  <dcterms:created xsi:type="dcterms:W3CDTF">2026-09-24T00:41:38Z</dcterms:created>
  <dcterms:modified xsi:type="dcterms:W3CDTF">2026-09-24T16:37:23Z</dcterms:modified>
  <dc:language>en-US</dc:language>
</cp:coreProperties>
</file>