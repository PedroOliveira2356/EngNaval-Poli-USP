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AQ 2022 Container" sheetId="1" r:id="rId4"/>
    <sheet state="visible" name="Pivot Container" sheetId="2" r:id="rId5"/>
    <sheet state="visible" name="PROSPECÇÃO VISUAL" sheetId="3" r:id="rId6"/>
    <sheet state="hidden" name="OTIMIZAÇÃO ROTA" sheetId="4" r:id="rId7"/>
    <sheet state="hidden" name="__Solver__" sheetId="5" r:id="rId8"/>
    <sheet state="hidden" name="__Solver___conflict2099073712" sheetId="6" r:id="rId9"/>
    <sheet state="hidden" name="__Solver___conflict325174676" sheetId="7" r:id="rId10"/>
    <sheet state="hidden" name="__Solver___conflict976500911" sheetId="8" r:id="rId11"/>
    <sheet state="hidden" name="__Solver___conflict1703220588" sheetId="9" r:id="rId12"/>
    <sheet state="hidden" name="__Solver___conflict78492872" sheetId="10" r:id="rId13"/>
    <sheet state="hidden" name="__Solver___conflict342278247" sheetId="11" r:id="rId14"/>
    <sheet state="hidden" name="__Solver___conflict1363959748" sheetId="12" r:id="rId15"/>
    <sheet state="hidden" name="__Solver___conflict1329151324" sheetId="13" r:id="rId16"/>
    <sheet state="hidden" name="Copy of OTIMIZAÇÃO ROTA" sheetId="14" r:id="rId17"/>
    <sheet state="visible" name="Detalhe1-AM" sheetId="15" r:id="rId18"/>
    <sheet state="visible" name="% Movimentação" sheetId="16" r:id="rId19"/>
    <sheet state="visible" name="Portos &amp; Cidades" sheetId="17" r:id="rId20"/>
    <sheet state="visible" name="Portos Tempos Operacionais" sheetId="18" r:id="rId21"/>
    <sheet state="visible" name="Distancias Cidades" sheetId="19" r:id="rId22"/>
    <sheet state="visible" name="Praticagem &amp; Rebocadores" sheetId="20" r:id="rId23"/>
    <sheet state="visible" name="Navios" sheetId="21" r:id="rId24"/>
    <sheet state="visible" name="Terminais Contêineres &amp; Depots" sheetId="22" r:id="rId25"/>
    <sheet state="visible" name="Contêiner" sheetId="23" r:id="rId26"/>
    <sheet state="visible" name="Combustíveis &amp; Taxa Câmbio" sheetId="24" r:id="rId27"/>
    <sheet state="visible" name="Corrente Marítima" sheetId="25" r:id="rId28"/>
    <sheet state="visible" name="Distancia Portos" sheetId="26" r:id="rId29"/>
    <sheet state="visible" name="OTIMIZA ROTA" sheetId="27" r:id="rId30"/>
    <sheet state="visible" name="CUSTOS" sheetId="28" r:id="rId31"/>
    <sheet state="visible" name="RESULTADO ECONOMICO" sheetId="29" r:id="rId32"/>
    <sheet state="visible" name="PROFORMA" sheetId="30" r:id="rId33"/>
  </sheets>
  <definedNames>
    <definedName localSheetId="26" name="solver_adj">'OTIMIZA ROTA'!$L$68:$Q$73,'OTIMIZA ROTA'!$L$78:$Q$83,'OTIMIZA ROTA'!$L$88:$Q$93</definedName>
    <definedName localSheetId="26" name="solver_cvg">0.0001</definedName>
    <definedName localSheetId="29" name="solver_cvg">0.0001</definedName>
    <definedName localSheetId="26" name="solver_drv">1</definedName>
    <definedName localSheetId="29" name="solver_drv">1</definedName>
    <definedName localSheetId="26" name="solver_eng">2</definedName>
    <definedName localSheetId="29" name="solver_eng">3</definedName>
    <definedName localSheetId="26" name="solver_est">1</definedName>
    <definedName localSheetId="29" name="solver_est">1</definedName>
    <definedName localSheetId="26" name="solver_itr">2147483647</definedName>
    <definedName localSheetId="29" name="solver_itr">2147483647</definedName>
    <definedName localSheetId="26" name="solver_mip">2147483647</definedName>
    <definedName localSheetId="29" name="solver_mip">2147483647</definedName>
    <definedName localSheetId="26" name="solver_mni">30</definedName>
    <definedName localSheetId="29" name="solver_mni">30</definedName>
    <definedName localSheetId="26" name="solver_mrt">0.075</definedName>
    <definedName localSheetId="29" name="solver_mrt">0.075</definedName>
    <definedName localSheetId="26" name="solver_msl">2</definedName>
    <definedName localSheetId="29" name="solver_msl">2</definedName>
    <definedName localSheetId="26" name="solver_neg">1</definedName>
    <definedName localSheetId="29" name="solver_neg">2</definedName>
    <definedName localSheetId="26" name="solver_nod">2147483647</definedName>
    <definedName localSheetId="29" name="solver_nod">2147483647</definedName>
    <definedName localSheetId="26" name="solver_num">29</definedName>
    <definedName localSheetId="29" name="solver_num">4</definedName>
    <definedName localSheetId="26" name="solver_nwt">1</definedName>
    <definedName localSheetId="29" name="solver_nwt">1</definedName>
    <definedName localSheetId="26" name="solver_pre">0.000001</definedName>
    <definedName localSheetId="29" name="solver_pre">0.000001</definedName>
    <definedName localSheetId="26" name="solver_rbv">1</definedName>
    <definedName localSheetId="29" name="solver_rbv">1</definedName>
    <definedName localSheetId="26" name="solver_rel1">3</definedName>
    <definedName localSheetId="29" name="solver_rel1">3</definedName>
    <definedName localSheetId="26" name="solver_rel10">3</definedName>
    <definedName localSheetId="26" name="solver_rel11">3</definedName>
    <definedName localSheetId="26" name="solver_rel12">3</definedName>
    <definedName localSheetId="26" name="solver_rel13">3</definedName>
    <definedName localSheetId="26" name="solver_rel14">1</definedName>
    <definedName localSheetId="26" name="solver_rel15">1</definedName>
    <definedName localSheetId="26" name="solver_rel16">1</definedName>
    <definedName localSheetId="26" name="solver_rel17">1</definedName>
    <definedName localSheetId="26" name="solver_rel18">1</definedName>
    <definedName localSheetId="26" name="solver_rel19">2</definedName>
    <definedName localSheetId="26" name="solver_rel2">3</definedName>
    <definedName localSheetId="29" name="solver_rel2">1</definedName>
    <definedName localSheetId="26" name="solver_rel20">2</definedName>
    <definedName localSheetId="26" name="solver_rel21">2</definedName>
    <definedName localSheetId="26" name="solver_rel22">2</definedName>
    <definedName localSheetId="26" name="solver_rel23">2</definedName>
    <definedName localSheetId="26" name="solver_rel24">2</definedName>
    <definedName localSheetId="26" name="solver_rel25">2</definedName>
    <definedName localSheetId="26" name="solver_rel26">2</definedName>
    <definedName localSheetId="26" name="solver_rel27">2</definedName>
    <definedName localSheetId="26" name="solver_rel28">3</definedName>
    <definedName localSheetId="26" name="solver_rel29">3</definedName>
    <definedName localSheetId="26" name="solver_rel3">3</definedName>
    <definedName localSheetId="29" name="solver_rel3">1</definedName>
    <definedName localSheetId="26" name="solver_rel30">1</definedName>
    <definedName localSheetId="26" name="solver_rel31">1</definedName>
    <definedName localSheetId="26" name="solver_rel32">1</definedName>
    <definedName localSheetId="26" name="solver_rel33">1</definedName>
    <definedName localSheetId="26" name="solver_rel34">1</definedName>
    <definedName localSheetId="26" name="solver_rel35">1</definedName>
    <definedName localSheetId="26" name="solver_rel36">1</definedName>
    <definedName localSheetId="26" name="solver_rel37">2</definedName>
    <definedName localSheetId="26" name="solver_rel38">2</definedName>
    <definedName localSheetId="26" name="solver_rel39">1</definedName>
    <definedName localSheetId="26" name="solver_rel4">3</definedName>
    <definedName localSheetId="29" name="solver_rel4">3</definedName>
    <definedName localSheetId="26" name="solver_rel40">1</definedName>
    <definedName localSheetId="26" name="solver_rel41">1</definedName>
    <definedName localSheetId="26" name="solver_rel5">3</definedName>
    <definedName localSheetId="29" name="solver_rel5">3</definedName>
    <definedName localSheetId="26" name="solver_rel6">3</definedName>
    <definedName localSheetId="26" name="solver_rel7">3</definedName>
    <definedName localSheetId="26" name="solver_rel8">3</definedName>
    <definedName localSheetId="26" name="solver_rel9">3</definedName>
    <definedName localSheetId="26" name="solver_rhs1">0</definedName>
    <definedName localSheetId="29" name="solver_rhs1">0.99</definedName>
    <definedName localSheetId="26" name="solver_rhs10">0</definedName>
    <definedName localSheetId="26" name="solver_rhs11">0</definedName>
    <definedName localSheetId="26" name="solver_rhs12">0</definedName>
    <definedName localSheetId="26" name="solver_rhs13">0</definedName>
    <definedName localSheetId="26" name="solver_rhs19">0</definedName>
    <definedName localSheetId="26" name="solver_rhs2">0</definedName>
    <definedName localSheetId="29" name="solver_rhs2">1.01</definedName>
    <definedName localSheetId="26" name="solver_rhs20">0</definedName>
    <definedName localSheetId="26" name="solver_rhs21">0</definedName>
    <definedName localSheetId="26" name="solver_rhs22">0</definedName>
    <definedName localSheetId="26" name="solver_rhs23">0</definedName>
    <definedName localSheetId="26" name="solver_rhs24">0</definedName>
    <definedName localSheetId="26" name="solver_rhs25">0</definedName>
    <definedName localSheetId="26" name="solver_rhs26">0</definedName>
    <definedName localSheetId="26" name="solver_rhs27">0</definedName>
    <definedName localSheetId="26" name="solver_rhs28">0</definedName>
    <definedName localSheetId="26" name="solver_rhs29">0</definedName>
    <definedName localSheetId="26" name="solver_rhs3">0</definedName>
    <definedName localSheetId="29" name="solver_rhs3">20</definedName>
    <definedName localSheetId="26" name="solver_rhs37">0</definedName>
    <definedName localSheetId="26" name="solver_rhs38">0</definedName>
    <definedName localSheetId="26" name="solver_rhs4">0</definedName>
    <definedName localSheetId="29" name="solver_rhs4">0</definedName>
    <definedName localSheetId="26" name="solver_rhs5">0</definedName>
    <definedName localSheetId="29" name="solver_rhs5">0</definedName>
    <definedName localSheetId="26" name="solver_rhs6">0</definedName>
    <definedName localSheetId="26" name="solver_rhs7">0</definedName>
    <definedName localSheetId="26" name="solver_rhs8">0</definedName>
    <definedName localSheetId="26" name="solver_rhs9">0</definedName>
    <definedName localSheetId="26" name="solver_rlx">2</definedName>
    <definedName localSheetId="29" name="solver_rlx">2</definedName>
    <definedName localSheetId="26" name="solver_rsd">0</definedName>
    <definedName localSheetId="29" name="solver_rsd">0</definedName>
    <definedName localSheetId="26" name="solver_scl">1</definedName>
    <definedName localSheetId="29" name="solver_scl">1</definedName>
    <definedName localSheetId="26" name="solver_sho">2</definedName>
    <definedName localSheetId="29" name="solver_sho">2</definedName>
    <definedName localSheetId="26" name="solver_ssz">100</definedName>
    <definedName localSheetId="29" name="solver_ssz">100</definedName>
    <definedName localSheetId="26" name="solver_tim">2147483647</definedName>
    <definedName localSheetId="29" name="solver_tim">2147483647</definedName>
    <definedName localSheetId="26" name="solver_tol">0.01</definedName>
    <definedName localSheetId="29" name="solver_tol">0.01</definedName>
    <definedName localSheetId="26" name="solver_typ">1</definedName>
    <definedName localSheetId="29" name="solver_typ">2</definedName>
    <definedName localSheetId="26" name="solver_val">0</definedName>
    <definedName localSheetId="29" name="solver_val">0</definedName>
    <definedName localSheetId="26" name="solver_ver">3</definedName>
    <definedName localSheetId="29" name="solver_ver">3</definedName>
    <definedName localSheetId="26" name="solver_lhs6">'OTIMIZA ROTA'!$AB$91</definedName>
    <definedName localSheetId="26" name="solver_lhs14">'OTIMIZA ROTA'!$AF$75:$AL$75</definedName>
    <definedName localSheetId="26" name="solver_lhs30">'OTIMIZA ROTA'!$O$92:$O$93</definedName>
    <definedName localSheetId="3" name="solver_lhs2">'OTIMIZAÇÃO ROTA'!$C$108:$H$113</definedName>
    <definedName localSheetId="26" name="solver_rhs35">'OTIMIZA ROTA'!$M$8:$M$11</definedName>
    <definedName localSheetId="26" name="solver_lhs11">'OTIMIZA ROTA'!$AC$80</definedName>
    <definedName localSheetId="26" name="solver_lhs16">'OTIMIZA ROTA'!$L$68:$Q$73</definedName>
    <definedName localSheetId="29" name="solver_lhs3">PROFORMA!$Z$18:$Z$24</definedName>
    <definedName localSheetId="29" name="solver_lhs4">PROFORMA!$Z$18:$Z$24</definedName>
    <definedName localSheetId="26" name="solver_lhs37">'OTIMIZA ROTA'!$AD$84</definedName>
    <definedName localSheetId="26" name="solver_lhs20">'OTIMIZA ROTA'!$N$99</definedName>
    <definedName name="POWER_USER_EXCEL_CHART_D87241CE_D8CB_4B42_A5F7_9D9B0EEFA8E6">'Pivot Container'!$O$83:$AA$95</definedName>
    <definedName name="POWER_USER_EXCEL_CHART_B59EAE33_3D1A_4D8B_A176_568D5B2891DF">'Pivot Container'!$O$83:$AA$95</definedName>
    <definedName localSheetId="26" name="solver_lhs29">'OTIMIZA ROTA'!$X$81</definedName>
    <definedName localSheetId="26" name="solver_lhs38">'OTIMIZA ROTA'!$AD$74</definedName>
    <definedName localSheetId="26" name="solver_lhs23">'OTIMIZA ROTA'!$O$99</definedName>
    <definedName localSheetId="29" name="solver_lhs5">PROFORMA!$D$13</definedName>
    <definedName localSheetId="26" name="solver_lhs2">'OTIMIZA ROTA'!$AB$71</definedName>
    <definedName localSheetId="29" name="solver_opt">PROFORMA!$U$6</definedName>
    <definedName localSheetId="26" name="solver_rhs15">'OTIMIZA ROTA'!$AO$76:$AU$76</definedName>
    <definedName localSheetId="26" name="solver_lhs7">'OTIMIZA ROTA'!$AC$68</definedName>
    <definedName localSheetId="26" name="solver_lhs15">'OTIMIZA ROTA'!$AO$75:$AU$75</definedName>
    <definedName localSheetId="26" name="solver_lhs35">'OTIMIZA ROTA'!$M$70:$M$73</definedName>
    <definedName localSheetId="13" name="solver_opt">'Copy of OTIMIZAÇÃO ROTA'!$I$133</definedName>
    <definedName localSheetId="26" name="solver_rhs32">'OTIMIZA ROTA'!$M$38:$M$41</definedName>
    <definedName localSheetId="26" name="solver_lhs12">'OTIMIZA ROTA'!$AC$88</definedName>
    <definedName localSheetId="26" name="solver_lhs9">'OTIMIZA ROTA'!$AC$70</definedName>
    <definedName localSheetId="26" name="solver_lhs27">'OTIMIZA ROTA'!$Q$99</definedName>
    <definedName localSheetId="26" name="solver_lhs13">'OTIMIZA ROTA'!$AC$89</definedName>
    <definedName localSheetId="26" name="solver_rhs33">'OTIMIZA ROTA'!$N$39:$N$41</definedName>
    <definedName localSheetId="26" name="solver_lhs5">'OTIMIZA ROTA'!$AB$90</definedName>
    <definedName localSheetId="26" name="solver_rhs16">'OTIMIZA ROTA'!$L$6:$Q$11</definedName>
    <definedName localSheetId="26" name="solver_lhs24">'OTIMIZA ROTA'!$P$101</definedName>
    <definedName localSheetId="26" name="solver_rhs30">'OTIMIZA ROTA'!$O$40:$O$41</definedName>
    <definedName localSheetId="26" name="solver_lhs32">'OTIMIZA ROTA'!$M$90:$M$93</definedName>
    <definedName localSheetId="26" name="solver_lhs40">'OTIMIZA ROTA'!$L$89:$L$93</definedName>
    <definedName localSheetId="3" name="solver_lhs1">'OTIMIZAÇÃO ROTA'!$C$108:$H$113</definedName>
    <definedName localSheetId="26" name="solver_lhs39">'OTIMIZA ROTA'!$L$89:$L$93</definedName>
    <definedName localSheetId="26" name="solver_lhs4">'OTIMIZA ROTA'!$AB$89</definedName>
    <definedName localSheetId="26" name="solver_lhs19">'OTIMIZA ROTA'!$M$98</definedName>
    <definedName localSheetId="13" name="solver_adj">'Copy of OTIMIZAÇÃO ROTA'!$C$108:$H$113</definedName>
    <definedName localSheetId="26" name="solver_rhs34">'OTIMIZA ROTA'!$N$26</definedName>
    <definedName localSheetId="3" name="solver_opt">'OTIMIZAÇÃO ROTA'!$I$133</definedName>
    <definedName localSheetId="26" name="solver_lhs8">'OTIMIZA ROTA'!$AC$69</definedName>
    <definedName localSheetId="26" name="solver_lhs28">'OTIMIZA ROTA'!$X$80</definedName>
    <definedName localSheetId="26" name="solver_lhs22">'OTIMIZA ROTA'!$O$98</definedName>
    <definedName localSheetId="26" name="solver_lhs26">'OTIMIZA ROTA'!$Q$101</definedName>
    <definedName localSheetId="3" name="solver_adj">'OTIMIZAÇÃO ROTA'!$C$108:$H$113</definedName>
    <definedName localSheetId="26" name="solver_lhs33">'OTIMIZA ROTA'!$N$91:$N$93</definedName>
    <definedName localSheetId="13" name="solver_lhs2">'Copy of OTIMIZAÇÃO ROTA'!$C$108:$H$113</definedName>
    <definedName localSheetId="26" name="solver_opt">'OTIMIZA ROTA'!$AY$38</definedName>
    <definedName localSheetId="29" name="solver_lhs2">PROFORMA!$D$13</definedName>
    <definedName localSheetId="26" name="solver_lhs41">'OTIMIZA ROTA'!$L$89:$L$93</definedName>
    <definedName localSheetId="26" name="solver_rhs31">'OTIMIZA ROTA'!$N$39:$N$41</definedName>
    <definedName localSheetId="26" name="solver_rhs40">'OTIMIZA ROTA'!$L$37:$L$41</definedName>
    <definedName localSheetId="29" name="solver_lhs6">PROFORMA!$Z$18:$Z$24</definedName>
    <definedName localSheetId="26" name="solver_rhs41">'OTIMIZA ROTA'!$L$37:$L$41</definedName>
    <definedName localSheetId="26" name="solver_lhs17">'OTIMIZA ROTA'!$L$78:$Q$83</definedName>
    <definedName localSheetId="26" name="solver_rhs17">'OTIMIZA ROTA'!$L$26:$Q$31</definedName>
    <definedName localSheetId="26" name="solver_rhs14">'OTIMIZA ROTA'!$AF$76:$AL$76</definedName>
    <definedName localSheetId="3" name="solver_lhs3">'OTIMIZAÇÃO ROTA'!$K$101:$P$101</definedName>
    <definedName localSheetId="29" name="solver_adj">PROFORMA!$Z$18:$Z$24</definedName>
    <definedName localSheetId="26" name="solver_lhs25">'OTIMIZA ROTA'!$P$99</definedName>
    <definedName localSheetId="26" name="solver_lhs31">'OTIMIZA ROTA'!$N$91:$N$93</definedName>
    <definedName name="POWER_USER_EXCEL_CHART_13C9267F_7DAE_4A4A_BDC5_2B3539B7826E">'Pivot Container'!$O$83:$AA$95</definedName>
    <definedName localSheetId="26" name="solver_lhs18">'OTIMIZA ROTA'!$L$88:$Q$93</definedName>
    <definedName localSheetId="26" name="solver_lhs21">'OTIMIZA ROTA'!$O$100</definedName>
    <definedName localSheetId="26" name="solver_lhs36">'OTIMIZA ROTA'!$M$80:$M$83</definedName>
    <definedName localSheetId="26" name="solver_lhs34">'OTIMIZA ROTA'!$N$78</definedName>
    <definedName localSheetId="13" name="solver_lhs1">'Copy of OTIMIZAÇÃO ROTA'!$C$108:$H$113</definedName>
    <definedName localSheetId="26" name="solver_rhs39">'OTIMIZA ROTA'!$L$37:$L$41</definedName>
    <definedName localSheetId="26" name="solver_lhs10">'OTIMIZA ROTA'!$AC$79</definedName>
    <definedName localSheetId="26" name="solver_rhs18">'OTIMIZA ROTA'!$L$36:$Q$41</definedName>
    <definedName localSheetId="13" name="solver_lhs3">'Copy of OTIMIZAÇÃO ROTA'!$K$114:$P$114</definedName>
    <definedName localSheetId="26" name="solver_rhs36">'OTIMIZA ROTA'!$M$28:$M$31</definedName>
    <definedName localSheetId="26" name="solver_lhs1">'OTIMIZA ROTA'!$AB$69</definedName>
    <definedName localSheetId="26" name="solver_lhs3">'OTIMIZA ROTA'!$AB$80</definedName>
    <definedName localSheetId="29" name="solver_lhs1">PROFORMA!$D$13</definedName>
    <definedName hidden="1" localSheetId="0" name="_xlnm._FilterDatabase">'ANTAQ 2022 Container'!$B$2:$G$5374</definedName>
  </definedNames>
  <calcPr/>
  <pivotCaches>
    <pivotCache cacheId="0" r:id="rId34"/>
  </pivotCaches>
  <extLst>
    <ext uri="GoogleSheetsCustomDataVersion2">
      <go:sheetsCustomData xmlns:go="http://customooxmlschemas.google.com/" r:id="rId35" roundtripDataChecksum="E1EK71VUMPk1/BNrfHn+9c3SnubJ1qCEfh81/SbWpdc="/>
    </ext>
  </extLst>
</workbook>
</file>

<file path=xl/sharedStrings.xml><?xml version="1.0" encoding="utf-8"?>
<sst xmlns="http://schemas.openxmlformats.org/spreadsheetml/2006/main" count="25968" uniqueCount="548">
  <si>
    <t>Month</t>
  </si>
  <si>
    <t>Type</t>
  </si>
  <si>
    <t>UF Origin</t>
  </si>
  <si>
    <t>UF Destination</t>
  </si>
  <si>
    <t>TEU</t>
  </si>
  <si>
    <t>Unit</t>
  </si>
  <si>
    <t>jan</t>
  </si>
  <si>
    <t>40HC</t>
  </si>
  <si>
    <t>SP</t>
  </si>
  <si>
    <t>PE</t>
  </si>
  <si>
    <t>RJ</t>
  </si>
  <si>
    <t>ES</t>
  </si>
  <si>
    <t>abr</t>
  </si>
  <si>
    <t>ago</t>
  </si>
  <si>
    <t>dez</t>
  </si>
  <si>
    <t>fev</t>
  </si>
  <si>
    <t>jul</t>
  </si>
  <si>
    <t>jun</t>
  </si>
  <si>
    <t>mai</t>
  </si>
  <si>
    <t>mar</t>
  </si>
  <si>
    <t>nov</t>
  </si>
  <si>
    <t>out</t>
  </si>
  <si>
    <t>set</t>
  </si>
  <si>
    <t>Total geral</t>
  </si>
  <si>
    <t>PR</t>
  </si>
  <si>
    <t>AM</t>
  </si>
  <si>
    <t>Mês</t>
  </si>
  <si>
    <t>Total Geral</t>
  </si>
  <si>
    <t>CE</t>
  </si>
  <si>
    <t>20DC</t>
  </si>
  <si>
    <t>40RH</t>
  </si>
  <si>
    <t>SC</t>
  </si>
  <si>
    <t>RS</t>
  </si>
  <si>
    <t>BA</t>
  </si>
  <si>
    <t>PA</t>
  </si>
  <si>
    <t>MA</t>
  </si>
  <si>
    <t>20RF</t>
  </si>
  <si>
    <t>RN</t>
  </si>
  <si>
    <t>AP</t>
  </si>
  <si>
    <t>Movimentação de Contêineres na Cabotagem em 2022 - 20DC</t>
  </si>
  <si>
    <t>Imbalance 20DC</t>
  </si>
  <si>
    <t>Soma de Unit</t>
  </si>
  <si>
    <t>Origem/Destino</t>
  </si>
  <si>
    <t>Total Origem</t>
  </si>
  <si>
    <t>Porto</t>
  </si>
  <si>
    <t>In</t>
  </si>
  <si>
    <t>Out</t>
  </si>
  <si>
    <t>IMB</t>
  </si>
  <si>
    <t>Total Destino</t>
  </si>
  <si>
    <t>Total</t>
  </si>
  <si>
    <t>Movimentação de Contêineres na Cabotagem em 2022 - 20RF</t>
  </si>
  <si>
    <t>Imbalance 20RF</t>
  </si>
  <si>
    <t>Movimentação de Contêineres na Cabotagem em 2022 - 40HC</t>
  </si>
  <si>
    <t>Imbalance 40HC</t>
  </si>
  <si>
    <t>Movimentação de Contêineres na Cabotagem em 2022 - 40RH</t>
  </si>
  <si>
    <t>Imbalance 40RH</t>
  </si>
  <si>
    <t>Movimentação de Contêineres na Cabotagem em 2022 - unidades</t>
  </si>
  <si>
    <t>Imbalance Unidades</t>
  </si>
  <si>
    <t>Movimentação de Contêineres na Cabotagem em 2022 - TEU</t>
  </si>
  <si>
    <t>Imbalance TEU</t>
  </si>
  <si>
    <t>ABAC</t>
  </si>
  <si>
    <t>Imbalance</t>
  </si>
  <si>
    <t>ANTAQ</t>
  </si>
  <si>
    <t>Dif</t>
  </si>
  <si>
    <t>Dif %</t>
  </si>
  <si>
    <t>* feeder desconsiderado</t>
  </si>
  <si>
    <t>*seleciondas as seis maiores movientações</t>
  </si>
  <si>
    <t>ANUAL</t>
  </si>
  <si>
    <t>SEMANAL</t>
  </si>
  <si>
    <t>OTIMIZAÇÃO SEMANAL</t>
  </si>
  <si>
    <t>Distâncias RODO</t>
  </si>
  <si>
    <t>MANAUS</t>
  </si>
  <si>
    <t>FORTALEZA</t>
  </si>
  <si>
    <t>RECIFE</t>
  </si>
  <si>
    <t>SALVADOR</t>
  </si>
  <si>
    <t>SÃO PAULO</t>
  </si>
  <si>
    <t>FLORIANÓPOLIS</t>
  </si>
  <si>
    <t>Receita CABOTAGEM</t>
  </si>
  <si>
    <t>RECEITA POTENCIAL CABOTAGEM SEMANAL</t>
  </si>
  <si>
    <t>*CONSIDERAR CAMINHÃO DE SEIS EIXOS</t>
  </si>
  <si>
    <t>CABOTAGEM</t>
  </si>
  <si>
    <t>* nosso serviço é porta porta e não porto porto, considerar o custo do rodo ate o porto e do porto pra porta e depois os 70%</t>
  </si>
  <si>
    <t>DESTINOS DA CARGA</t>
  </si>
  <si>
    <t>SP(1) -&gt; SC(2)</t>
  </si>
  <si>
    <t>SC(2) -&gt; BA(3)</t>
  </si>
  <si>
    <t>BA(3) -&gt; PE(4)</t>
  </si>
  <si>
    <t>PE(4) -&gt; CE(5)</t>
  </si>
  <si>
    <t>CE(5) -&gt; AM(6)</t>
  </si>
  <si>
    <t>AM(6) -&gt; SP(1)</t>
  </si>
  <si>
    <t>Embarque SP</t>
  </si>
  <si>
    <t>Embarque SC</t>
  </si>
  <si>
    <t>Embarque BA</t>
  </si>
  <si>
    <t>Embarque PE</t>
  </si>
  <si>
    <t>Embarque CE</t>
  </si>
  <si>
    <t>Embarque AM</t>
  </si>
  <si>
    <t>3 -- 2</t>
  </si>
  <si>
    <t>4 -- 3</t>
  </si>
  <si>
    <t>5 -- 4</t>
  </si>
  <si>
    <t>6 -- 5</t>
  </si>
  <si>
    <t>1 -- 6</t>
  </si>
  <si>
    <t>2 -- 1</t>
  </si>
  <si>
    <t>4 -- 2</t>
  </si>
  <si>
    <t>5 -- 3</t>
  </si>
  <si>
    <t>6 -- 4</t>
  </si>
  <si>
    <t>1 -- 5</t>
  </si>
  <si>
    <t>2 -- 6</t>
  </si>
  <si>
    <t>3 -- 1</t>
  </si>
  <si>
    <t>5 -- 2</t>
  </si>
  <si>
    <t>6 -- 3</t>
  </si>
  <si>
    <t>1 -- 4</t>
  </si>
  <si>
    <t>2 -- 5</t>
  </si>
  <si>
    <t>3 -- 6</t>
  </si>
  <si>
    <t>4 -- 1</t>
  </si>
  <si>
    <t>6 -- 2</t>
  </si>
  <si>
    <t>1 -- 3</t>
  </si>
  <si>
    <t>2 -- 4</t>
  </si>
  <si>
    <t>3 -- 5</t>
  </si>
  <si>
    <t>4 -- 6</t>
  </si>
  <si>
    <t>5 -- 1</t>
  </si>
  <si>
    <t>TONELAGEM E DESTINOS</t>
  </si>
  <si>
    <t xml:space="preserve">MOVIMENTAÇÃO POTENCIAL UNIDADES </t>
  </si>
  <si>
    <t>PORCENTAGEM LEVADA</t>
  </si>
  <si>
    <t xml:space="preserve">MOVIMENTAÇÃO LEVADA UNIDADES </t>
  </si>
  <si>
    <t>MOVIMENTAÇÃO LEVADA TONELADAS</t>
  </si>
  <si>
    <t>$ RECEITA SEM.</t>
  </si>
  <si>
    <t>CUSTO ALUGUEL DE CONTÊINER ANUAL</t>
  </si>
  <si>
    <t>40HR</t>
  </si>
  <si>
    <t>custos</t>
  </si>
  <si>
    <t>(CUSTO/UNI)/DIA</t>
  </si>
  <si>
    <t>bunker</t>
  </si>
  <si>
    <t>formula</t>
  </si>
  <si>
    <t>proforma</t>
  </si>
  <si>
    <t>QUANTIDADE</t>
  </si>
  <si>
    <t>MDO</t>
  </si>
  <si>
    <t>CUSTO ANUAL</t>
  </si>
  <si>
    <t>-</t>
  </si>
  <si>
    <t>aluguel de coiteneres</t>
  </si>
  <si>
    <t>depot</t>
  </si>
  <si>
    <t>terminal</t>
  </si>
  <si>
    <t>custo rodoviário terminal-cliente</t>
  </si>
  <si>
    <t>ok</t>
  </si>
  <si>
    <t>escala</t>
  </si>
  <si>
    <t>CUSTO RODOVIÁRIO PORTA X PORTA POR CONTÊINER</t>
  </si>
  <si>
    <t>Estado</t>
  </si>
  <si>
    <t>Capital</t>
  </si>
  <si>
    <t>Nome Porto</t>
  </si>
  <si>
    <t>Terminal</t>
  </si>
  <si>
    <t>Distância Capital-Terminal&amp;Depot (km)</t>
  </si>
  <si>
    <t>Manaus</t>
  </si>
  <si>
    <t>MAO</t>
  </si>
  <si>
    <t>Porto Chibatão</t>
  </si>
  <si>
    <t>PORTO CHIBATAO</t>
  </si>
  <si>
    <t>Belém</t>
  </si>
  <si>
    <t>VLC</t>
  </si>
  <si>
    <t>Porto de Vila do Conde</t>
  </si>
  <si>
    <t>TECON VILA DO CONDE</t>
  </si>
  <si>
    <t>São Luís</t>
  </si>
  <si>
    <t>SLZ</t>
  </si>
  <si>
    <t>Porto de Itaqui</t>
  </si>
  <si>
    <t>PORTO DE ITAQUI</t>
  </si>
  <si>
    <t>Fortaleza</t>
  </si>
  <si>
    <t>PEC</t>
  </si>
  <si>
    <t>Porto de Pecém</t>
  </si>
  <si>
    <t>APMT PECEM</t>
  </si>
  <si>
    <t>Recife</t>
  </si>
  <si>
    <t>SUA</t>
  </si>
  <si>
    <t>Porto de Suape</t>
  </si>
  <si>
    <t>TECON SUAPE</t>
  </si>
  <si>
    <t>Salvador</t>
  </si>
  <si>
    <t>SSA</t>
  </si>
  <si>
    <t>Porto de Salvador</t>
  </si>
  <si>
    <t>TECON SALVADOR</t>
  </si>
  <si>
    <t>Vitória</t>
  </si>
  <si>
    <t>VIX</t>
  </si>
  <si>
    <t>Porto de Vitória</t>
  </si>
  <si>
    <t>TVV</t>
  </si>
  <si>
    <t>Rio de Janeiro</t>
  </si>
  <si>
    <t>IGI</t>
  </si>
  <si>
    <t>Porto de Itaguaí</t>
  </si>
  <si>
    <t>SEPETIBA TECON</t>
  </si>
  <si>
    <t>RIO</t>
  </si>
  <si>
    <t>Porto do Rio de Janeiro</t>
  </si>
  <si>
    <t>TECON RIO</t>
  </si>
  <si>
    <t>CUSTO RODOVIÁRIO PORTA X PORTA SEMANAL</t>
  </si>
  <si>
    <t>São Paulo</t>
  </si>
  <si>
    <t>SSZ</t>
  </si>
  <si>
    <t>Porto de Santos</t>
  </si>
  <si>
    <t>TECON SANTOS</t>
  </si>
  <si>
    <t>Curitiba</t>
  </si>
  <si>
    <t>PNG</t>
  </si>
  <si>
    <t>Porto de Paranaguá</t>
  </si>
  <si>
    <t>TCP</t>
  </si>
  <si>
    <t>Florianopólis</t>
  </si>
  <si>
    <t>IOA</t>
  </si>
  <si>
    <t>Porto de Itapoá</t>
  </si>
  <si>
    <t>PORTO ITAPOA</t>
  </si>
  <si>
    <t>ITJ</t>
  </si>
  <si>
    <t>Porto de Itajaí</t>
  </si>
  <si>
    <t>APMT ITAJAI</t>
  </si>
  <si>
    <t>NVT</t>
  </si>
  <si>
    <t>Porto de Navegantes</t>
  </si>
  <si>
    <t>PORTONAVE</t>
  </si>
  <si>
    <t>IBI</t>
  </si>
  <si>
    <t>Porto de Imbituba</t>
  </si>
  <si>
    <t>TECON IMBITUBA</t>
  </si>
  <si>
    <t>RG</t>
  </si>
  <si>
    <t>Porto Alegre</t>
  </si>
  <si>
    <t>RIG</t>
  </si>
  <si>
    <t>Porto de Rio Grande</t>
  </si>
  <si>
    <t>TECON RIO GRANDE</t>
  </si>
  <si>
    <t>TOTAL ANUAL</t>
  </si>
  <si>
    <t>CUSTO SEMANAL MOV TERMINAL CTNR VAZIO</t>
  </si>
  <si>
    <t>PORTO</t>
  </si>
  <si>
    <t>CUSTO MOVIMENTAÇÃO VAZIOS</t>
  </si>
  <si>
    <t>CUSTO TERMINAL CONTÊINER CHEIO SEMANAL</t>
  </si>
  <si>
    <t>Terminais de Contêineres</t>
  </si>
  <si>
    <t>DESPESAS ADMINISTRATIVAS SEMANAL</t>
  </si>
  <si>
    <t>Custo de Movimentação Contêiner Cheio</t>
  </si>
  <si>
    <t>Custo de Movimentação Contêiner Vazio</t>
  </si>
  <si>
    <t>Produtividade (contêineres/h)</t>
  </si>
  <si>
    <t>TOTAL SEMANAL</t>
  </si>
  <si>
    <t>CUSTO RODOVIÁRIO PORTAXPORTA POR CONTÊINER</t>
  </si>
  <si>
    <t>Depot</t>
  </si>
  <si>
    <t>Custo de Movimentação de Contêiner Vazio</t>
  </si>
  <si>
    <t>Custo de Transporte de Contêiner Vazio</t>
  </si>
  <si>
    <t>CUSTO DEPOT CONTEINER CHEIO SEMANAL</t>
  </si>
  <si>
    <t>CUSTO SEMANAL MOV DEPOT CTNR VAZIO</t>
  </si>
  <si>
    <t>ITQ</t>
  </si>
  <si>
    <t>SPB</t>
  </si>
  <si>
    <t>2023681688872554185</t>
  </si>
  <si>
    <t>t3JImZndu39Hg58</t>
  </si>
  <si>
    <t>OGM=</t>
  </si>
  <si>
    <t>RQJ7el5pX1VGAA==</t>
  </si>
  <si>
    <t xml:space="preserve">DFVV   </t>
  </si>
  <si>
    <t>SEMANAL VAZIO</t>
  </si>
  <si>
    <t>MATRIZ OD 20 DC CHEIOS</t>
  </si>
  <si>
    <t>MATRIZ OD 20 DC  VAZIOS</t>
  </si>
  <si>
    <t>MATRIZ OD 20 DC CHEIOS - TONELADAS</t>
  </si>
  <si>
    <t>MATRIZ OD 20 DC  VAZIOS - TONELADAS</t>
  </si>
  <si>
    <t>RESUMO SOMA QNTD CONTÊINERS CHEIOS - 20 DC + 40 DC + 40 RH</t>
  </si>
  <si>
    <t>RESUMO SOMA QNTD CONTÊINERS VAZIOS - 20 DC + 40 DC + 40 RH</t>
  </si>
  <si>
    <t>MATRIZ OD CALCULADA SOLVER 20 DC CHEIO</t>
  </si>
  <si>
    <t>RECEITA POTENCIAL CABOTAGEM SEMANAL 20 DC</t>
  </si>
  <si>
    <t>RESUMO SOMA - CONTEINERS CHEIOS (ton)</t>
  </si>
  <si>
    <t>RESUMO SOMA - CONTEINERS VAZIOS (ton)</t>
  </si>
  <si>
    <t>MATRIZ OD 40HC VAZIOS</t>
  </si>
  <si>
    <t>MATRIZ OD 40 HC CHEIOS - TONELADAS</t>
  </si>
  <si>
    <t>MATRIZ OD 40 HC  VAZIOS - TONELADAS</t>
  </si>
  <si>
    <t>RESUMO SOMA - CONTEINERS CHEIOS (TEUs)</t>
  </si>
  <si>
    <t>RESUMO SOMA - CONTEINERS VAZIOS (TEUs)</t>
  </si>
  <si>
    <t>MATRIZ OD CALCULADA SOLVER 40HC CHEIO</t>
  </si>
  <si>
    <t>MATRIZ OD 40 RH VAZIOS</t>
  </si>
  <si>
    <t>MATRIZ OD 40 RH CHEIOS - TONELADAS</t>
  </si>
  <si>
    <t>MATRIZ OD 40 RH VAZIOS - TONELADAS</t>
  </si>
  <si>
    <t>MATRIZ TEUs VAZIOS</t>
  </si>
  <si>
    <t>MATRIZ TEUs CHEIOS</t>
  </si>
  <si>
    <t>PAR OD</t>
  </si>
  <si>
    <t>RESTRIÇÃO TONELAGEM</t>
  </si>
  <si>
    <t>MAXIMO</t>
  </si>
  <si>
    <t>RESTRIÇÃO TEU</t>
  </si>
  <si>
    <t>EMBARQUE S</t>
  </si>
  <si>
    <t>PEGAR CHEIOS E VAZIOS</t>
  </si>
  <si>
    <t>SUBIDA</t>
  </si>
  <si>
    <t>SSZ-IOA</t>
  </si>
  <si>
    <t>IOA--SSA</t>
  </si>
  <si>
    <t>SSA-SUA</t>
  </si>
  <si>
    <t>SUA-PEC</t>
  </si>
  <si>
    <t>PEC-MAO</t>
  </si>
  <si>
    <t>MAO-SUA</t>
  </si>
  <si>
    <t>SSZ-SSA</t>
  </si>
  <si>
    <t>IOA--SUA</t>
  </si>
  <si>
    <t>SSA-PEC</t>
  </si>
  <si>
    <t>SUA-MAO</t>
  </si>
  <si>
    <t>PEC-SUA</t>
  </si>
  <si>
    <t>MAO-SSZ</t>
  </si>
  <si>
    <t>SSZ-SUA</t>
  </si>
  <si>
    <t>IOA-PEC</t>
  </si>
  <si>
    <t>SSA-MAO</t>
  </si>
  <si>
    <t>PEC-SSZ</t>
  </si>
  <si>
    <t>MAO-IOA</t>
  </si>
  <si>
    <t>SSZ-PEC</t>
  </si>
  <si>
    <t>IOA-MAO</t>
  </si>
  <si>
    <t>SSA-SSZ</t>
  </si>
  <si>
    <t>PEC-IOA</t>
  </si>
  <si>
    <t>MAO-SSA</t>
  </si>
  <si>
    <t>SSZ-MAO</t>
  </si>
  <si>
    <t>IOA-SSZ</t>
  </si>
  <si>
    <t>SSA-IOA</t>
  </si>
  <si>
    <t>PEC-SSA</t>
  </si>
  <si>
    <t>MAO-PEC</t>
  </si>
  <si>
    <t>DESCIDA</t>
  </si>
  <si>
    <t>SUA-SSZ</t>
  </si>
  <si>
    <t>SUA-IOA</t>
  </si>
  <si>
    <t>SUA-SSA</t>
  </si>
  <si>
    <t>Ano</t>
  </si>
  <si>
    <t>% Ano</t>
  </si>
  <si>
    <t>% Movimentação</t>
  </si>
  <si>
    <t>Tempos Operacionais</t>
  </si>
  <si>
    <t>Embarca Prático (h)</t>
  </si>
  <si>
    <t>Navegação Canal - Entrada (h)</t>
  </si>
  <si>
    <t>Atracação (h)</t>
  </si>
  <si>
    <t>Desatracação (h)</t>
  </si>
  <si>
    <t>Navegação Canal - Saída (h)</t>
  </si>
  <si>
    <t>Desembarca Prático (h)</t>
  </si>
  <si>
    <t>QUADRO DE DISTÂNCIAS RODOVIÁRIAS ENTRE AS PRINCIPAIS CIDADES BRASILEIRAS</t>
  </si>
  <si>
    <t>ARACAJÚ</t>
  </si>
  <si>
    <t>BELÉM</t>
  </si>
  <si>
    <t>BELO HORIZONTE</t>
  </si>
  <si>
    <t>BOA VISTA</t>
  </si>
  <si>
    <t>BRASÍLIA</t>
  </si>
  <si>
    <t>CAMPO GRANDE</t>
  </si>
  <si>
    <t>CUIABÁ</t>
  </si>
  <si>
    <t>CURITIBA</t>
  </si>
  <si>
    <t>GOIÂNIA</t>
  </si>
  <si>
    <t>JOÃO PESSOA</t>
  </si>
  <si>
    <t>MACEIÓ</t>
  </si>
  <si>
    <t>NATAL</t>
  </si>
  <si>
    <t>PALMAS</t>
  </si>
  <si>
    <t>PORTO ALEGRE</t>
  </si>
  <si>
    <t>PORTO VELHO</t>
  </si>
  <si>
    <t>RIO BRANCO</t>
  </si>
  <si>
    <t>RIO DE JANEIRO</t>
  </si>
  <si>
    <t>SANTOS</t>
  </si>
  <si>
    <t>SÃO LUÍS</t>
  </si>
  <si>
    <t>TERESINA</t>
  </si>
  <si>
    <t>VITÓRIA</t>
  </si>
  <si>
    <t>RIBEIRÃO PRETO</t>
  </si>
  <si>
    <t>RIO VERDE</t>
  </si>
  <si>
    <t>DNER/AP/Div. Planejamento - Serv. Coord. e Gerência de Sistemas Rodoviários ---- Sugestões  ( 061) 315-4151.</t>
  </si>
  <si>
    <t>https://www.google.com/search?q=quadro+de+dist%C3%A2ncias+rodovi%C3%A1rias+entre+as+principais+cidades+brasileiras&amp;rlz=1C1CHBF_enUS880US880&amp;oq=distancias+rodoviarias+&amp;aqs=chrome.3.69i57j0i512j0i22i30l2.12778j0j4&amp;sourceid=chrome&amp;ie=UTF-8</t>
  </si>
  <si>
    <t>Custo da Escala por Classe de Navio</t>
  </si>
  <si>
    <t>3500 TEU</t>
  </si>
  <si>
    <t>3000 TEU</t>
  </si>
  <si>
    <t>2500 TEU</t>
  </si>
  <si>
    <t>2000 TEU</t>
  </si>
  <si>
    <t>Dados dos Navios por Classe</t>
  </si>
  <si>
    <t>Item</t>
  </si>
  <si>
    <t>Unidade</t>
  </si>
  <si>
    <t>Custo Diário</t>
  </si>
  <si>
    <t>USD/dia</t>
  </si>
  <si>
    <t>Deadweight carga</t>
  </si>
  <si>
    <t>t</t>
  </si>
  <si>
    <t>Capacidade Nominal</t>
  </si>
  <si>
    <t>Capacidade @14t</t>
  </si>
  <si>
    <t>Plugs</t>
  </si>
  <si>
    <t>plug</t>
  </si>
  <si>
    <t>Consumo MDO viagem</t>
  </si>
  <si>
    <t>t/dia</t>
  </si>
  <si>
    <t>Consumo MDO porto</t>
  </si>
  <si>
    <t>Calado máximo</t>
  </si>
  <si>
    <t>m</t>
  </si>
  <si>
    <t>Velocidade Máxima</t>
  </si>
  <si>
    <t>mn/h</t>
  </si>
  <si>
    <t>Custo de Aluguel de Contêineres</t>
  </si>
  <si>
    <t>Tipo</t>
  </si>
  <si>
    <t>Valor (USD/dia)</t>
  </si>
  <si>
    <t>Combustível</t>
  </si>
  <si>
    <t>Preço</t>
  </si>
  <si>
    <t>VLSFO</t>
  </si>
  <si>
    <t>USD/t</t>
  </si>
  <si>
    <t>Valor</t>
  </si>
  <si>
    <t>Taxa de Câmbio</t>
  </si>
  <si>
    <t>BRL/USD</t>
  </si>
  <si>
    <t>Trecho</t>
  </si>
  <si>
    <t>Corrente Marítima (nós)</t>
  </si>
  <si>
    <t>Não serão consideradas</t>
  </si>
  <si>
    <t>IBI/IOA</t>
  </si>
  <si>
    <t>IOA/PNG</t>
  </si>
  <si>
    <t>IOA/IGI</t>
  </si>
  <si>
    <t>SLZ/PEC</t>
  </si>
  <si>
    <t>PEC/SUA</t>
  </si>
  <si>
    <t>PNG/SSZ</t>
  </si>
  <si>
    <t>RIG/IOA</t>
  </si>
  <si>
    <t>RIO/SUA</t>
  </si>
  <si>
    <t>IGI/SSA</t>
  </si>
  <si>
    <t>SSA/SUA</t>
  </si>
  <si>
    <t>SSA/VIX</t>
  </si>
  <si>
    <t>SSZ/IOA</t>
  </si>
  <si>
    <t>SSZ/RIO</t>
  </si>
  <si>
    <t>SSZ/SUA</t>
  </si>
  <si>
    <t>SUA/PEC</t>
  </si>
  <si>
    <t>SUA/SSA</t>
  </si>
  <si>
    <t>SUA/SSZ</t>
  </si>
  <si>
    <t>VIX/RIO</t>
  </si>
  <si>
    <t>orig/dest</t>
  </si>
  <si>
    <t>Distância entre Portos (mn)</t>
  </si>
  <si>
    <t>POTENCIAL ANUAL</t>
  </si>
  <si>
    <t>SEMANAL POTENCIAL ESCOLHIDO CHEIO - ANTAC</t>
  </si>
  <si>
    <t>SEMANAL POTENCIAL ESCOLHIDO VAZIO</t>
  </si>
  <si>
    <t>TONELAGEM SEMANAL  ESCOLHIDO</t>
  </si>
  <si>
    <t>TEU SEMANAL  ESCOLHIDO</t>
  </si>
  <si>
    <t>RECEITA SEMANAL</t>
  </si>
  <si>
    <t>Movimentação  2022 - 20DC</t>
  </si>
  <si>
    <t>MATRIZ OD 20 DC CHEIOS - TEU</t>
  </si>
  <si>
    <t>RECEITA - 20DC</t>
  </si>
  <si>
    <t>REC. SEM.</t>
  </si>
  <si>
    <t>Movimentação 2022 - 20 RF</t>
  </si>
  <si>
    <t>MATRIZ OD 40 HC CHEIOS - TEU</t>
  </si>
  <si>
    <t>Movimentação 2022 - 40HC</t>
  </si>
  <si>
    <t>MATRIZ OD 40 RH CHEIOS - TEU</t>
  </si>
  <si>
    <t>Movimentação 2022 - 40RH</t>
  </si>
  <si>
    <t>*20RF não apresentou qauntidade significativa, portanto será desconsiderado</t>
  </si>
  <si>
    <t>MATRIZ OD 20 DC  VAZIOS - TEU</t>
  </si>
  <si>
    <t>RESUMO</t>
  </si>
  <si>
    <t>Movimentação 2022 - unidades</t>
  </si>
  <si>
    <t>MATRIZ OD 40 HC  VAZIOS - TEU</t>
  </si>
  <si>
    <t>Movimentação 2022 - TEU</t>
  </si>
  <si>
    <t>MATRIZ OD 40 RH VAZIOS - TEU</t>
  </si>
  <si>
    <t>comentário sobre a matriz OD  de vazios: colocamos uma restrição no solver de modo que as céluas em verde fossem &gt;= a zero, já que não foi observado o imbalance estrutural e se ficasse com um valor negativo, prejudicaria a lógica do restante da planilha.</t>
  </si>
  <si>
    <t>DESTINOS DA CARGA (TON) - 39200</t>
  </si>
  <si>
    <t>DESTINOS DA CARGA (TEU) - 2800</t>
  </si>
  <si>
    <t>AM(6) -&gt; PE(4)</t>
  </si>
  <si>
    <t>PE(4) -&gt; SP(1)</t>
  </si>
  <si>
    <t>NOSSA MOVIMENTAÇÃO - 20DC</t>
  </si>
  <si>
    <t>FRETE CABOTAGEM POR UNIDADE DE CONTÊNER</t>
  </si>
  <si>
    <t>NOSSA MOVIMENTAÇÃO- 40HC</t>
  </si>
  <si>
    <t>TRECHOS VIÁVEIS</t>
  </si>
  <si>
    <t>SP(1) -- SC(2)</t>
  </si>
  <si>
    <t>SC(2) -- BA(3)</t>
  </si>
  <si>
    <t>BA(3) -- PE(4)</t>
  </si>
  <si>
    <t>PE(4) -- CE(5)</t>
  </si>
  <si>
    <t>CE(5) -- AM(6)</t>
  </si>
  <si>
    <t>AM(6) -- PE(4)</t>
  </si>
  <si>
    <t>PE(4) -- SP(1)</t>
  </si>
  <si>
    <t>1 -- 2</t>
  </si>
  <si>
    <t>6 -- 1</t>
  </si>
  <si>
    <t>2 -- 3</t>
  </si>
  <si>
    <t>5 -- 6</t>
  </si>
  <si>
    <t>3 -- 4</t>
  </si>
  <si>
    <t>4 -- 5</t>
  </si>
  <si>
    <t>NOSSA MOVIMENTAÇÃO - 40RH</t>
  </si>
  <si>
    <t>CUSTO TRANSPORTE PORTAXPORTA SEMANAL</t>
  </si>
  <si>
    <t>CUSTO DEPOT</t>
  </si>
  <si>
    <t>CUSTO TERMINAL DE CONTÊINER</t>
  </si>
  <si>
    <t>CUSTO DEPOT MOVIMENTAÇÃO DE CONTEINER VINDO DA OD DE CHEIOS - SEMANAL</t>
  </si>
  <si>
    <t>CUSTO MOVIMENTAÇÃO DE CHEIOS POR CONTÊINER</t>
  </si>
  <si>
    <t>CUSTO TOTAL</t>
  </si>
  <si>
    <t>CUSTO DEPOT TRANSPORTE DE VAZIOS VINDO DA OD DE VAZIOS - SEMANAL</t>
  </si>
  <si>
    <t>CUSTO MOVIMENTAÇÃO DE VAZIOS POR CONTÊINER</t>
  </si>
  <si>
    <t>CUSTO DEPOT MOVIMENTAÇÃO CONTEINER VINDO DA OD DE VAZIOS - SEMANAL</t>
  </si>
  <si>
    <t>CUSTO TERMINAL CONTÊINER VAZIO SEMANAL</t>
  </si>
  <si>
    <t>CUSTO DEPOT TOTAL</t>
  </si>
  <si>
    <t>CUSTO TC TOTAL</t>
  </si>
  <si>
    <t>Itens de Receitas/Custos/Despesas</t>
  </si>
  <si>
    <t>Ano 0</t>
  </si>
  <si>
    <t>Ano 1</t>
  </si>
  <si>
    <t>Ano 2</t>
  </si>
  <si>
    <t>Ano 3</t>
  </si>
  <si>
    <t>Ano 4</t>
  </si>
  <si>
    <t>+ Receita Operacional</t>
  </si>
  <si>
    <t>- Custos Operacionais</t>
  </si>
  <si>
    <t>Custos dos Navios</t>
  </si>
  <si>
    <t>Afretamento</t>
  </si>
  <si>
    <t>Combustíveis</t>
  </si>
  <si>
    <t>Custos de Escalas</t>
  </si>
  <si>
    <t>Custos dos Terminais de Contêineres</t>
  </si>
  <si>
    <t>Movimentação contêiner Cheio</t>
  </si>
  <si>
    <t>Movimentação contêiner Vazio</t>
  </si>
  <si>
    <t>Custos dos Depots</t>
  </si>
  <si>
    <t>Movimentação de Contêineres Vazios</t>
  </si>
  <si>
    <t>Transporte Depot - Terminal de Contêiner</t>
  </si>
  <si>
    <t>Custo Intermodal</t>
  </si>
  <si>
    <t>Custo da Frota de Contêineres</t>
  </si>
  <si>
    <t>= Resultado Operacional</t>
  </si>
  <si>
    <t>- Despesas</t>
  </si>
  <si>
    <t>Despesas Administrativas</t>
  </si>
  <si>
    <t>= Resultado do Período</t>
  </si>
  <si>
    <t>Taxa Mínima de Atratividade</t>
  </si>
  <si>
    <t>Valor Presente Líquido</t>
  </si>
  <si>
    <t>TIR</t>
  </si>
  <si>
    <t xml:space="preserve">*não tivemos TIR pois não houve resultado negativo </t>
  </si>
  <si>
    <t>Horas</t>
  </si>
  <si>
    <t>Dias</t>
  </si>
  <si>
    <t>Pct item</t>
  </si>
  <si>
    <t>Pct total</t>
  </si>
  <si>
    <t>Qtd de navios</t>
  </si>
  <si>
    <t>Item de Custo</t>
  </si>
  <si>
    <t>Pct Total</t>
  </si>
  <si>
    <t>Tempo de Porto</t>
  </si>
  <si>
    <t>Distância navegação</t>
  </si>
  <si>
    <t>mn</t>
  </si>
  <si>
    <t>Classe</t>
  </si>
  <si>
    <t>Custo Total de MGO (Porto)</t>
  </si>
  <si>
    <t>Velocidade Média</t>
  </si>
  <si>
    <t>nós</t>
  </si>
  <si>
    <t>Frequência</t>
  </si>
  <si>
    <t>dias</t>
  </si>
  <si>
    <t>Custo Total de MGO (Viagem)</t>
  </si>
  <si>
    <t>Operação (h)</t>
  </si>
  <si>
    <t>Tempo Disponível</t>
  </si>
  <si>
    <t>Custo Total de VSFO 0,5%S Viagem</t>
  </si>
  <si>
    <t>Preço VLSFO</t>
  </si>
  <si>
    <t>BRL/t</t>
  </si>
  <si>
    <t>Tempo Viagem</t>
  </si>
  <si>
    <t>Custo Total de Escala</t>
  </si>
  <si>
    <t>Preço MGO</t>
  </si>
  <si>
    <t>Tempo Disponível em horas</t>
  </si>
  <si>
    <t>horas</t>
  </si>
  <si>
    <t>Custo Total de Afretamento</t>
  </si>
  <si>
    <t>Tempos de Viagem</t>
  </si>
  <si>
    <t>Consumo MGO Porto</t>
  </si>
  <si>
    <t>Tempo de navegação</t>
  </si>
  <si>
    <t>Custo Total do Serviço</t>
  </si>
  <si>
    <t>Navegação Mar</t>
  </si>
  <si>
    <t>Consumo MGO Viagem</t>
  </si>
  <si>
    <t>Falta/Excesso Viagem</t>
  </si>
  <si>
    <t>Navegação Canal</t>
  </si>
  <si>
    <t>Charter Rate por dia</t>
  </si>
  <si>
    <t>BRL/dia</t>
  </si>
  <si>
    <t>Pct Falta/Excesso Viagem</t>
  </si>
  <si>
    <t>Capacidade Operacional (@14t/TEU)</t>
  </si>
  <si>
    <t>Tempo Total</t>
  </si>
  <si>
    <t>Charter Rate por hora</t>
  </si>
  <si>
    <t>Excesso/Falta Navegação</t>
  </si>
  <si>
    <t>Slot Cost</t>
  </si>
  <si>
    <t>BRL/TEU</t>
  </si>
  <si>
    <t>Pct Excesso/Falta Navegação</t>
  </si>
  <si>
    <t>Falta/Excesso Total</t>
  </si>
  <si>
    <t>Chegada ao Porto de Praticagem</t>
  </si>
  <si>
    <t>Chegada ao Berço</t>
  </si>
  <si>
    <t>Operação Portuária - Movimentação</t>
  </si>
  <si>
    <t>Saída do Berço</t>
  </si>
  <si>
    <t>Saída do Porto</t>
  </si>
  <si>
    <t>Navegação Entre Portos de Praticagem</t>
  </si>
  <si>
    <t>Custos</t>
  </si>
  <si>
    <t>Dias de Viagem</t>
  </si>
  <si>
    <t>Dia da Semana</t>
  </si>
  <si>
    <t>Hora da Chegada Estação Praticagem</t>
  </si>
  <si>
    <t>Hora de Chegada no Berço</t>
  </si>
  <si>
    <t xml:space="preserve">Embarque Cheios </t>
  </si>
  <si>
    <t>Desembarque Cheios</t>
  </si>
  <si>
    <t>Embarque Vazios</t>
  </si>
  <si>
    <t>Desembarque Vazios</t>
  </si>
  <si>
    <t>Movimentação Estimada Total</t>
  </si>
  <si>
    <t>Produtidade do berço (mvs/h)</t>
  </si>
  <si>
    <t>Tempo de Operação (h)</t>
  </si>
  <si>
    <t xml:space="preserve">Dia da Semana </t>
  </si>
  <si>
    <t>Hora de Saída do Berço</t>
  </si>
  <si>
    <t>Dia</t>
  </si>
  <si>
    <t>Hora de Saída do Porto</t>
  </si>
  <si>
    <t>Distância Estações de Práticos (mn)</t>
  </si>
  <si>
    <t>Velocidade (nós)</t>
  </si>
  <si>
    <t>Corrente (nós)</t>
  </si>
  <si>
    <t>Velocidade Real (nós)</t>
  </si>
  <si>
    <t>Folga de Navegação (h)</t>
  </si>
  <si>
    <t>Consumo de VLFSO (t/h)</t>
  </si>
  <si>
    <t>Consumo VLFSO entre Portos (t)</t>
  </si>
  <si>
    <t>Custo de VLFSO ente Portos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</si>
</sst>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_-* #,##0_-;\-* #,##0_-;_-* &quot;-&quot;??_-;_-@"/>
    <numFmt numFmtId="165" formatCode="0.0%"/>
    <numFmt numFmtId="166" formatCode="[$R$ -416]#,##0.00"/>
    <numFmt numFmtId="167" formatCode="_-* #,##0.00_-;\-* #,##0.00_-;_-* &quot;-&quot;??.00_-;_-@"/>
    <numFmt numFmtId="168" formatCode="_-* #,##0.000_-;\-* #,##0.000_-;_-* &quot;-&quot;??_-;_-@"/>
    <numFmt numFmtId="169" formatCode="General_)"/>
    <numFmt numFmtId="170" formatCode="_-* #,##0.00_-;\-* #,##0.00_-;_-* &quot;-&quot;??_-;_-@"/>
    <numFmt numFmtId="171" formatCode="_-&quot;R$&quot;\ * #,##0_-;\-&quot;R$&quot;\ * #,##0_-;_-&quot;R$&quot;\ * &quot;-&quot;??_-;_-@"/>
    <numFmt numFmtId="172" formatCode="_-* #,##0.0_-;\-* #,##0.0_-;_-* &quot;-&quot;??_-;_-@"/>
    <numFmt numFmtId="173" formatCode="_(* #,##0_);_(* \(#,##0\);_(* &quot;-&quot;??_);_(@_)"/>
    <numFmt numFmtId="174" formatCode="&quot;R$&quot;\ #,##0.00"/>
    <numFmt numFmtId="175" formatCode="0.0"/>
    <numFmt numFmtId="176" formatCode="hh&quot;:&quot;mm"/>
    <numFmt numFmtId="177" formatCode="0.000"/>
    <numFmt numFmtId="178" formatCode="_-&quot;R$&quot;\ * #,##0.00_-;\-&quot;R$&quot;\ * #,##0.00_-;_-&quot;R$&quot;\ * &quot;-&quot;??_-;_-@"/>
  </numFmts>
  <fonts count="2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>
      <color theme="1"/>
      <name val="Calibri"/>
      <scheme val="minor"/>
    </font>
    <font>
      <b/>
      <sz val="11.0"/>
      <color theme="1"/>
      <name val="Calibri"/>
    </font>
    <font/>
    <font>
      <b/>
      <sz val="11.0"/>
      <color rgb="FFFF0000"/>
      <name val="Calibri"/>
    </font>
    <font>
      <sz val="11.0"/>
      <color rgb="FFFF0000"/>
      <name val="Calibri"/>
    </font>
    <font>
      <sz val="20.0"/>
      <color theme="1"/>
      <name val="Calibri"/>
    </font>
    <font>
      <b/>
      <sz val="11.0"/>
      <color rgb="FFFFFFFF"/>
      <name val="Calibri"/>
    </font>
    <font>
      <sz val="11.0"/>
      <color rgb="FFFFFFFF"/>
      <name val="Calibri"/>
    </font>
    <font>
      <b/>
      <sz val="11.0"/>
      <color rgb="FF000000"/>
      <name val="Calibri"/>
    </font>
    <font>
      <b/>
      <sz val="10.0"/>
      <color theme="0"/>
      <name val="Arial"/>
    </font>
    <font>
      <b/>
      <sz val="10.0"/>
      <color theme="1"/>
      <name val="Arial"/>
    </font>
    <font>
      <b/>
      <sz val="14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b/>
      <sz val="11.0"/>
      <color rgb="FFFFFF00"/>
      <name val="Times New Roman"/>
    </font>
    <font>
      <b/>
      <sz val="12.0"/>
      <color theme="1"/>
      <name val="Times New Roman"/>
    </font>
    <font>
      <b/>
      <sz val="12.0"/>
      <color theme="1"/>
      <name val="Arial"/>
    </font>
    <font>
      <b/>
      <sz val="14.0"/>
      <color rgb="FFFF0000"/>
      <name val="Calibri"/>
    </font>
    <font>
      <sz val="14.0"/>
      <color theme="1"/>
      <name val="Calibri"/>
    </font>
    <font>
      <sz val="11.0"/>
      <color rgb="FF000000"/>
      <name val="Calibri"/>
    </font>
    <font>
      <color rgb="FFFF0000"/>
      <name val="Calibri"/>
      <scheme val="minor"/>
    </font>
    <font>
      <sz val="11.0"/>
      <color rgb="FF57C8DD"/>
      <name val="Calibri"/>
    </font>
    <font>
      <u/>
      <sz val="11.0"/>
      <color theme="1"/>
      <name val="Calibri"/>
    </font>
  </fonts>
  <fills count="29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66FFFF"/>
        <bgColor rgb="FF66FFFF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00FF00"/>
        <bgColor rgb="FF00FF00"/>
      </patternFill>
    </fill>
    <fill>
      <patternFill patternType="solid">
        <fgColor rgb="FFCCFFCC"/>
        <bgColor rgb="FFCCFFCC"/>
      </patternFill>
    </fill>
    <fill>
      <patternFill patternType="solid">
        <fgColor rgb="FFD0CECE"/>
        <bgColor rgb="FFD0CECE"/>
      </patternFill>
    </fill>
    <fill>
      <patternFill patternType="solid">
        <fgColor rgb="FF999999"/>
        <bgColor rgb="FF999999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CCFFFF"/>
        <bgColor rgb="FFCCFFFF"/>
      </patternFill>
    </fill>
    <fill>
      <patternFill patternType="solid">
        <fgColor rgb="FF8EAADB"/>
        <bgColor rgb="FF8EAADB"/>
      </patternFill>
    </fill>
    <fill>
      <patternFill patternType="solid">
        <fgColor rgb="FFA3B2CC"/>
        <bgColor rgb="FFA3B2CC"/>
      </patternFill>
    </fill>
    <fill>
      <patternFill patternType="solid">
        <fgColor rgb="FF57C8DD"/>
        <bgColor rgb="FF57C8DD"/>
      </patternFill>
    </fill>
    <fill>
      <patternFill patternType="solid">
        <fgColor rgb="FF7F2A54"/>
        <bgColor rgb="FF7F2A54"/>
      </patternFill>
    </fill>
    <fill>
      <patternFill patternType="solid">
        <fgColor rgb="FF9E5F00"/>
        <bgColor rgb="FF9E5F00"/>
      </patternFill>
    </fill>
    <fill>
      <patternFill patternType="solid">
        <fgColor rgb="FFFFE599"/>
        <bgColor rgb="FFFFE599"/>
      </patternFill>
    </fill>
  </fills>
  <borders count="7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999999"/>
      </left>
      <top style="thin">
        <color rgb="FF999999"/>
      </top>
    </border>
    <border>
      <left style="thin">
        <color rgb="FFFFFFFF"/>
      </left>
      <top style="thin">
        <color rgb="FF999999"/>
      </top>
    </border>
    <border>
      <left style="thin">
        <color rgb="FFFFFFFF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/>
      <right/>
      <top/>
      <bottom style="thin">
        <color rgb="FF8EAADB"/>
      </bottom>
    </border>
    <border>
      <left/>
      <right/>
      <top style="thin">
        <color rgb="FF8EAADB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</border>
    <border>
      <left style="thin">
        <color rgb="FF999999"/>
      </left>
      <right style="thin">
        <color rgb="FF999999"/>
      </right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left/>
      <top/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FF"/>
      </top>
      <bottom style="medium">
        <color rgb="FF000000"/>
      </bottom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  <border>
      <left style="double">
        <color rgb="FF0000FF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double">
        <color rgb="FF0000FF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FF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999999"/>
      </left>
      <right/>
      <top/>
      <bottom/>
    </border>
    <border>
      <left style="thin">
        <color rgb="FF999999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Font="1" applyNumberFormat="1"/>
    <xf borderId="1" fillId="0" fontId="1" numFmtId="0" xfId="0" applyBorder="1" applyFont="1"/>
    <xf borderId="2" fillId="2" fontId="2" numFmtId="0" xfId="0" applyAlignment="1" applyBorder="1" applyFill="1" applyFont="1">
      <alignment horizontal="center"/>
    </xf>
    <xf borderId="2" fillId="2" fontId="2" numFmtId="164" xfId="0" applyAlignment="1" applyBorder="1" applyFont="1" applyNumberFormat="1">
      <alignment horizontal="center"/>
    </xf>
    <xf borderId="3" fillId="2" fontId="2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0" fontId="1" numFmtId="164" xfId="0" applyBorder="1" applyFont="1" applyNumberFormat="1"/>
    <xf borderId="2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0" fontId="3" numFmtId="0" xfId="0" applyFont="1"/>
    <xf borderId="9" fillId="3" fontId="4" numFmtId="0" xfId="0" applyBorder="1" applyFill="1" applyFont="1"/>
    <xf borderId="10" fillId="3" fontId="4" numFmtId="0" xfId="0" applyBorder="1" applyFont="1"/>
    <xf borderId="10" fillId="3" fontId="4" numFmtId="164" xfId="0" applyBorder="1" applyFont="1" applyNumberFormat="1"/>
    <xf borderId="11" fillId="2" fontId="2" numFmtId="0" xfId="0" applyAlignment="1" applyBorder="1" applyFont="1">
      <alignment horizontal="center"/>
    </xf>
    <xf borderId="12" fillId="0" fontId="5" numFmtId="0" xfId="0" applyBorder="1" applyFont="1"/>
    <xf borderId="13" fillId="0" fontId="5" numFmtId="0" xfId="0" applyBorder="1" applyFont="1"/>
    <xf borderId="14" fillId="2" fontId="2" numFmtId="0" xfId="0" applyAlignment="1" applyBorder="1" applyFont="1">
      <alignment horizontal="center"/>
    </xf>
    <xf borderId="15" fillId="2" fontId="2" numFmtId="0" xfId="0" applyAlignment="1" applyBorder="1" applyFont="1">
      <alignment horizontal="center"/>
    </xf>
    <xf borderId="16" fillId="0" fontId="1" numFmtId="0" xfId="0" applyBorder="1" applyFont="1"/>
    <xf borderId="17" fillId="0" fontId="1" numFmtId="0" xfId="0" applyBorder="1" applyFont="1"/>
    <xf borderId="2" fillId="0" fontId="4" numFmtId="0" xfId="0" applyAlignment="1" applyBorder="1" applyFont="1">
      <alignment horizontal="center"/>
    </xf>
    <xf borderId="2" fillId="0" fontId="4" numFmtId="164" xfId="0" applyBorder="1" applyFont="1" applyNumberFormat="1"/>
    <xf borderId="18" fillId="0" fontId="1" numFmtId="0" xfId="0" applyBorder="1" applyFont="1"/>
    <xf borderId="0" fillId="0" fontId="1" numFmtId="0" xfId="0" applyFont="1"/>
    <xf borderId="19" fillId="0" fontId="1" numFmtId="0" xfId="0" applyBorder="1" applyFont="1"/>
    <xf borderId="2" fillId="0" fontId="6" numFmtId="164" xfId="0" applyBorder="1" applyFont="1" applyNumberFormat="1"/>
    <xf borderId="2" fillId="3" fontId="4" numFmtId="0" xfId="0" applyAlignment="1" applyBorder="1" applyFont="1">
      <alignment horizontal="center"/>
    </xf>
    <xf borderId="2" fillId="3" fontId="4" numFmtId="164" xfId="0" applyBorder="1" applyFont="1" applyNumberFormat="1"/>
    <xf borderId="2" fillId="0" fontId="4" numFmtId="164" xfId="0" applyAlignment="1" applyBorder="1" applyFont="1" applyNumberFormat="1">
      <alignment horizontal="left"/>
    </xf>
    <xf borderId="2" fillId="3" fontId="4" numFmtId="164" xfId="0" applyAlignment="1" applyBorder="1" applyFont="1" applyNumberFormat="1">
      <alignment horizontal="left"/>
    </xf>
    <xf borderId="2" fillId="4" fontId="4" numFmtId="164" xfId="0" applyBorder="1" applyFill="1" applyFont="1" applyNumberFormat="1"/>
    <xf borderId="2" fillId="4" fontId="4" numFmtId="0" xfId="0" applyBorder="1" applyFont="1"/>
    <xf borderId="2" fillId="4" fontId="4" numFmtId="165" xfId="0" applyBorder="1" applyFont="1" applyNumberFormat="1"/>
    <xf borderId="0" fillId="0" fontId="7" numFmtId="0" xfId="0" applyFont="1"/>
    <xf borderId="2" fillId="4" fontId="4" numFmtId="164" xfId="0" applyAlignment="1" applyBorder="1" applyFont="1" applyNumberFormat="1">
      <alignment horizontal="left"/>
    </xf>
    <xf borderId="0" fillId="0" fontId="8" numFmtId="0" xfId="0" applyFont="1"/>
    <xf borderId="11" fillId="2" fontId="9" numFmtId="0" xfId="0" applyAlignment="1" applyBorder="1" applyFont="1">
      <alignment horizontal="center"/>
    </xf>
    <xf borderId="15" fillId="5" fontId="1" numFmtId="0" xfId="0" applyBorder="1" applyFill="1" applyFont="1"/>
    <xf borderId="0" fillId="0" fontId="10" numFmtId="0" xfId="0" applyAlignment="1" applyFont="1">
      <alignment horizontal="center" vertical="center"/>
    </xf>
    <xf borderId="20" fillId="6" fontId="10" numFmtId="0" xfId="0" applyAlignment="1" applyBorder="1" applyFill="1" applyFont="1">
      <alignment horizontal="center" vertical="center"/>
    </xf>
    <xf borderId="21" fillId="0" fontId="5" numFmtId="0" xfId="0" applyBorder="1" applyFont="1"/>
    <xf borderId="22" fillId="0" fontId="5" numFmtId="0" xfId="0" applyBorder="1" applyFont="1"/>
    <xf borderId="0" fillId="0" fontId="2" numFmtId="0" xfId="0" applyAlignment="1" applyFont="1">
      <alignment horizontal="center"/>
    </xf>
    <xf borderId="2" fillId="2" fontId="9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2" fillId="0" fontId="4" numFmtId="164" xfId="0" applyAlignment="1" applyBorder="1" applyFont="1" applyNumberFormat="1">
      <alignment horizontal="right"/>
    </xf>
    <xf borderId="2" fillId="0" fontId="4" numFmtId="164" xfId="0" applyAlignment="1" applyBorder="1" applyFont="1" applyNumberFormat="1">
      <alignment horizontal="center" vertical="center"/>
    </xf>
    <xf borderId="23" fillId="0" fontId="4" numFmtId="164" xfId="0" applyAlignment="1" applyBorder="1" applyFont="1" applyNumberFormat="1">
      <alignment horizontal="right"/>
    </xf>
    <xf borderId="23" fillId="0" fontId="4" numFmtId="0" xfId="0" applyAlignment="1" applyBorder="1" applyFont="1">
      <alignment horizontal="center"/>
    </xf>
    <xf borderId="13" fillId="0" fontId="4" numFmtId="164" xfId="0" applyAlignment="1" applyBorder="1" applyFont="1" applyNumberFormat="1">
      <alignment horizontal="right"/>
    </xf>
    <xf borderId="2" fillId="0" fontId="11" numFmtId="164" xfId="0" applyBorder="1" applyFont="1" applyNumberFormat="1"/>
    <xf borderId="0" fillId="0" fontId="9" numFmtId="0" xfId="0" applyAlignment="1" applyFont="1">
      <alignment horizontal="center"/>
    </xf>
    <xf borderId="24" fillId="0" fontId="5" numFmtId="0" xfId="0" applyBorder="1" applyFont="1"/>
    <xf borderId="2" fillId="0" fontId="11" numFmtId="166" xfId="0" applyBorder="1" applyFont="1" applyNumberFormat="1"/>
    <xf borderId="0" fillId="0" fontId="1" numFmtId="166" xfId="0" applyFont="1" applyNumberFormat="1"/>
    <xf borderId="25" fillId="4" fontId="1" numFmtId="0" xfId="0" applyBorder="1" applyFont="1"/>
    <xf borderId="26" fillId="4" fontId="1" numFmtId="0" xfId="0" applyBorder="1" applyFont="1"/>
    <xf borderId="0" fillId="0" fontId="1" numFmtId="0" xfId="0" applyAlignment="1" applyFont="1">
      <alignment horizontal="center" vertical="center"/>
    </xf>
    <xf borderId="11" fillId="7" fontId="1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center" vertical="center"/>
    </xf>
    <xf borderId="2" fillId="2" fontId="9" numFmtId="0" xfId="0" applyAlignment="1" applyBorder="1" applyFont="1">
      <alignment horizontal="center" vertical="center"/>
    </xf>
    <xf borderId="2" fillId="5" fontId="1" numFmtId="0" xfId="0" applyAlignment="1" applyBorder="1" applyFon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8" fontId="1" numFmtId="164" xfId="0" applyAlignment="1" applyBorder="1" applyFill="1" applyFont="1" applyNumberFormat="1">
      <alignment horizontal="center" vertical="center"/>
    </xf>
    <xf borderId="11" fillId="8" fontId="1" numFmtId="0" xfId="0" applyAlignment="1" applyBorder="1" applyFont="1">
      <alignment horizontal="center"/>
    </xf>
    <xf borderId="27" fillId="2" fontId="9" numFmtId="0" xfId="0" applyAlignment="1" applyBorder="1" applyFont="1">
      <alignment horizontal="center"/>
    </xf>
    <xf borderId="28" fillId="2" fontId="9" numFmtId="0" xfId="0" applyAlignment="1" applyBorder="1" applyFont="1">
      <alignment horizontal="center"/>
    </xf>
    <xf borderId="29" fillId="0" fontId="4" numFmtId="167" xfId="0" applyAlignment="1" applyBorder="1" applyFont="1" applyNumberFormat="1">
      <alignment horizontal="right"/>
    </xf>
    <xf borderId="2" fillId="9" fontId="4" numFmtId="164" xfId="0" applyBorder="1" applyFill="1" applyFont="1" applyNumberFormat="1"/>
    <xf borderId="30" fillId="2" fontId="2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wrapText="1"/>
    </xf>
    <xf borderId="13" fillId="0" fontId="4" numFmtId="168" xfId="0" applyBorder="1" applyFont="1" applyNumberFormat="1"/>
    <xf borderId="2" fillId="9" fontId="4" numFmtId="168" xfId="0" applyBorder="1" applyFont="1" applyNumberFormat="1"/>
    <xf borderId="13" fillId="0" fontId="4" numFmtId="164" xfId="0" applyBorder="1" applyFont="1" applyNumberFormat="1"/>
    <xf borderId="2" fillId="9" fontId="4" numFmtId="164" xfId="0" applyAlignment="1" applyBorder="1" applyFont="1" applyNumberFormat="1">
      <alignment horizontal="right"/>
    </xf>
    <xf borderId="2" fillId="2" fontId="2" numFmtId="0" xfId="0" applyAlignment="1" applyBorder="1" applyFont="1">
      <alignment horizontal="center" shrinkToFit="0" vertical="center" wrapText="1"/>
    </xf>
    <xf borderId="2" fillId="2" fontId="12" numFmtId="0" xfId="0" applyAlignment="1" applyBorder="1" applyFont="1">
      <alignment horizontal="center" vertical="center"/>
    </xf>
    <xf borderId="2" fillId="2" fontId="9" numFmtId="169" xfId="0" applyAlignment="1" applyBorder="1" applyFont="1" applyNumberFormat="1">
      <alignment horizontal="center" shrinkToFit="0" vertical="center" wrapText="1"/>
    </xf>
    <xf borderId="2" fillId="4" fontId="13" numFmtId="0" xfId="0" applyAlignment="1" applyBorder="1" applyFont="1">
      <alignment horizontal="center"/>
    </xf>
    <xf borderId="2" fillId="4" fontId="13" numFmtId="170" xfId="0" applyAlignment="1" applyBorder="1" applyFont="1" applyNumberFormat="1">
      <alignment horizontal="center"/>
    </xf>
    <xf borderId="2" fillId="4" fontId="13" numFmtId="0" xfId="0" applyAlignment="1" applyBorder="1" applyFont="1">
      <alignment horizontal="center" vertical="center"/>
    </xf>
    <xf borderId="2" fillId="4" fontId="4" numFmtId="170" xfId="0" applyBorder="1" applyFont="1" applyNumberFormat="1"/>
    <xf borderId="2" fillId="0" fontId="13" numFmtId="0" xfId="0" applyAlignment="1" applyBorder="1" applyFont="1">
      <alignment horizontal="center"/>
    </xf>
    <xf borderId="2" fillId="0" fontId="13" numFmtId="170" xfId="0" applyAlignment="1" applyBorder="1" applyFont="1" applyNumberFormat="1">
      <alignment horizontal="center"/>
    </xf>
    <xf borderId="2" fillId="0" fontId="13" numFmtId="0" xfId="0" applyAlignment="1" applyBorder="1" applyFont="1">
      <alignment horizontal="center" vertical="center"/>
    </xf>
    <xf borderId="2" fillId="0" fontId="4" numFmtId="170" xfId="0" applyBorder="1" applyFont="1" applyNumberFormat="1"/>
    <xf borderId="2" fillId="9" fontId="13" numFmtId="0" xfId="0" applyAlignment="1" applyBorder="1" applyFont="1">
      <alignment horizontal="center"/>
    </xf>
    <xf borderId="2" fillId="9" fontId="13" numFmtId="170" xfId="0" applyAlignment="1" applyBorder="1" applyFont="1" applyNumberFormat="1">
      <alignment horizontal="center"/>
    </xf>
    <xf borderId="2" fillId="9" fontId="13" numFmtId="0" xfId="0" applyAlignment="1" applyBorder="1" applyFont="1">
      <alignment horizontal="center" vertical="center"/>
    </xf>
    <xf borderId="2" fillId="9" fontId="4" numFmtId="170" xfId="0" applyBorder="1" applyFont="1" applyNumberFormat="1"/>
    <xf borderId="31" fillId="2" fontId="9" numFmtId="0" xfId="0" applyAlignment="1" applyBorder="1" applyFont="1">
      <alignment horizontal="center"/>
    </xf>
    <xf borderId="32" fillId="0" fontId="5" numFmtId="0" xfId="0" applyBorder="1" applyFont="1"/>
    <xf borderId="33" fillId="0" fontId="5" numFmtId="0" xfId="0" applyBorder="1" applyFont="1"/>
    <xf borderId="11" fillId="0" fontId="1" numFmtId="0" xfId="0" applyAlignment="1" applyBorder="1" applyFont="1">
      <alignment horizontal="center"/>
    </xf>
    <xf borderId="11" fillId="0" fontId="1" numFmtId="171" xfId="0" applyBorder="1" applyFont="1" applyNumberFormat="1"/>
    <xf borderId="2" fillId="2" fontId="12" numFmtId="0" xfId="0" applyAlignment="1" applyBorder="1" applyFont="1">
      <alignment horizontal="center" shrinkToFit="0" vertical="center" wrapText="1"/>
    </xf>
    <xf borderId="25" fillId="4" fontId="13" numFmtId="0" xfId="0" applyAlignment="1" applyBorder="1" applyFont="1">
      <alignment horizontal="center"/>
    </xf>
    <xf borderId="2" fillId="4" fontId="4" numFmtId="171" xfId="0" applyBorder="1" applyFont="1" applyNumberFormat="1"/>
    <xf borderId="2" fillId="4" fontId="4" numFmtId="172" xfId="0" applyAlignment="1" applyBorder="1" applyFont="1" applyNumberFormat="1">
      <alignment horizontal="center" vertical="center"/>
    </xf>
    <xf borderId="11" fillId="0" fontId="13" numFmtId="0" xfId="0" applyAlignment="1" applyBorder="1" applyFont="1">
      <alignment horizontal="center"/>
    </xf>
    <xf borderId="2" fillId="0" fontId="4" numFmtId="171" xfId="0" applyBorder="1" applyFont="1" applyNumberFormat="1"/>
    <xf borderId="2" fillId="9" fontId="4" numFmtId="172" xfId="0" applyAlignment="1" applyBorder="1" applyFont="1" applyNumberFormat="1">
      <alignment horizontal="center" vertical="center"/>
    </xf>
    <xf borderId="2" fillId="9" fontId="4" numFmtId="172" xfId="0" applyBorder="1" applyFont="1" applyNumberFormat="1"/>
    <xf borderId="0" fillId="0" fontId="1" numFmtId="171" xfId="0" applyFont="1" applyNumberFormat="1"/>
    <xf quotePrefix="1" borderId="0" fillId="0" fontId="1" numFmtId="0" xfId="0" applyFont="1"/>
    <xf borderId="15" fillId="10" fontId="1" numFmtId="0" xfId="0" applyBorder="1" applyFill="1" applyFont="1"/>
    <xf borderId="15" fillId="11" fontId="1" numFmtId="0" xfId="0" applyBorder="1" applyFill="1" applyFont="1"/>
    <xf borderId="11" fillId="12" fontId="9" numFmtId="0" xfId="0" applyAlignment="1" applyBorder="1" applyFill="1" applyFont="1">
      <alignment horizontal="center"/>
    </xf>
    <xf borderId="11" fillId="13" fontId="2" numFmtId="0" xfId="0" applyAlignment="1" applyBorder="1" applyFill="1" applyFont="1">
      <alignment horizontal="center"/>
    </xf>
    <xf borderId="11" fillId="13" fontId="9" numFmtId="0" xfId="0" applyAlignment="1" applyBorder="1" applyFont="1">
      <alignment horizontal="center"/>
    </xf>
    <xf borderId="0" fillId="0" fontId="4" numFmtId="164" xfId="0" applyFont="1" applyNumberFormat="1"/>
    <xf borderId="15" fillId="10" fontId="7" numFmtId="0" xfId="0" applyBorder="1" applyFont="1"/>
    <xf borderId="34" fillId="0" fontId="1" numFmtId="0" xfId="0" applyBorder="1" applyFont="1"/>
    <xf borderId="35" fillId="13" fontId="9" numFmtId="0" xfId="0" applyAlignment="1" applyBorder="1" applyFont="1">
      <alignment horizontal="center"/>
    </xf>
    <xf borderId="36" fillId="0" fontId="5" numFmtId="0" xfId="0" applyBorder="1" applyFont="1"/>
    <xf borderId="37" fillId="0" fontId="5" numFmtId="0" xfId="0" applyBorder="1" applyFont="1"/>
    <xf borderId="38" fillId="0" fontId="1" numFmtId="0" xfId="0" applyBorder="1" applyFont="1"/>
    <xf borderId="39" fillId="12" fontId="9" numFmtId="0" xfId="0" applyAlignment="1" applyBorder="1" applyFont="1">
      <alignment horizontal="center"/>
    </xf>
    <xf borderId="39" fillId="13" fontId="9" numFmtId="0" xfId="0" applyAlignment="1" applyBorder="1" applyFont="1">
      <alignment horizontal="center"/>
    </xf>
    <xf borderId="29" fillId="0" fontId="1" numFmtId="164" xfId="0" applyBorder="1" applyFont="1" applyNumberFormat="1"/>
    <xf borderId="29" fillId="0" fontId="4" numFmtId="164" xfId="0" applyAlignment="1" applyBorder="1" applyFont="1" applyNumberFormat="1">
      <alignment horizontal="right"/>
    </xf>
    <xf borderId="29" fillId="0" fontId="4" numFmtId="0" xfId="0" applyAlignment="1" applyBorder="1" applyFont="1">
      <alignment horizontal="center"/>
    </xf>
    <xf borderId="27" fillId="3" fontId="4" numFmtId="0" xfId="0" applyAlignment="1" applyBorder="1" applyFont="1">
      <alignment horizontal="center"/>
    </xf>
    <xf borderId="28" fillId="3" fontId="4" numFmtId="164" xfId="0" applyAlignment="1" applyBorder="1" applyFont="1" applyNumberFormat="1">
      <alignment horizontal="right"/>
    </xf>
    <xf borderId="28" fillId="3" fontId="4" numFmtId="0" xfId="0" applyAlignment="1" applyBorder="1" applyFont="1">
      <alignment horizontal="center"/>
    </xf>
    <xf borderId="20" fillId="11" fontId="9" numFmtId="0" xfId="0" applyAlignment="1" applyBorder="1" applyFont="1">
      <alignment horizontal="center"/>
    </xf>
    <xf borderId="15" fillId="11" fontId="9" numFmtId="0" xfId="0" applyAlignment="1" applyBorder="1" applyFont="1">
      <alignment horizontal="center"/>
    </xf>
    <xf borderId="15" fillId="11" fontId="4" numFmtId="0" xfId="0" applyAlignment="1" applyBorder="1" applyFont="1">
      <alignment horizontal="center"/>
    </xf>
    <xf borderId="15" fillId="11" fontId="4" numFmtId="164" xfId="0" applyBorder="1" applyFont="1" applyNumberFormat="1"/>
    <xf borderId="15" fillId="14" fontId="1" numFmtId="0" xfId="0" applyBorder="1" applyFill="1" applyFont="1"/>
    <xf borderId="15" fillId="2" fontId="9" numFmtId="0" xfId="0" applyAlignment="1" applyBorder="1" applyFont="1">
      <alignment horizontal="center"/>
    </xf>
    <xf borderId="40" fillId="0" fontId="9" numFmtId="0" xfId="0" applyAlignment="1" applyBorder="1" applyFont="1">
      <alignment horizontal="center"/>
    </xf>
    <xf borderId="41" fillId="0" fontId="9" numFmtId="0" xfId="0" applyAlignment="1" applyBorder="1" applyFont="1">
      <alignment horizontal="center"/>
    </xf>
    <xf borderId="41" fillId="0" fontId="9" numFmtId="164" xfId="0" applyAlignment="1" applyBorder="1" applyFont="1" applyNumberFormat="1">
      <alignment horizontal="center"/>
    </xf>
    <xf borderId="42" fillId="0" fontId="9" numFmtId="0" xfId="0" applyAlignment="1" applyBorder="1" applyFont="1">
      <alignment horizontal="center"/>
    </xf>
    <xf borderId="43" fillId="0" fontId="1" numFmtId="0" xfId="0" applyBorder="1" applyFont="1"/>
    <xf borderId="44" fillId="0" fontId="1" numFmtId="0" xfId="0" applyBorder="1" applyFont="1"/>
    <xf borderId="44" fillId="0" fontId="1" numFmtId="164" xfId="0" applyBorder="1" applyFont="1" applyNumberFormat="1"/>
    <xf borderId="45" fillId="0" fontId="1" numFmtId="0" xfId="0" applyBorder="1" applyFont="1"/>
    <xf borderId="2" fillId="0" fontId="4" numFmtId="9" xfId="0" applyAlignment="1" applyBorder="1" applyFont="1" applyNumberFormat="1">
      <alignment horizontal="center"/>
    </xf>
    <xf borderId="0" fillId="0" fontId="1" numFmtId="9" xfId="0" applyFont="1" applyNumberFormat="1"/>
    <xf borderId="0" fillId="0" fontId="4" numFmtId="0" xfId="0" applyAlignment="1" applyFont="1">
      <alignment horizontal="center" vertical="center"/>
    </xf>
    <xf borderId="39" fillId="2" fontId="2" numFmtId="0" xfId="0" applyAlignment="1" applyBorder="1" applyFont="1">
      <alignment horizontal="center"/>
    </xf>
    <xf borderId="46" fillId="0" fontId="5" numFmtId="0" xfId="0" applyBorder="1" applyFont="1"/>
    <xf borderId="2" fillId="2" fontId="9" numFmtId="0" xfId="0" applyAlignment="1" applyBorder="1" applyFont="1">
      <alignment horizontal="center" shrinkToFit="0" vertical="center" wrapText="1"/>
    </xf>
    <xf borderId="2" fillId="2" fontId="2" numFmtId="169" xfId="0" applyAlignment="1" applyBorder="1" applyFont="1" applyNumberFormat="1">
      <alignment horizontal="center" shrinkToFit="0" vertical="center" wrapText="1"/>
    </xf>
    <xf borderId="11" fillId="11" fontId="14" numFmtId="1" xfId="0" applyAlignment="1" applyBorder="1" applyFont="1" applyNumberFormat="1">
      <alignment horizontal="center" vertical="center"/>
    </xf>
    <xf borderId="0" fillId="0" fontId="1" numFmtId="1" xfId="0" applyFont="1" applyNumberFormat="1"/>
    <xf borderId="47" fillId="15" fontId="15" numFmtId="1" xfId="0" applyAlignment="1" applyBorder="1" applyFill="1" applyFont="1" applyNumberFormat="1">
      <alignment horizontal="center" textRotation="90"/>
    </xf>
    <xf borderId="48" fillId="4" fontId="15" numFmtId="1" xfId="0" applyAlignment="1" applyBorder="1" applyFont="1" applyNumberFormat="1">
      <alignment horizontal="center" textRotation="90"/>
    </xf>
    <xf borderId="0" fillId="0" fontId="16" numFmtId="1" xfId="0" applyAlignment="1" applyFont="1" applyNumberFormat="1">
      <alignment horizontal="center" textRotation="90"/>
    </xf>
    <xf borderId="49" fillId="15" fontId="15" numFmtId="1" xfId="0" applyAlignment="1" applyBorder="1" applyFont="1" applyNumberFormat="1">
      <alignment horizontal="left" vertical="center"/>
    </xf>
    <xf borderId="50" fillId="11" fontId="13" numFmtId="1" xfId="0" applyAlignment="1" applyBorder="1" applyFont="1" applyNumberFormat="1">
      <alignment horizontal="center"/>
    </xf>
    <xf borderId="50" fillId="0" fontId="13" numFmtId="1" xfId="0" applyAlignment="1" applyBorder="1" applyFont="1" applyNumberFormat="1">
      <alignment horizontal="center"/>
    </xf>
    <xf borderId="51" fillId="15" fontId="15" numFmtId="1" xfId="0" applyBorder="1" applyFont="1" applyNumberFormat="1"/>
    <xf borderId="48" fillId="0" fontId="13" numFmtId="1" xfId="0" applyAlignment="1" applyBorder="1" applyFont="1" applyNumberFormat="1">
      <alignment horizontal="center"/>
    </xf>
    <xf borderId="48" fillId="4" fontId="15" numFmtId="1" xfId="0" applyAlignment="1" applyBorder="1" applyFont="1" applyNumberFormat="1">
      <alignment horizontal="left" vertical="center"/>
    </xf>
    <xf borderId="52" fillId="15" fontId="15" numFmtId="1" xfId="0" applyAlignment="1" applyBorder="1" applyFont="1" applyNumberFormat="1">
      <alignment horizontal="center" textRotation="90"/>
    </xf>
    <xf borderId="48" fillId="4" fontId="17" numFmtId="1" xfId="0" applyBorder="1" applyFont="1" applyNumberFormat="1"/>
    <xf borderId="0" fillId="0" fontId="16" numFmtId="1" xfId="0" applyFont="1" applyNumberFormat="1"/>
    <xf borderId="15" fillId="11" fontId="18" numFmtId="1" xfId="0" applyAlignment="1" applyBorder="1" applyFont="1" applyNumberFormat="1">
      <alignment horizontal="left" vertical="center"/>
    </xf>
    <xf borderId="0" fillId="0" fontId="19" numFmtId="1" xfId="0" applyAlignment="1" applyFont="1" applyNumberFormat="1">
      <alignment horizontal="center"/>
    </xf>
    <xf borderId="0" fillId="0" fontId="18" numFmtId="1" xfId="0" applyFont="1" applyNumberFormat="1"/>
    <xf borderId="0" fillId="0" fontId="19" numFmtId="1" xfId="0" applyFont="1" applyNumberFormat="1"/>
    <xf borderId="0" fillId="0" fontId="15" numFmtId="1" xfId="0" applyAlignment="1" applyFont="1" applyNumberFormat="1">
      <alignment horizontal="left" vertical="center"/>
    </xf>
    <xf borderId="0" fillId="0" fontId="13" numFmtId="1" xfId="0" applyAlignment="1" applyFont="1" applyNumberFormat="1">
      <alignment horizontal="center"/>
    </xf>
    <xf borderId="15" fillId="11" fontId="16" numFmtId="1" xfId="0" applyAlignment="1" applyBorder="1" applyFont="1" applyNumberFormat="1">
      <alignment horizontal="left" vertical="center"/>
    </xf>
    <xf borderId="2" fillId="2" fontId="12" numFmtId="0" xfId="0" applyAlignment="1" applyBorder="1" applyFont="1">
      <alignment horizontal="center"/>
    </xf>
    <xf borderId="27" fillId="2" fontId="12" numFmtId="0" xfId="0" applyAlignment="1" applyBorder="1" applyFont="1">
      <alignment horizontal="center"/>
    </xf>
    <xf borderId="27" fillId="2" fontId="2" numFmtId="0" xfId="0" applyAlignment="1" applyBorder="1" applyFont="1">
      <alignment horizontal="center"/>
    </xf>
    <xf borderId="2" fillId="0" fontId="4" numFmtId="172" xfId="0" applyBorder="1" applyFont="1" applyNumberFormat="1"/>
    <xf borderId="0" fillId="0" fontId="1" numFmtId="0" xfId="0" applyAlignment="1" applyFont="1">
      <alignment shrinkToFit="0" vertical="center" wrapText="1"/>
    </xf>
    <xf borderId="2" fillId="0" fontId="4" numFmtId="0" xfId="0" applyBorder="1" applyFont="1"/>
    <xf borderId="0" fillId="0" fontId="1" numFmtId="0" xfId="0" applyAlignment="1" applyFont="1">
      <alignment shrinkToFit="0" wrapText="1"/>
    </xf>
    <xf borderId="0" fillId="0" fontId="20" numFmtId="0" xfId="0" applyAlignment="1" applyFont="1">
      <alignment horizontal="center" shrinkToFit="0" vertical="center" wrapText="1"/>
    </xf>
    <xf borderId="0" fillId="0" fontId="4" numFmtId="0" xfId="0" applyFont="1"/>
    <xf borderId="30" fillId="2" fontId="12" numFmtId="0" xfId="0" applyAlignment="1" applyBorder="1" applyFont="1">
      <alignment horizontal="center"/>
    </xf>
    <xf borderId="2" fillId="16" fontId="4" numFmtId="37" xfId="0" applyBorder="1" applyFill="1" applyFont="1" applyNumberFormat="1"/>
    <xf borderId="2" fillId="0" fontId="4" numFmtId="37" xfId="0" applyBorder="1" applyFont="1" applyNumberFormat="1"/>
    <xf borderId="0" fillId="0" fontId="4" numFmtId="37" xfId="0" applyFont="1" applyNumberFormat="1"/>
    <xf borderId="2" fillId="0" fontId="4" numFmtId="173" xfId="0" applyBorder="1" applyFont="1" applyNumberFormat="1"/>
    <xf borderId="15" fillId="17" fontId="1" numFmtId="0" xfId="0" applyBorder="1" applyFill="1" applyFont="1"/>
    <xf borderId="15" fillId="6" fontId="10" numFmtId="0" xfId="0" applyAlignment="1" applyBorder="1" applyFont="1">
      <alignment horizontal="center" vertical="center"/>
    </xf>
    <xf borderId="15" fillId="17" fontId="10" numFmtId="0" xfId="0" applyAlignment="1" applyBorder="1" applyFont="1">
      <alignment horizontal="center" vertical="center"/>
    </xf>
    <xf borderId="2" fillId="14" fontId="11" numFmtId="164" xfId="0" applyBorder="1" applyFont="1" applyNumberFormat="1"/>
    <xf borderId="15" fillId="17" fontId="7" numFmtId="0" xfId="0" applyBorder="1" applyFont="1"/>
    <xf borderId="0" fillId="0" fontId="6" numFmtId="0" xfId="0" applyFont="1"/>
    <xf borderId="15" fillId="17" fontId="4" numFmtId="0" xfId="0" applyAlignment="1" applyBorder="1" applyFont="1">
      <alignment horizontal="center"/>
    </xf>
    <xf borderId="2" fillId="14" fontId="4" numFmtId="164" xfId="0" applyBorder="1" applyFont="1" applyNumberFormat="1"/>
    <xf borderId="53" fillId="18" fontId="21" numFmtId="0" xfId="0" applyAlignment="1" applyBorder="1" applyFill="1" applyFont="1">
      <alignment shrinkToFit="0" wrapText="1"/>
    </xf>
    <xf borderId="54" fillId="0" fontId="5" numFmtId="0" xfId="0" applyBorder="1" applyFont="1"/>
    <xf borderId="55" fillId="0" fontId="5" numFmtId="0" xfId="0" applyBorder="1" applyFont="1"/>
    <xf borderId="56" fillId="0" fontId="5" numFmtId="0" xfId="0" applyBorder="1" applyFont="1"/>
    <xf borderId="57" fillId="0" fontId="5" numFmtId="0" xfId="0" applyBorder="1" applyFont="1"/>
    <xf borderId="58" fillId="0" fontId="5" numFmtId="0" xfId="0" applyBorder="1" applyFont="1"/>
    <xf borderId="59" fillId="0" fontId="5" numFmtId="0" xfId="0" applyBorder="1" applyFont="1"/>
    <xf borderId="60" fillId="0" fontId="5" numFmtId="0" xfId="0" applyBorder="1" applyFont="1"/>
    <xf borderId="2" fillId="0" fontId="1" numFmtId="164" xfId="0" applyAlignment="1" applyBorder="1" applyFont="1" applyNumberFormat="1">
      <alignment horizontal="right"/>
    </xf>
    <xf borderId="2" fillId="0" fontId="1" numFmtId="164" xfId="0" applyAlignment="1" applyBorder="1" applyFont="1" applyNumberFormat="1">
      <alignment horizontal="right" vertical="center"/>
    </xf>
    <xf borderId="2" fillId="5" fontId="1" numFmtId="164" xfId="0" applyAlignment="1" applyBorder="1" applyFont="1" applyNumberFormat="1">
      <alignment horizontal="right" vertical="center"/>
    </xf>
    <xf borderId="0" fillId="0" fontId="1" numFmtId="164" xfId="0" applyAlignment="1" applyFont="1" applyNumberFormat="1">
      <alignment horizontal="right"/>
    </xf>
    <xf borderId="61" fillId="0" fontId="1" numFmtId="164" xfId="0" applyAlignment="1" applyBorder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2" fillId="4" fontId="11" numFmtId="164" xfId="0" applyBorder="1" applyFont="1" applyNumberFormat="1"/>
    <xf borderId="62" fillId="0" fontId="1" numFmtId="0" xfId="0" applyAlignment="1" applyBorder="1" applyFont="1">
      <alignment horizontal="right" vertical="center"/>
    </xf>
    <xf borderId="63" fillId="19" fontId="1" numFmtId="164" xfId="0" applyBorder="1" applyFill="1" applyFont="1" applyNumberFormat="1"/>
    <xf borderId="15" fillId="19" fontId="1" numFmtId="164" xfId="0" applyBorder="1" applyFont="1" applyNumberFormat="1"/>
    <xf borderId="18" fillId="0" fontId="4" numFmtId="0" xfId="0" applyAlignment="1" applyBorder="1" applyFont="1">
      <alignment horizontal="center" vertical="center"/>
    </xf>
    <xf borderId="64" fillId="9" fontId="11" numFmtId="0" xfId="0" applyAlignment="1" applyBorder="1" applyFont="1">
      <alignment horizontal="center" vertical="center"/>
    </xf>
    <xf borderId="65" fillId="9" fontId="11" numFmtId="0" xfId="0" applyAlignment="1" applyBorder="1" applyFont="1">
      <alignment horizontal="center" vertical="center"/>
    </xf>
    <xf borderId="63" fillId="9" fontId="22" numFmtId="164" xfId="0" applyAlignment="1" applyBorder="1" applyFont="1" applyNumberFormat="1">
      <alignment horizontal="center" vertical="center"/>
    </xf>
    <xf borderId="15" fillId="9" fontId="22" numFmtId="0" xfId="0" applyAlignment="1" applyBorder="1" applyFont="1">
      <alignment horizontal="center" vertical="center"/>
    </xf>
    <xf borderId="15" fillId="11" fontId="1" numFmtId="0" xfId="0" applyAlignment="1" applyBorder="1" applyFont="1">
      <alignment horizontal="center"/>
    </xf>
    <xf borderId="63" fillId="9" fontId="22" numFmtId="0" xfId="0" applyAlignment="1" applyBorder="1" applyFont="1">
      <alignment horizontal="center" vertical="center"/>
    </xf>
    <xf borderId="15" fillId="9" fontId="22" numFmtId="164" xfId="0" applyAlignment="1" applyBorder="1" applyFont="1" applyNumberFormat="1">
      <alignment horizontal="center" vertical="center"/>
    </xf>
    <xf borderId="20" fillId="20" fontId="1" numFmtId="0" xfId="0" applyAlignment="1" applyBorder="1" applyFill="1" applyFont="1">
      <alignment horizontal="center"/>
    </xf>
    <xf borderId="11" fillId="2" fontId="9" numFmtId="0" xfId="0" applyAlignment="1" applyBorder="1" applyFont="1">
      <alignment horizontal="center" shrinkToFit="0" wrapText="1"/>
    </xf>
    <xf borderId="2" fillId="2" fontId="2" numFmtId="0" xfId="0" applyAlignment="1" applyBorder="1" applyFont="1">
      <alignment horizontal="center" vertical="center"/>
    </xf>
    <xf borderId="2" fillId="2" fontId="9" numFmtId="169" xfId="0" applyAlignment="1" applyBorder="1" applyFont="1" applyNumberFormat="1">
      <alignment horizontal="center" vertical="center"/>
    </xf>
    <xf borderId="0" fillId="0" fontId="1" numFmtId="170" xfId="0" applyFont="1" applyNumberFormat="1"/>
    <xf borderId="15" fillId="21" fontId="1" numFmtId="0" xfId="0" applyBorder="1" applyFill="1" applyFont="1"/>
    <xf borderId="15" fillId="21" fontId="1" numFmtId="164" xfId="0" applyBorder="1" applyFont="1" applyNumberFormat="1"/>
    <xf borderId="66" fillId="0" fontId="5" numFmtId="0" xfId="0" applyBorder="1" applyFont="1"/>
    <xf borderId="2" fillId="7" fontId="4" numFmtId="14" xfId="0" applyAlignment="1" applyBorder="1" applyFont="1" applyNumberFormat="1">
      <alignment horizontal="center"/>
    </xf>
    <xf quotePrefix="1" borderId="2" fillId="22" fontId="4" numFmtId="0" xfId="0" applyBorder="1" applyFill="1" applyFont="1"/>
    <xf borderId="2" fillId="22" fontId="4" numFmtId="164" xfId="0" applyBorder="1" applyFont="1" applyNumberFormat="1"/>
    <xf quotePrefix="1" borderId="2" fillId="15" fontId="4" numFmtId="0" xfId="0" applyBorder="1" applyFont="1"/>
    <xf borderId="2" fillId="15" fontId="4" numFmtId="164" xfId="0" applyBorder="1" applyFont="1" applyNumberFormat="1"/>
    <xf borderId="2" fillId="11" fontId="4" numFmtId="0" xfId="0" applyAlignment="1" applyBorder="1" applyFont="1">
      <alignment horizontal="left"/>
    </xf>
    <xf borderId="2" fillId="11" fontId="4" numFmtId="164" xfId="0" applyBorder="1" applyFont="1" applyNumberFormat="1"/>
    <xf borderId="2" fillId="0" fontId="4" numFmtId="0" xfId="0" applyAlignment="1" applyBorder="1" applyFont="1">
      <alignment horizontal="left"/>
    </xf>
    <xf borderId="61" fillId="0" fontId="1" numFmtId="164" xfId="0" applyBorder="1" applyFont="1" applyNumberFormat="1"/>
    <xf borderId="11" fillId="0" fontId="4" numFmtId="0" xfId="0" applyAlignment="1" applyBorder="1" applyFont="1">
      <alignment horizontal="right"/>
    </xf>
    <xf borderId="27" fillId="11" fontId="4" numFmtId="164" xfId="0" applyBorder="1" applyFont="1" applyNumberFormat="1"/>
    <xf borderId="2" fillId="11" fontId="4" numFmtId="0" xfId="0" applyAlignment="1" applyBorder="1" applyFont="1">
      <alignment horizontal="right"/>
    </xf>
    <xf borderId="2" fillId="11" fontId="1" numFmtId="164" xfId="0" applyBorder="1" applyFont="1" applyNumberFormat="1"/>
    <xf quotePrefix="1" borderId="2" fillId="22" fontId="4" numFmtId="0" xfId="0" applyAlignment="1" applyBorder="1" applyFont="1">
      <alignment horizontal="left"/>
    </xf>
    <xf quotePrefix="1" borderId="2" fillId="15" fontId="4" numFmtId="0" xfId="0" applyAlignment="1" applyBorder="1" applyFont="1">
      <alignment horizontal="left"/>
    </xf>
    <xf borderId="2" fillId="0" fontId="4" numFmtId="0" xfId="0" applyAlignment="1" applyBorder="1" applyFont="1">
      <alignment horizontal="right"/>
    </xf>
    <xf quotePrefix="1" borderId="2" fillId="7" fontId="4" numFmtId="0" xfId="0" applyAlignment="1" applyBorder="1" applyFont="1">
      <alignment horizontal="left"/>
    </xf>
    <xf borderId="2" fillId="7" fontId="4" numFmtId="174" xfId="0" applyBorder="1" applyFont="1" applyNumberFormat="1"/>
    <xf borderId="2" fillId="4" fontId="6" numFmtId="0" xfId="0" applyBorder="1" applyFont="1"/>
    <xf borderId="2" fillId="4" fontId="6" numFmtId="9" xfId="0" applyBorder="1" applyFont="1" applyNumberFormat="1"/>
    <xf borderId="0" fillId="0" fontId="23" numFmtId="0" xfId="0" applyAlignment="1" applyFont="1">
      <alignment readingOrder="0"/>
    </xf>
    <xf borderId="0" fillId="0" fontId="1" numFmtId="2" xfId="0" applyFont="1" applyNumberFormat="1"/>
    <xf borderId="2" fillId="20" fontId="10" numFmtId="0" xfId="0" applyAlignment="1" applyBorder="1" applyFont="1">
      <alignment horizontal="left" vertical="center"/>
    </xf>
    <xf borderId="2" fillId="20" fontId="10" numFmtId="0" xfId="0" applyAlignment="1" applyBorder="1" applyFont="1">
      <alignment horizontal="center" vertical="center"/>
    </xf>
    <xf borderId="11" fillId="20" fontId="10" numFmtId="0" xfId="0" applyAlignment="1" applyBorder="1" applyFont="1">
      <alignment horizontal="left" vertical="center"/>
    </xf>
    <xf borderId="11" fillId="0" fontId="4" numFmtId="0" xfId="0" applyBorder="1" applyFont="1"/>
    <xf borderId="25" fillId="4" fontId="4" numFmtId="0" xfId="0" applyBorder="1" applyFont="1"/>
    <xf borderId="13" fillId="0" fontId="4" numFmtId="0" xfId="0" applyBorder="1" applyFont="1"/>
    <xf borderId="11" fillId="20" fontId="10" numFmtId="0" xfId="0" applyAlignment="1" applyBorder="1" applyFont="1">
      <alignment horizontal="center" vertical="center"/>
    </xf>
    <xf borderId="2" fillId="8" fontId="4" numFmtId="0" xfId="0" applyBorder="1" applyFont="1"/>
    <xf borderId="2" fillId="8" fontId="1" numFmtId="172" xfId="0" applyBorder="1" applyFont="1" applyNumberFormat="1"/>
    <xf borderId="2" fillId="8" fontId="1" numFmtId="175" xfId="0" applyBorder="1" applyFont="1" applyNumberFormat="1"/>
    <xf borderId="2" fillId="8" fontId="1" numFmtId="0" xfId="0" applyBorder="1" applyFont="1"/>
    <xf borderId="2" fillId="8" fontId="1" numFmtId="165" xfId="0" applyBorder="1" applyFont="1" applyNumberFormat="1"/>
    <xf borderId="2" fillId="0" fontId="4" numFmtId="39" xfId="0" applyBorder="1" applyFont="1" applyNumberFormat="1"/>
    <xf borderId="2" fillId="0" fontId="4" numFmtId="4" xfId="0" applyBorder="1" applyFont="1" applyNumberFormat="1"/>
    <xf borderId="2" fillId="0" fontId="4" numFmtId="10" xfId="0" applyBorder="1" applyFont="1" applyNumberFormat="1"/>
    <xf borderId="2" fillId="0" fontId="1" numFmtId="172" xfId="0" applyBorder="1" applyFont="1" applyNumberFormat="1"/>
    <xf borderId="2" fillId="0" fontId="1" numFmtId="175" xfId="0" applyBorder="1" applyFont="1" applyNumberFormat="1"/>
    <xf borderId="2" fillId="0" fontId="1" numFmtId="10" xfId="0" applyBorder="1" applyFont="1" applyNumberFormat="1"/>
    <xf borderId="2" fillId="0" fontId="1" numFmtId="165" xfId="0" applyBorder="1" applyFont="1" applyNumberFormat="1"/>
    <xf borderId="2" fillId="0" fontId="4" numFmtId="2" xfId="0" applyBorder="1" applyFont="1" applyNumberFormat="1"/>
    <xf borderId="11" fillId="0" fontId="4" numFmtId="175" xfId="0" applyBorder="1" applyFont="1" applyNumberFormat="1"/>
    <xf borderId="67" fillId="0" fontId="4" numFmtId="0" xfId="0" applyBorder="1" applyFont="1"/>
    <xf borderId="62" fillId="0" fontId="5" numFmtId="0" xfId="0" applyBorder="1" applyFont="1"/>
    <xf borderId="68" fillId="0" fontId="5" numFmtId="0" xfId="0" applyBorder="1" applyFont="1"/>
    <xf borderId="61" fillId="0" fontId="4" numFmtId="166" xfId="0" applyBorder="1" applyFont="1" applyNumberFormat="1"/>
    <xf borderId="0" fillId="0" fontId="1" numFmtId="174" xfId="0" applyAlignment="1" applyFont="1" applyNumberFormat="1">
      <alignment horizontal="center"/>
    </xf>
    <xf borderId="2" fillId="23" fontId="4" numFmtId="0" xfId="0" applyBorder="1" applyFill="1" applyFont="1"/>
    <xf borderId="2" fillId="23" fontId="1" numFmtId="172" xfId="0" applyBorder="1" applyFont="1" applyNumberFormat="1"/>
    <xf borderId="2" fillId="23" fontId="1" numFmtId="175" xfId="0" applyBorder="1" applyFont="1" applyNumberFormat="1"/>
    <xf borderId="2" fillId="23" fontId="1" numFmtId="0" xfId="0" applyBorder="1" applyFont="1"/>
    <xf borderId="2" fillId="23" fontId="1" numFmtId="165" xfId="0" applyBorder="1" applyFont="1" applyNumberFormat="1"/>
    <xf borderId="69" fillId="24" fontId="4" numFmtId="0" xfId="0" applyBorder="1" applyFill="1" applyFont="1"/>
    <xf borderId="70" fillId="0" fontId="5" numFmtId="0" xfId="0" applyBorder="1" applyFont="1"/>
    <xf borderId="71" fillId="0" fontId="5" numFmtId="0" xfId="0" applyBorder="1" applyFont="1"/>
    <xf borderId="72" fillId="24" fontId="4" numFmtId="166" xfId="0" applyBorder="1" applyFont="1" applyNumberFormat="1"/>
    <xf borderId="72" fillId="24" fontId="4" numFmtId="10" xfId="0" applyBorder="1" applyFont="1" applyNumberFormat="1"/>
    <xf borderId="11" fillId="23" fontId="4" numFmtId="0" xfId="0" applyBorder="1" applyFont="1"/>
    <xf borderId="25" fillId="23" fontId="4" numFmtId="10" xfId="0" applyBorder="1" applyFont="1" applyNumberFormat="1"/>
    <xf borderId="26" fillId="23" fontId="4" numFmtId="0" xfId="0" applyBorder="1" applyFont="1"/>
    <xf borderId="11" fillId="0" fontId="24" numFmtId="0" xfId="0" applyBorder="1" applyFont="1"/>
    <xf borderId="2" fillId="0" fontId="24" numFmtId="0" xfId="0" applyBorder="1" applyFont="1"/>
    <xf borderId="30" fillId="23" fontId="1" numFmtId="175" xfId="0" applyBorder="1" applyFont="1" applyNumberFormat="1"/>
    <xf borderId="62" fillId="0" fontId="1" numFmtId="2" xfId="0" applyBorder="1" applyFont="1" applyNumberFormat="1"/>
    <xf borderId="11" fillId="25" fontId="2" numFmtId="0" xfId="0" applyAlignment="1" applyBorder="1" applyFill="1" applyFont="1">
      <alignment horizontal="center" vertical="center"/>
    </xf>
    <xf borderId="11" fillId="26" fontId="9" numFmtId="0" xfId="0" applyAlignment="1" applyBorder="1" applyFill="1" applyFont="1">
      <alignment horizontal="center"/>
    </xf>
    <xf borderId="11" fillId="14" fontId="2" numFmtId="0" xfId="0" applyAlignment="1" applyBorder="1" applyFont="1">
      <alignment horizontal="center"/>
    </xf>
    <xf borderId="11" fillId="27" fontId="2" numFmtId="0" xfId="0" applyAlignment="1" applyBorder="1" applyFill="1" applyFont="1">
      <alignment horizontal="center" vertical="center"/>
    </xf>
    <xf borderId="11" fillId="21" fontId="2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shrinkToFit="0" vertical="center" wrapText="1"/>
    </xf>
    <xf borderId="2" fillId="0" fontId="1" numFmtId="176" xfId="0" applyAlignment="1" applyBorder="1" applyFont="1" applyNumberFormat="1">
      <alignment horizontal="center" vertical="center"/>
    </xf>
    <xf borderId="2" fillId="0" fontId="1" numFmtId="170" xfId="0" applyAlignment="1" applyBorder="1" applyFont="1" applyNumberFormat="1">
      <alignment horizontal="center" vertical="center"/>
    </xf>
    <xf borderId="2" fillId="28" fontId="1" numFmtId="164" xfId="0" applyAlignment="1" applyBorder="1" applyFill="1" applyFont="1" applyNumberFormat="1">
      <alignment horizontal="center" vertical="center"/>
    </xf>
    <xf borderId="2" fillId="0" fontId="1" numFmtId="175" xfId="0" applyAlignment="1" applyBorder="1" applyFont="1" applyNumberFormat="1">
      <alignment horizontal="center" vertical="center"/>
    </xf>
    <xf borderId="2" fillId="0" fontId="1" numFmtId="37" xfId="0" applyAlignment="1" applyBorder="1" applyFont="1" applyNumberFormat="1">
      <alignment horizontal="center" vertical="center"/>
    </xf>
    <xf borderId="2" fillId="0" fontId="1" numFmtId="2" xfId="0" applyAlignment="1" applyBorder="1" applyFont="1" applyNumberFormat="1">
      <alignment horizontal="center" vertical="center"/>
    </xf>
    <xf borderId="2" fillId="0" fontId="1" numFmtId="1" xfId="0" applyAlignment="1" applyBorder="1" applyFont="1" applyNumberFormat="1">
      <alignment horizontal="center" vertical="center"/>
    </xf>
    <xf borderId="2" fillId="0" fontId="1" numFmtId="177" xfId="0" applyAlignment="1" applyBorder="1" applyFont="1" applyNumberFormat="1">
      <alignment horizontal="center" vertical="center"/>
    </xf>
    <xf borderId="2" fillId="0" fontId="1" numFmtId="178" xfId="0" applyAlignment="1" applyBorder="1" applyFont="1" applyNumberFormat="1">
      <alignment horizontal="center" vertical="center"/>
    </xf>
    <xf borderId="0" fillId="0" fontId="25" numFmtId="0" xfId="0" applyFont="1"/>
    <xf borderId="2" fillId="0" fontId="1" numFmtId="20" xfId="0" applyAlignment="1" applyBorder="1" applyFont="1" applyNumberFormat="1">
      <alignment horizontal="center" vertical="center"/>
    </xf>
    <xf borderId="2" fillId="28" fontId="1" numFmtId="0" xfId="0" applyAlignment="1" applyBorder="1" applyFont="1">
      <alignment horizontal="center" vertical="center"/>
    </xf>
    <xf borderId="2" fillId="0" fontId="1" numFmtId="166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lhe1-AM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pivotCacheDefinition" Target="pivotCache/pivotCacheDefinition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% Movimentação</c:v>
          </c:tx>
          <c:spPr>
            <a:ln cmpd="sng" w="5715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'% Movimentação'!$B$4:$B$8</c:f>
            </c:strRef>
          </c:cat>
          <c:val>
            <c:numRef>
              <c:f>'% Movimentação'!$D$4:$D$8</c:f>
              <c:numCache/>
            </c:numRef>
          </c:val>
          <c:smooth val="0"/>
        </c:ser>
        <c:axId val="1031095509"/>
        <c:axId val="1193733820"/>
      </c:lineChart>
      <c:catAx>
        <c:axId val="10310955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1193733820"/>
      </c:catAx>
      <c:valAx>
        <c:axId val="11937338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1031095509"/>
      </c:valAx>
    </c:plotArea>
    <c:plotVisOnly val="1"/>
  </c:chart>
</c:chartSpace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76200</xdr:colOff>
      <xdr:row>104</xdr:row>
      <xdr:rowOff>123825</xdr:rowOff>
    </xdr:from>
    <xdr:ext cx="9953625" cy="8791575"/>
    <xdr:grpSp>
      <xdr:nvGrpSpPr>
        <xdr:cNvPr id="2" name="Shape 2"/>
        <xdr:cNvGrpSpPr/>
      </xdr:nvGrpSpPr>
      <xdr:grpSpPr>
        <a:xfrm>
          <a:off x="369188" y="0"/>
          <a:ext cx="9953625" cy="7560000"/>
          <a:chOff x="369188" y="0"/>
          <a:chExt cx="9953625" cy="7560000"/>
        </a:xfrm>
      </xdr:grpSpPr>
      <xdr:grpSp>
        <xdr:nvGrpSpPr>
          <xdr:cNvPr id="3" name="Shape 3"/>
          <xdr:cNvGrpSpPr/>
        </xdr:nvGrpSpPr>
        <xdr:grpSpPr>
          <a:xfrm>
            <a:off x="369188" y="0"/>
            <a:ext cx="9953625" cy="7560000"/>
            <a:chOff x="369188" y="0"/>
            <a:chExt cx="9953625" cy="7560000"/>
          </a:xfrm>
        </xdr:grpSpPr>
        <xdr:sp>
          <xdr:nvSpPr>
            <xdr:cNvPr id="4" name="Shape 4"/>
            <xdr:cNvSpPr/>
          </xdr:nvSpPr>
          <xdr:spPr>
            <a:xfrm>
              <a:off x="369188" y="0"/>
              <a:ext cx="9953625" cy="7560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369188" y="0"/>
              <a:ext cx="9953625" cy="7560000"/>
              <a:chOff x="369188" y="0"/>
              <a:chExt cx="9953625" cy="7560001"/>
            </a:xfrm>
          </xdr:grpSpPr>
          <xdr:sp>
            <xdr:nvSpPr>
              <xdr:cNvPr id="6" name="Shape 6"/>
              <xdr:cNvSpPr/>
            </xdr:nvSpPr>
            <xdr:spPr>
              <a:xfrm>
                <a:off x="369188" y="0"/>
                <a:ext cx="9953625" cy="7560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369188" y="0"/>
                <a:ext cx="9953625" cy="7560001"/>
                <a:chOff x="369189" y="1"/>
                <a:chExt cx="9953625" cy="7560001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369189" y="1"/>
                  <a:ext cx="9953625" cy="7560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descr="{&quot;RangeName&quot;:&quot;POWER_USER_EXCEL_CHART_13C9267F_7DAE_4A4A_BDC5_2B3539B7826E&quot;,&quot;Version&quot;:&quot;1.6.1609.0&quot;}" id="9" name="Shape 9"/>
                <xdr:cNvGrpSpPr/>
              </xdr:nvGrpSpPr>
              <xdr:grpSpPr>
                <a:xfrm>
                  <a:off x="369189" y="1"/>
                  <a:ext cx="9953625" cy="7560000"/>
                  <a:chOff x="16958313" y="15161261"/>
                  <a:chExt cx="7861302" cy="5575304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16958313" y="15161261"/>
                    <a:ext cx="7861300" cy="55753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1" name="Shape 11"/>
                  <xdr:cNvSpPr/>
                </xdr:nvSpPr>
                <xdr:spPr>
                  <a:xfrm>
                    <a:off x="16958313" y="15161261"/>
                    <a:ext cx="7861302" cy="5575304"/>
                  </a:xfrm>
                  <a:prstGeom prst="rect">
                    <a:avLst/>
                  </a:prstGeom>
                  <a:solidFill>
                    <a:schemeClr val="lt1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178064.0,&quot;Percentage&quot;:0.15607997889294922}" id="12" name="Shape 12"/>
                  <xdr:cNvSpPr/>
                </xdr:nvSpPr>
                <xdr:spPr>
                  <a:xfrm>
                    <a:off x="17047211" y="15440661"/>
                    <a:ext cx="1270000" cy="594664"/>
                  </a:xfrm>
                  <a:prstGeom prst="rect">
                    <a:avLst/>
                  </a:prstGeom>
                  <a:solidFill>
                    <a:srgbClr val="0070C0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lt1"/>
                      </a:buClr>
                      <a:buSzPts val="1200"/>
                      <a:buFont typeface="Calibri"/>
                      <a:buNone/>
                    </a:pP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AM</a:t>
                    </a:r>
                    <a:b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</a:b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178.064</a:t>
                    </a:r>
                    <a:b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</a:b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16%</a:t>
                    </a:r>
                    <a:endParaRPr sz="1400"/>
                  </a:p>
                </xdr:txBody>
              </xdr:sp>
              <xdr:sp>
                <xdr:nvSpPr>
                  <xdr:cNvPr descr="{&quot;Id&quot;:&quot;9878E9C9-866E-48E6-AD4C-0AA3EE378B33&quot;,&quot;Value&quot;:178064.0,&quot;Percentage&quot;:0.15607997889294922}" id="13" name="Shape 13"/>
                  <xdr:cNvSpPr/>
                </xdr:nvSpPr>
                <xdr:spPr>
                  <a:xfrm>
                    <a:off x="18291811" y="15440661"/>
                    <a:ext cx="0" cy="63"/>
                  </a:xfrm>
                  <a:prstGeom prst="rect">
                    <a:avLst/>
                  </a:prstGeom>
                  <a:solidFill>
                    <a:schemeClr val="accent1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178064.0,&quot;Percentage&quot;:0.15607997889294922}" id="14" name="Shape 14"/>
                  <xdr:cNvSpPr/>
                </xdr:nvSpPr>
                <xdr:spPr>
                  <a:xfrm>
                    <a:off x="18291811" y="15440723"/>
                    <a:ext cx="0" cy="46431"/>
                  </a:xfrm>
                  <a:prstGeom prst="rect">
                    <a:avLst/>
                  </a:prstGeom>
                  <a:solidFill>
                    <a:schemeClr val="accent1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178064.0,&quot;Percentage&quot;:0.15607997889294922}" id="15" name="Shape 15"/>
                  <xdr:cNvSpPr/>
                </xdr:nvSpPr>
                <xdr:spPr>
                  <a:xfrm>
                    <a:off x="18291811" y="15487155"/>
                    <a:ext cx="0" cy="56073"/>
                  </a:xfrm>
                  <a:prstGeom prst="rect">
                    <a:avLst/>
                  </a:prstGeom>
                  <a:solidFill>
                    <a:schemeClr val="accent1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178064.0,&quot;Percentage&quot;:0.15607997889294922}" id="16" name="Shape 16"/>
                  <xdr:cNvSpPr/>
                </xdr:nvSpPr>
                <xdr:spPr>
                  <a:xfrm>
                    <a:off x="18291811" y="15543228"/>
                    <a:ext cx="0" cy="22259"/>
                  </a:xfrm>
                  <a:prstGeom prst="rect">
                    <a:avLst/>
                  </a:prstGeom>
                  <a:solidFill>
                    <a:schemeClr val="accent1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178064.0,&quot;Percentage&quot;:0.15607997889294922}" id="17" name="Shape 17"/>
                  <xdr:cNvSpPr/>
                </xdr:nvSpPr>
                <xdr:spPr>
                  <a:xfrm>
                    <a:off x="18291811" y="15565488"/>
                    <a:ext cx="0" cy="50428"/>
                  </a:xfrm>
                  <a:prstGeom prst="rect">
                    <a:avLst/>
                  </a:prstGeom>
                  <a:solidFill>
                    <a:schemeClr val="accent1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178064.0,&quot;Percentage&quot;:0.15607997889294922}" id="18" name="Shape 18"/>
                  <xdr:cNvSpPr/>
                </xdr:nvSpPr>
                <xdr:spPr>
                  <a:xfrm>
                    <a:off x="18291811" y="15615916"/>
                    <a:ext cx="0" cy="376024"/>
                  </a:xfrm>
                  <a:prstGeom prst="rect">
                    <a:avLst/>
                  </a:prstGeom>
                  <a:solidFill>
                    <a:schemeClr val="accent1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178064.0,&quot;Percentage&quot;:0.15607997889294922}" id="19" name="Shape 19"/>
                  <xdr:cNvSpPr/>
                </xdr:nvSpPr>
                <xdr:spPr>
                  <a:xfrm>
                    <a:off x="18291811" y="15991939"/>
                    <a:ext cx="0" cy="20"/>
                  </a:xfrm>
                  <a:prstGeom prst="rect">
                    <a:avLst/>
                  </a:prstGeom>
                  <a:solidFill>
                    <a:schemeClr val="accent1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178064.0,&quot;Percentage&quot;:0.15607997889294922}" id="20" name="Shape 20"/>
                  <xdr:cNvSpPr/>
                </xdr:nvSpPr>
                <xdr:spPr>
                  <a:xfrm>
                    <a:off x="18291811" y="15991959"/>
                    <a:ext cx="0" cy="38636"/>
                  </a:xfrm>
                  <a:prstGeom prst="rect">
                    <a:avLst/>
                  </a:prstGeom>
                  <a:solidFill>
                    <a:schemeClr val="accent1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178064.0,&quot;Percentage&quot;:0.15607997889294922}" id="21" name="Shape 21"/>
                  <xdr:cNvSpPr/>
                </xdr:nvSpPr>
                <xdr:spPr>
                  <a:xfrm>
                    <a:off x="18291811" y="16030595"/>
                    <a:ext cx="0" cy="4732"/>
                  </a:xfrm>
                  <a:prstGeom prst="rect">
                    <a:avLst/>
                  </a:prstGeom>
                  <a:solidFill>
                    <a:schemeClr val="accent1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E403E87-ED8F-471E-BB66-6D176B1616CE&quot;,&quot;Value&quot;:13622.0,&quot;Percentage&quot;:0.011940209545330635}" id="22" name="Shape 22"/>
                  <xdr:cNvSpPr/>
                </xdr:nvSpPr>
                <xdr:spPr>
                  <a:xfrm>
                    <a:off x="17047211" y="16162323"/>
                    <a:ext cx="1270000" cy="125930"/>
                  </a:xfrm>
                  <a:prstGeom prst="rect">
                    <a:avLst/>
                  </a:prstGeom>
                  <a:solidFill>
                    <a:schemeClr val="accent2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lt1"/>
                      </a:buClr>
                      <a:buSzPts val="1200"/>
                      <a:buFont typeface="Calibri"/>
                      <a:buNone/>
                    </a:pP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PA 13.622 1%</a:t>
                    </a:r>
                    <a:endParaRPr sz="1400"/>
                  </a:p>
                </xdr:txBody>
              </xdr:sp>
              <xdr:sp>
                <xdr:nvSpPr>
                  <xdr:cNvPr descr="{&quot;Id&quot;:&quot;4E403E87-ED8F-471E-BB66-6D176B1616CE&quot;,&quot;Value&quot;:13622.0,&quot;Percentage&quot;:0.011940209545330635}" id="23" name="Shape 23"/>
                  <xdr:cNvSpPr/>
                </xdr:nvSpPr>
                <xdr:spPr>
                  <a:xfrm>
                    <a:off x="18291811" y="16162325"/>
                    <a:ext cx="0" cy="27315"/>
                  </a:xfrm>
                  <a:prstGeom prst="rect">
                    <a:avLst/>
                  </a:prstGeom>
                  <a:solidFill>
                    <a:schemeClr val="accent2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E403E87-ED8F-471E-BB66-6D176B1616CE&quot;,&quot;Value&quot;:13622.0,&quot;Percentage&quot;:0.011940209545330635}" id="24" name="Shape 24"/>
                  <xdr:cNvSpPr/>
                </xdr:nvSpPr>
                <xdr:spPr>
                  <a:xfrm>
                    <a:off x="18291811" y="16189641"/>
                    <a:ext cx="0" cy="274"/>
                  </a:xfrm>
                  <a:prstGeom prst="rect">
                    <a:avLst/>
                  </a:prstGeom>
                  <a:solidFill>
                    <a:schemeClr val="accent2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E403E87-ED8F-471E-BB66-6D176B1616CE&quot;,&quot;Value&quot;:13622.0,&quot;Percentage&quot;:0.011940209545330635}" id="25" name="Shape 25"/>
                  <xdr:cNvSpPr/>
                </xdr:nvSpPr>
                <xdr:spPr>
                  <a:xfrm>
                    <a:off x="18291811" y="16189914"/>
                    <a:ext cx="0" cy="17049"/>
                  </a:xfrm>
                  <a:prstGeom prst="rect">
                    <a:avLst/>
                  </a:prstGeom>
                  <a:solidFill>
                    <a:schemeClr val="accent2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E403E87-ED8F-471E-BB66-6D176B1616CE&quot;,&quot;Value&quot;:13622.0,&quot;Percentage&quot;:0.011940209545330635}" id="26" name="Shape 26"/>
                  <xdr:cNvSpPr/>
                </xdr:nvSpPr>
                <xdr:spPr>
                  <a:xfrm>
                    <a:off x="18291811" y="16206963"/>
                    <a:ext cx="0" cy="724"/>
                  </a:xfrm>
                  <a:prstGeom prst="rect">
                    <a:avLst/>
                  </a:prstGeom>
                  <a:solidFill>
                    <a:schemeClr val="accent2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E403E87-ED8F-471E-BB66-6D176B1616CE&quot;,&quot;Value&quot;:13622.0,&quot;Percentage&quot;:0.011940209545330635}" id="27" name="Shape 27"/>
                  <xdr:cNvSpPr/>
                </xdr:nvSpPr>
                <xdr:spPr>
                  <a:xfrm>
                    <a:off x="18291811" y="16207688"/>
                    <a:ext cx="0" cy="130"/>
                  </a:xfrm>
                  <a:prstGeom prst="rect">
                    <a:avLst/>
                  </a:prstGeom>
                  <a:solidFill>
                    <a:schemeClr val="accent2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38E7C54-C1D6-4426-9E3B-50ABA66E72CB&quot;,&quot;Value&quot;:230.0,&quot;Percentage&quot;:0.00020160389042916209}" id="28" name="Shape 28"/>
                  <xdr:cNvSpPr/>
                </xdr:nvSpPr>
                <xdr:spPr>
                  <a:xfrm>
                    <a:off x="17047211" y="16334817"/>
                    <a:ext cx="1270000" cy="98676"/>
                  </a:xfrm>
                  <a:prstGeom prst="rect">
                    <a:avLst/>
                  </a:prstGeom>
                  <a:solidFill>
                    <a:schemeClr val="accent3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lt1"/>
                      </a:buClr>
                      <a:buSzPts val="1000"/>
                      <a:buFont typeface="Calibri"/>
                      <a:buNone/>
                    </a:pPr>
                    <a:r>
                      <a:rPr b="1" i="0" lang="en-US" sz="10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MA 230 0%</a:t>
                    </a:r>
                    <a:endParaRPr sz="1400"/>
                  </a:p>
                </xdr:txBody>
              </xdr:sp>
              <xdr:sp>
                <xdr:nvSpPr>
                  <xdr:cNvPr descr="{&quot;Id&quot;:&quot;E38E7C54-C1D6-4426-9E3B-50ABA66E72CB&quot;,&quot;Value&quot;:230.0,&quot;Percentage&quot;:0.00020160389042916209}" id="29" name="Shape 29"/>
                  <xdr:cNvSpPr/>
                </xdr:nvSpPr>
                <xdr:spPr>
                  <a:xfrm>
                    <a:off x="18291811" y="16334817"/>
                    <a:ext cx="0" cy="370"/>
                  </a:xfrm>
                  <a:prstGeom prst="rect">
                    <a:avLst/>
                  </a:prstGeom>
                  <a:solidFill>
                    <a:schemeClr val="accent3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38E7C54-C1D6-4426-9E3B-50ABA66E72CB&quot;,&quot;Value&quot;:230.0,&quot;Percentage&quot;:0.00020160389042916209}" id="30" name="Shape 30"/>
                  <xdr:cNvSpPr/>
                </xdr:nvSpPr>
                <xdr:spPr>
                  <a:xfrm>
                    <a:off x="18291811" y="16335188"/>
                    <a:ext cx="0" cy="348"/>
                  </a:xfrm>
                  <a:prstGeom prst="rect">
                    <a:avLst/>
                  </a:prstGeom>
                  <a:solidFill>
                    <a:schemeClr val="accent3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38E7C54-C1D6-4426-9E3B-50ABA66E72CB&quot;,&quot;Value&quot;:230.0,&quot;Percentage&quot;:0.00020160389042916209}" id="31" name="Shape 31"/>
                  <xdr:cNvSpPr/>
                </xdr:nvSpPr>
                <xdr:spPr>
                  <a:xfrm>
                    <a:off x="18291811" y="16335534"/>
                    <a:ext cx="0" cy="49"/>
                  </a:xfrm>
                  <a:prstGeom prst="rect">
                    <a:avLst/>
                  </a:prstGeom>
                  <a:solidFill>
                    <a:schemeClr val="accent3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72037.0,&quot;Percentage&quot;:0.063143215021067609}" id="32" name="Shape 32"/>
                  <xdr:cNvSpPr/>
                </xdr:nvSpPr>
                <xdr:spPr>
                  <a:xfrm>
                    <a:off x="17047211" y="16462584"/>
                    <a:ext cx="1270000" cy="240576"/>
                  </a:xfrm>
                  <a:prstGeom prst="rect">
                    <a:avLst/>
                  </a:prstGeom>
                  <a:solidFill>
                    <a:schemeClr val="accent4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000000"/>
                      </a:buClr>
                      <a:buSzPts val="1200"/>
                      <a:buFont typeface="Calibri"/>
                      <a:buNone/>
                    </a:pPr>
                    <a:r>
                      <a:rPr b="1" i="0" lang="en-US" sz="1200" u="non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CE 72.037 6%</a:t>
                    </a:r>
                    <a:endParaRPr sz="1400"/>
                  </a:p>
                </xdr:txBody>
              </xdr:sp>
              <xdr:sp>
                <xdr:nvSpPr>
                  <xdr:cNvPr descr="{&quot;Id&quot;:&quot;3A432BC2-8F16-41BF-865F-5F2925009A1C&quot;,&quot;Value&quot;:72037.0,&quot;Percentage&quot;:0.063143215021067609}" id="33" name="Shape 33"/>
                  <xdr:cNvSpPr/>
                </xdr:nvSpPr>
                <xdr:spPr>
                  <a:xfrm>
                    <a:off x="18291811" y="16462584"/>
                    <a:ext cx="0" cy="79623"/>
                  </a:xfrm>
                  <a:prstGeom prst="rect">
                    <a:avLst/>
                  </a:prstGeom>
                  <a:solidFill>
                    <a:schemeClr val="accent4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72037.0,&quot;Percentage&quot;:0.063143215021067609}" id="34" name="Shape 34"/>
                  <xdr:cNvSpPr/>
                </xdr:nvSpPr>
                <xdr:spPr>
                  <a:xfrm>
                    <a:off x="18291811" y="16542206"/>
                    <a:ext cx="0" cy="8259"/>
                  </a:xfrm>
                  <a:prstGeom prst="rect">
                    <a:avLst/>
                  </a:prstGeom>
                  <a:solidFill>
                    <a:schemeClr val="accent4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72037.0,&quot;Percentage&quot;:0.063143215021067609}" id="35" name="Shape 35"/>
                  <xdr:cNvSpPr/>
                </xdr:nvSpPr>
                <xdr:spPr>
                  <a:xfrm>
                    <a:off x="18291811" y="16550466"/>
                    <a:ext cx="0" cy="1282"/>
                  </a:xfrm>
                  <a:prstGeom prst="rect">
                    <a:avLst/>
                  </a:prstGeom>
                  <a:solidFill>
                    <a:schemeClr val="accent4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72037.0,&quot;Percentage&quot;:0.063143215021067609}" id="36" name="Shape 36"/>
                  <xdr:cNvSpPr/>
                </xdr:nvSpPr>
                <xdr:spPr>
                  <a:xfrm>
                    <a:off x="18291811" y="16551748"/>
                    <a:ext cx="0" cy="17627"/>
                  </a:xfrm>
                  <a:prstGeom prst="rect">
                    <a:avLst/>
                  </a:prstGeom>
                  <a:solidFill>
                    <a:schemeClr val="accent4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72037.0,&quot;Percentage&quot;:0.063143215021067609}" id="37" name="Shape 37"/>
                  <xdr:cNvSpPr/>
                </xdr:nvSpPr>
                <xdr:spPr>
                  <a:xfrm>
                    <a:off x="18291811" y="16569375"/>
                    <a:ext cx="0" cy="2327"/>
                  </a:xfrm>
                  <a:prstGeom prst="rect">
                    <a:avLst/>
                  </a:prstGeom>
                  <a:solidFill>
                    <a:schemeClr val="accent4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72037.0,&quot;Percentage&quot;:0.063143215021067609}" id="38" name="Shape 38"/>
                  <xdr:cNvSpPr/>
                </xdr:nvSpPr>
                <xdr:spPr>
                  <a:xfrm>
                    <a:off x="18291811" y="16571702"/>
                    <a:ext cx="0" cy="7798"/>
                  </a:xfrm>
                  <a:prstGeom prst="rect">
                    <a:avLst/>
                  </a:prstGeom>
                  <a:solidFill>
                    <a:schemeClr val="accent4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72037.0,&quot;Percentage&quot;:0.063143215021067609}" id="39" name="Shape 39"/>
                  <xdr:cNvSpPr/>
                </xdr:nvSpPr>
                <xdr:spPr>
                  <a:xfrm>
                    <a:off x="18291811" y="16579500"/>
                    <a:ext cx="0" cy="84415"/>
                  </a:xfrm>
                  <a:prstGeom prst="rect">
                    <a:avLst/>
                  </a:prstGeom>
                  <a:solidFill>
                    <a:schemeClr val="accent4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72037.0,&quot;Percentage&quot;:0.063143215021067609}" id="40" name="Shape 40"/>
                  <xdr:cNvSpPr/>
                </xdr:nvSpPr>
                <xdr:spPr>
                  <a:xfrm>
                    <a:off x="18291811" y="16663916"/>
                    <a:ext cx="0" cy="35356"/>
                  </a:xfrm>
                  <a:prstGeom prst="rect">
                    <a:avLst/>
                  </a:prstGeom>
                  <a:solidFill>
                    <a:schemeClr val="accent4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72037.0,&quot;Percentage&quot;:0.063143215021067609}" id="41" name="Shape 41"/>
                  <xdr:cNvSpPr/>
                </xdr:nvSpPr>
                <xdr:spPr>
                  <a:xfrm>
                    <a:off x="18291811" y="16699270"/>
                    <a:ext cx="0" cy="3886"/>
                  </a:xfrm>
                  <a:prstGeom prst="rect">
                    <a:avLst/>
                  </a:prstGeom>
                  <a:solidFill>
                    <a:schemeClr val="accent4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102797.0,&quot;Percentage&quot;:0.090105544019332934}" id="42" name="Shape 42"/>
                  <xdr:cNvSpPr/>
                </xdr:nvSpPr>
                <xdr:spPr>
                  <a:xfrm>
                    <a:off x="17047211" y="16830159"/>
                    <a:ext cx="1270000" cy="343302"/>
                  </a:xfrm>
                  <a:prstGeom prst="rect">
                    <a:avLst/>
                  </a:prstGeom>
                  <a:solidFill>
                    <a:srgbClr val="1F3864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lt1"/>
                      </a:buClr>
                      <a:buSzPts val="1200"/>
                      <a:buFont typeface="Calibri"/>
                      <a:buNone/>
                    </a:pP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PE 102.797 9%</a:t>
                    </a:r>
                    <a:endParaRPr sz="1400"/>
                  </a:p>
                </xdr:txBody>
              </xdr:sp>
              <xdr:sp>
                <xdr:nvSpPr>
                  <xdr:cNvPr descr="{&quot;Id&quot;:&quot;7D420F5D-F213-40DB-AB7C-69CB7159E409&quot;,&quot;Value&quot;:102797.0,&quot;Percentage&quot;:0.090105544019332934}" id="43" name="Shape 43"/>
                  <xdr:cNvSpPr/>
                </xdr:nvSpPr>
                <xdr:spPr>
                  <a:xfrm>
                    <a:off x="18291811" y="16830159"/>
                    <a:ext cx="0" cy="134437"/>
                  </a:xfrm>
                  <a:prstGeom prst="rect">
                    <a:avLst/>
                  </a:prstGeom>
                  <a:solidFill>
                    <a:schemeClr val="accent5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102797.0,&quot;Percentage&quot;:0.090105544019332934}" id="44" name="Shape 44"/>
                  <xdr:cNvSpPr/>
                </xdr:nvSpPr>
                <xdr:spPr>
                  <a:xfrm>
                    <a:off x="18291811" y="16964597"/>
                    <a:ext cx="0" cy="2955"/>
                  </a:xfrm>
                  <a:prstGeom prst="rect">
                    <a:avLst/>
                  </a:prstGeom>
                  <a:solidFill>
                    <a:schemeClr val="accent5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102797.0,&quot;Percentage&quot;:0.090105544019332934}" id="45" name="Shape 45"/>
                  <xdr:cNvSpPr/>
                </xdr:nvSpPr>
                <xdr:spPr>
                  <a:xfrm>
                    <a:off x="18291811" y="16967550"/>
                    <a:ext cx="0" cy="41378"/>
                  </a:xfrm>
                  <a:prstGeom prst="rect">
                    <a:avLst/>
                  </a:prstGeom>
                  <a:solidFill>
                    <a:schemeClr val="accent5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102797.0,&quot;Percentage&quot;:0.090105544019332934}" id="46" name="Shape 46"/>
                  <xdr:cNvSpPr/>
                </xdr:nvSpPr>
                <xdr:spPr>
                  <a:xfrm>
                    <a:off x="18291811" y="17008928"/>
                    <a:ext cx="0" cy="14270"/>
                  </a:xfrm>
                  <a:prstGeom prst="rect">
                    <a:avLst/>
                  </a:prstGeom>
                  <a:solidFill>
                    <a:schemeClr val="accent5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102797.0,&quot;Percentage&quot;:0.090105544019332934}" id="47" name="Shape 47"/>
                  <xdr:cNvSpPr/>
                </xdr:nvSpPr>
                <xdr:spPr>
                  <a:xfrm>
                    <a:off x="18291811" y="17023198"/>
                    <a:ext cx="0" cy="744"/>
                  </a:xfrm>
                  <a:prstGeom prst="rect">
                    <a:avLst/>
                  </a:prstGeom>
                  <a:solidFill>
                    <a:schemeClr val="accent5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102797.0,&quot;Percentage&quot;:0.090105544019332934}" id="48" name="Shape 48"/>
                  <xdr:cNvSpPr/>
                </xdr:nvSpPr>
                <xdr:spPr>
                  <a:xfrm>
                    <a:off x="18291811" y="17023942"/>
                    <a:ext cx="0" cy="16768"/>
                  </a:xfrm>
                  <a:prstGeom prst="rect">
                    <a:avLst/>
                  </a:prstGeom>
                  <a:solidFill>
                    <a:schemeClr val="accent5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102797.0,&quot;Percentage&quot;:0.090105544019332934}" id="49" name="Shape 49"/>
                  <xdr:cNvSpPr/>
                </xdr:nvSpPr>
                <xdr:spPr>
                  <a:xfrm>
                    <a:off x="18291811" y="17040709"/>
                    <a:ext cx="0" cy="93937"/>
                  </a:xfrm>
                  <a:prstGeom prst="rect">
                    <a:avLst/>
                  </a:prstGeom>
                  <a:solidFill>
                    <a:schemeClr val="accent5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102797.0,&quot;Percentage&quot;:0.090105544019332934}" id="50" name="Shape 50"/>
                  <xdr:cNvSpPr/>
                </xdr:nvSpPr>
                <xdr:spPr>
                  <a:xfrm>
                    <a:off x="18291811" y="17134647"/>
                    <a:ext cx="0" cy="30"/>
                  </a:xfrm>
                  <a:prstGeom prst="rect">
                    <a:avLst/>
                  </a:prstGeom>
                  <a:solidFill>
                    <a:schemeClr val="accent5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102797.0,&quot;Percentage&quot;:0.090105544019332934}" id="51" name="Shape 51"/>
                  <xdr:cNvSpPr/>
                </xdr:nvSpPr>
                <xdr:spPr>
                  <a:xfrm>
                    <a:off x="18291811" y="17134678"/>
                    <a:ext cx="0" cy="31470"/>
                  </a:xfrm>
                  <a:prstGeom prst="rect">
                    <a:avLst/>
                  </a:prstGeom>
                  <a:solidFill>
                    <a:schemeClr val="accent5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102797.0,&quot;Percentage&quot;:0.090105544019332934}" id="52" name="Shape 52"/>
                  <xdr:cNvSpPr/>
                </xdr:nvSpPr>
                <xdr:spPr>
                  <a:xfrm>
                    <a:off x="18291811" y="17166148"/>
                    <a:ext cx="0" cy="7314"/>
                  </a:xfrm>
                  <a:prstGeom prst="rect">
                    <a:avLst/>
                  </a:prstGeom>
                  <a:solidFill>
                    <a:schemeClr val="accent5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61405.0,&quot;Percentage&quot;:0.05382385605131608}" id="53" name="Shape 53"/>
                  <xdr:cNvSpPr/>
                </xdr:nvSpPr>
                <xdr:spPr>
                  <a:xfrm>
                    <a:off x="17047211" y="17300463"/>
                    <a:ext cx="1270000" cy="205069"/>
                  </a:xfrm>
                  <a:prstGeom prst="rect">
                    <a:avLst/>
                  </a:prstGeom>
                  <a:solidFill>
                    <a:schemeClr val="accent6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lt1"/>
                      </a:buClr>
                      <a:buSzPts val="1200"/>
                      <a:buFont typeface="Calibri"/>
                      <a:buNone/>
                    </a:pP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BA 61.405 5%</a:t>
                    </a:r>
                    <a:endParaRPr sz="1400"/>
                  </a:p>
                </xdr:txBody>
              </xdr:sp>
              <xdr:sp>
                <xdr:nvSpPr>
                  <xdr:cNvPr descr="{&quot;Id&quot;:&quot;689A6BF4-FC19-4848-99F6-1B31C4026CAB&quot;,&quot;Value&quot;:61405.0,&quot;Percentage&quot;:0.05382385605131608}" id="54" name="Shape 54"/>
                  <xdr:cNvSpPr/>
                </xdr:nvSpPr>
                <xdr:spPr>
                  <a:xfrm>
                    <a:off x="18291811" y="17300463"/>
                    <a:ext cx="0" cy="24510"/>
                  </a:xfrm>
                  <a:prstGeom prst="rect">
                    <a:avLst/>
                  </a:prstGeom>
                  <a:solidFill>
                    <a:schemeClr val="accent6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61405.0,&quot;Percentage&quot;:0.05382385605131608}" id="55" name="Shape 55"/>
                  <xdr:cNvSpPr/>
                </xdr:nvSpPr>
                <xdr:spPr>
                  <a:xfrm>
                    <a:off x="18291811" y="17324972"/>
                    <a:ext cx="0" cy="547"/>
                  </a:xfrm>
                  <a:prstGeom prst="rect">
                    <a:avLst/>
                  </a:prstGeom>
                  <a:solidFill>
                    <a:schemeClr val="accent6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61405.0,&quot;Percentage&quot;:0.05382385605131608}" id="56" name="Shape 56"/>
                  <xdr:cNvSpPr/>
                </xdr:nvSpPr>
                <xdr:spPr>
                  <a:xfrm>
                    <a:off x="18291811" y="17325519"/>
                    <a:ext cx="0" cy="18351"/>
                  </a:xfrm>
                  <a:prstGeom prst="rect">
                    <a:avLst/>
                  </a:prstGeom>
                  <a:solidFill>
                    <a:schemeClr val="accent6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61405.0,&quot;Percentage&quot;:0.05382385605131608}" id="57" name="Shape 57"/>
                  <xdr:cNvSpPr/>
                </xdr:nvSpPr>
                <xdr:spPr>
                  <a:xfrm>
                    <a:off x="18291811" y="17343872"/>
                    <a:ext cx="0" cy="13619"/>
                  </a:xfrm>
                  <a:prstGeom prst="rect">
                    <a:avLst/>
                  </a:prstGeom>
                  <a:solidFill>
                    <a:schemeClr val="accent6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61405.0,&quot;Percentage&quot;:0.05382385605131608}" id="58" name="Shape 58"/>
                  <xdr:cNvSpPr/>
                </xdr:nvSpPr>
                <xdr:spPr>
                  <a:xfrm>
                    <a:off x="18291811" y="17357491"/>
                    <a:ext cx="0" cy="425"/>
                  </a:xfrm>
                  <a:prstGeom prst="rect">
                    <a:avLst/>
                  </a:prstGeom>
                  <a:solidFill>
                    <a:schemeClr val="accent6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61405.0,&quot;Percentage&quot;:0.05382385605131608}" id="59" name="Shape 59"/>
                  <xdr:cNvSpPr/>
                </xdr:nvSpPr>
                <xdr:spPr>
                  <a:xfrm>
                    <a:off x="18291811" y="17357917"/>
                    <a:ext cx="0" cy="13055"/>
                  </a:xfrm>
                  <a:prstGeom prst="rect">
                    <a:avLst/>
                  </a:prstGeom>
                  <a:solidFill>
                    <a:schemeClr val="accent6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61405.0,&quot;Percentage&quot;:0.05382385605131608}" id="60" name="Shape 60"/>
                  <xdr:cNvSpPr/>
                </xdr:nvSpPr>
                <xdr:spPr>
                  <a:xfrm>
                    <a:off x="18291811" y="17370970"/>
                    <a:ext cx="0" cy="111853"/>
                  </a:xfrm>
                  <a:prstGeom prst="rect">
                    <a:avLst/>
                  </a:prstGeom>
                  <a:solidFill>
                    <a:schemeClr val="accent6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61405.0,&quot;Percentage&quot;:0.05382385605131608}" id="61" name="Shape 61"/>
                  <xdr:cNvSpPr/>
                </xdr:nvSpPr>
                <xdr:spPr>
                  <a:xfrm>
                    <a:off x="18291811" y="17482827"/>
                    <a:ext cx="0" cy="915"/>
                  </a:xfrm>
                  <a:prstGeom prst="rect">
                    <a:avLst/>
                  </a:prstGeom>
                  <a:solidFill>
                    <a:schemeClr val="accent6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61405.0,&quot;Percentage&quot;:0.05382385605131608}" id="62" name="Shape 62"/>
                  <xdr:cNvSpPr/>
                </xdr:nvSpPr>
                <xdr:spPr>
                  <a:xfrm>
                    <a:off x="18291811" y="17483741"/>
                    <a:ext cx="0" cy="18037"/>
                  </a:xfrm>
                  <a:prstGeom prst="rect">
                    <a:avLst/>
                  </a:prstGeom>
                  <a:solidFill>
                    <a:schemeClr val="accent6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61405.0,&quot;Percentage&quot;:0.05382385605131608}" id="63" name="Shape 63"/>
                  <xdr:cNvSpPr/>
                </xdr:nvSpPr>
                <xdr:spPr>
                  <a:xfrm>
                    <a:off x="18291811" y="17501778"/>
                    <a:ext cx="0" cy="3757"/>
                  </a:xfrm>
                  <a:prstGeom prst="rect">
                    <a:avLst/>
                  </a:prstGeom>
                  <a:solidFill>
                    <a:schemeClr val="accent6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CC00BE6-581A-407F-9B33-575D7E9B68E4&quot;,&quot;Value&quot;:58955.0,&quot;Percentage&quot;:0.051676336348918481}" id="64" name="Shape 64"/>
                  <xdr:cNvSpPr/>
                </xdr:nvSpPr>
                <xdr:spPr>
                  <a:xfrm>
                    <a:off x="17047211" y="17632531"/>
                    <a:ext cx="1270000" cy="196888"/>
                  </a:xfrm>
                  <a:prstGeom prst="rect">
                    <a:avLst/>
                  </a:prstGeom>
                  <a:solidFill>
                    <a:srgbClr val="FF66CC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000000"/>
                      </a:buClr>
                      <a:buSzPts val="1200"/>
                      <a:buFont typeface="Calibri"/>
                      <a:buNone/>
                    </a:pPr>
                    <a:r>
                      <a:rPr b="1" i="0" lang="en-US" sz="1200" u="non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ES 58.955 5%</a:t>
                    </a:r>
                    <a:endParaRPr sz="1400"/>
                  </a:p>
                </xdr:txBody>
              </xdr:sp>
              <xdr:sp>
                <xdr:nvSpPr>
                  <xdr:cNvPr descr="{&quot;Id&quot;:&quot;7CC00BE6-581A-407F-9B33-575D7E9B68E4&quot;,&quot;Value&quot;:58955.0,&quot;Percentage&quot;:0.051676336348918481}" id="65" name="Shape 65"/>
                  <xdr:cNvSpPr/>
                </xdr:nvSpPr>
                <xdr:spPr>
                  <a:xfrm>
                    <a:off x="18291811" y="17632531"/>
                    <a:ext cx="0" cy="8417"/>
                  </a:xfrm>
                  <a:prstGeom prst="rect">
                    <a:avLst/>
                  </a:prstGeom>
                  <a:solidFill>
                    <a:schemeClr val="lt1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CC00BE6-581A-407F-9B33-575D7E9B68E4&quot;,&quot;Value&quot;:58955.0,&quot;Percentage&quot;:0.051676336348918481}" id="66" name="Shape 66"/>
                  <xdr:cNvSpPr/>
                </xdr:nvSpPr>
                <xdr:spPr>
                  <a:xfrm>
                    <a:off x="18291811" y="17640948"/>
                    <a:ext cx="0" cy="203"/>
                  </a:xfrm>
                  <a:prstGeom prst="rect">
                    <a:avLst/>
                  </a:prstGeom>
                  <a:solidFill>
                    <a:schemeClr val="lt1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CC00BE6-581A-407F-9B33-575D7E9B68E4&quot;,&quot;Value&quot;:58955.0,&quot;Percentage&quot;:0.051676336348918481}" id="67" name="Shape 67"/>
                  <xdr:cNvSpPr/>
                </xdr:nvSpPr>
                <xdr:spPr>
                  <a:xfrm>
                    <a:off x="18291811" y="17641152"/>
                    <a:ext cx="0" cy="152811"/>
                  </a:xfrm>
                  <a:prstGeom prst="rect">
                    <a:avLst/>
                  </a:prstGeom>
                  <a:solidFill>
                    <a:schemeClr val="lt1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CC00BE6-581A-407F-9B33-575D7E9B68E4&quot;,&quot;Value&quot;:58955.0,&quot;Percentage&quot;:0.051676336348918481}" id="68" name="Shape 68"/>
                  <xdr:cNvSpPr/>
                </xdr:nvSpPr>
                <xdr:spPr>
                  <a:xfrm>
                    <a:off x="18291811" y="17793963"/>
                    <a:ext cx="0" cy="34970"/>
                  </a:xfrm>
                  <a:prstGeom prst="rect">
                    <a:avLst/>
                  </a:prstGeom>
                  <a:solidFill>
                    <a:schemeClr val="lt1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CC00BE6-581A-407F-9B33-575D7E9B68E4&quot;,&quot;Value&quot;:58955.0,&quot;Percentage&quot;:0.051676336348918481}" id="69" name="Shape 69"/>
                  <xdr:cNvSpPr/>
                </xdr:nvSpPr>
                <xdr:spPr>
                  <a:xfrm>
                    <a:off x="18291811" y="17828933"/>
                    <a:ext cx="0" cy="428"/>
                  </a:xfrm>
                  <a:prstGeom prst="rect">
                    <a:avLst/>
                  </a:prstGeom>
                  <a:solidFill>
                    <a:schemeClr val="lt1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CC00BE6-581A-407F-9B33-575D7E9B68E4&quot;,&quot;Value&quot;:58955.0,&quot;Percentage&quot;:0.051676336348918481}" id="70" name="Shape 70"/>
                  <xdr:cNvSpPr/>
                </xdr:nvSpPr>
                <xdr:spPr>
                  <a:xfrm>
                    <a:off x="18291811" y="17829359"/>
                    <a:ext cx="0" cy="60"/>
                  </a:xfrm>
                  <a:prstGeom prst="rect">
                    <a:avLst/>
                  </a:prstGeom>
                  <a:solidFill>
                    <a:schemeClr val="lt1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88295.0,&quot;Percentage&quot;:0.077393980458447253}" id="71" name="Shape 71"/>
                  <xdr:cNvSpPr/>
                </xdr:nvSpPr>
                <xdr:spPr>
                  <a:xfrm>
                    <a:off x="17047211" y="17956420"/>
                    <a:ext cx="1270000" cy="294871"/>
                  </a:xfrm>
                  <a:prstGeom prst="rect">
                    <a:avLst/>
                  </a:prstGeom>
                  <a:solidFill>
                    <a:srgbClr val="385623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lt1"/>
                      </a:buClr>
                      <a:buSzPts val="1200"/>
                      <a:buFont typeface="Calibri"/>
                      <a:buNone/>
                    </a:pP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RJ 88.295 8%</a:t>
                    </a:r>
                    <a:endParaRPr sz="1400"/>
                  </a:p>
                </xdr:txBody>
              </xdr:sp>
              <xdr:sp>
                <xdr:nvSpPr>
                  <xdr:cNvPr descr="{&quot;Id&quot;:&quot;F0A37514-61FB-45E0-A288-E130D16CA1DD&quot;,&quot;Value&quot;:88295.0,&quot;Percentage&quot;:0.077393980458447253}" id="72" name="Shape 72"/>
                  <xdr:cNvSpPr/>
                </xdr:nvSpPr>
                <xdr:spPr>
                  <a:xfrm>
                    <a:off x="18291811" y="17956420"/>
                    <a:ext cx="0" cy="28166"/>
                  </a:xfrm>
                  <a:prstGeom prst="rect">
                    <a:avLst/>
                  </a:prstGeom>
                  <a:solidFill>
                    <a:schemeClr val="lt2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88295.0,&quot;Percentage&quot;:0.077393980458447253}" id="73" name="Shape 73"/>
                  <xdr:cNvSpPr/>
                </xdr:nvSpPr>
                <xdr:spPr>
                  <a:xfrm>
                    <a:off x="18291811" y="17984586"/>
                    <a:ext cx="0" cy="67"/>
                  </a:xfrm>
                  <a:prstGeom prst="rect">
                    <a:avLst/>
                  </a:prstGeom>
                  <a:solidFill>
                    <a:schemeClr val="lt2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88295.0,&quot;Percentage&quot;:0.077393980458447253}" id="74" name="Shape 74"/>
                  <xdr:cNvSpPr/>
                </xdr:nvSpPr>
                <xdr:spPr>
                  <a:xfrm>
                    <a:off x="18291811" y="17984653"/>
                    <a:ext cx="0" cy="10543"/>
                  </a:xfrm>
                  <a:prstGeom prst="rect">
                    <a:avLst/>
                  </a:prstGeom>
                  <a:solidFill>
                    <a:schemeClr val="lt2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88295.0,&quot;Percentage&quot;:0.077393980458447253}" id="75" name="Shape 75"/>
                  <xdr:cNvSpPr/>
                </xdr:nvSpPr>
                <xdr:spPr>
                  <a:xfrm>
                    <a:off x="18291811" y="17995195"/>
                    <a:ext cx="0" cy="41154"/>
                  </a:xfrm>
                  <a:prstGeom prst="rect">
                    <a:avLst/>
                  </a:prstGeom>
                  <a:solidFill>
                    <a:schemeClr val="lt2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88295.0,&quot;Percentage&quot;:0.077393980458447253}" id="76" name="Shape 76"/>
                  <xdr:cNvSpPr/>
                </xdr:nvSpPr>
                <xdr:spPr>
                  <a:xfrm>
                    <a:off x="18291811" y="18036350"/>
                    <a:ext cx="0" cy="27648"/>
                  </a:xfrm>
                  <a:prstGeom prst="rect">
                    <a:avLst/>
                  </a:prstGeom>
                  <a:solidFill>
                    <a:schemeClr val="lt2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88295.0,&quot;Percentage&quot;:0.077393980458447253}" id="77" name="Shape 77"/>
                  <xdr:cNvSpPr/>
                </xdr:nvSpPr>
                <xdr:spPr>
                  <a:xfrm>
                    <a:off x="18291811" y="18063998"/>
                    <a:ext cx="0" cy="150096"/>
                  </a:xfrm>
                  <a:prstGeom prst="rect">
                    <a:avLst/>
                  </a:prstGeom>
                  <a:solidFill>
                    <a:schemeClr val="lt2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88295.0,&quot;Percentage&quot;:0.077393980458447253}" id="78" name="Shape 78"/>
                  <xdr:cNvSpPr/>
                </xdr:nvSpPr>
                <xdr:spPr>
                  <a:xfrm>
                    <a:off x="18291811" y="18214094"/>
                    <a:ext cx="0" cy="25114"/>
                  </a:xfrm>
                  <a:prstGeom prst="rect">
                    <a:avLst/>
                  </a:prstGeom>
                  <a:solidFill>
                    <a:schemeClr val="lt2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88295.0,&quot;Percentage&quot;:0.077393980458447253}" id="79" name="Shape 79"/>
                  <xdr:cNvSpPr/>
                </xdr:nvSpPr>
                <xdr:spPr>
                  <a:xfrm>
                    <a:off x="18291811" y="18239209"/>
                    <a:ext cx="0" cy="1076"/>
                  </a:xfrm>
                  <a:prstGeom prst="rect">
                    <a:avLst/>
                  </a:prstGeom>
                  <a:solidFill>
                    <a:schemeClr val="lt2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88295.0,&quot;Percentage&quot;:0.077393980458447253}" id="80" name="Shape 80"/>
                  <xdr:cNvSpPr/>
                </xdr:nvSpPr>
                <xdr:spPr>
                  <a:xfrm>
                    <a:off x="18291811" y="18240284"/>
                    <a:ext cx="0" cy="10994"/>
                  </a:xfrm>
                  <a:prstGeom prst="rect">
                    <a:avLst/>
                  </a:prstGeom>
                  <a:solidFill>
                    <a:schemeClr val="lt2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88295.0,&quot;Percentage&quot;:0.077393980458447253}" id="81" name="Shape 81"/>
                  <xdr:cNvSpPr/>
                </xdr:nvSpPr>
                <xdr:spPr>
                  <a:xfrm>
                    <a:off x="18291811" y="18251278"/>
                    <a:ext cx="0" cy="14"/>
                  </a:xfrm>
                  <a:prstGeom prst="rect">
                    <a:avLst/>
                  </a:prstGeom>
                  <a:solidFill>
                    <a:schemeClr val="lt2">
                      <a:alpha val="40000"/>
                    </a:scheme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331304.0,&quot;Percentage&quot;:0.29040076223801353}" id="82" name="Shape 82"/>
                  <xdr:cNvSpPr/>
                </xdr:nvSpPr>
                <xdr:spPr>
                  <a:xfrm>
                    <a:off x="17047211" y="18378291"/>
                    <a:ext cx="1270000" cy="1106427"/>
                  </a:xfrm>
                  <a:prstGeom prst="rect">
                    <a:avLst/>
                  </a:prstGeom>
                  <a:solidFill>
                    <a:srgbClr val="FF0000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lt1"/>
                      </a:buClr>
                      <a:buSzPts val="1200"/>
                      <a:buFont typeface="Calibri"/>
                      <a:buNone/>
                    </a:pP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SP</a:t>
                    </a:r>
                    <a:b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</a:b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331.304</a:t>
                    </a:r>
                    <a:b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</a:b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29%</a:t>
                    </a:r>
                    <a:endParaRPr sz="1400"/>
                  </a:p>
                </xdr:txBody>
              </xdr:sp>
              <xdr:sp>
                <xdr:nvSpPr>
                  <xdr:cNvPr descr="{&quot;Id&quot;:&quot;127C2A76-CD13-4539-BB0C-1511C339EFC0&quot;,&quot;Value&quot;:331304.0,&quot;Percentage&quot;:0.29040076223801353}" id="83" name="Shape 83"/>
                  <xdr:cNvSpPr/>
                </xdr:nvSpPr>
                <xdr:spPr>
                  <a:xfrm>
                    <a:off x="18291811" y="18378292"/>
                    <a:ext cx="0" cy="149469"/>
                  </a:xfrm>
                  <a:prstGeom prst="rect">
                    <a:avLst/>
                  </a:prstGeom>
                  <a:solidFill>
                    <a:srgbClr val="D9E2F3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331304.0,&quot;Percentage&quot;:0.29040076223801353}" id="84" name="Shape 84"/>
                  <xdr:cNvSpPr/>
                </xdr:nvSpPr>
                <xdr:spPr>
                  <a:xfrm>
                    <a:off x="18291811" y="18527761"/>
                    <a:ext cx="0" cy="6"/>
                  </a:xfrm>
                  <a:prstGeom prst="rect">
                    <a:avLst/>
                  </a:prstGeom>
                  <a:solidFill>
                    <a:srgbClr val="D9E2F3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331304.0,&quot;Percentage&quot;:0.29040076223801353}" id="85" name="Shape 85"/>
                  <xdr:cNvSpPr/>
                </xdr:nvSpPr>
                <xdr:spPr>
                  <a:xfrm>
                    <a:off x="18291811" y="18527767"/>
                    <a:ext cx="0" cy="7691"/>
                  </a:xfrm>
                  <a:prstGeom prst="rect">
                    <a:avLst/>
                  </a:prstGeom>
                  <a:solidFill>
                    <a:srgbClr val="D9E2F3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331304.0,&quot;Percentage&quot;:0.29040076223801353}" id="86" name="Shape 86"/>
                  <xdr:cNvSpPr/>
                </xdr:nvSpPr>
                <xdr:spPr>
                  <a:xfrm>
                    <a:off x="18291811" y="18535459"/>
                    <a:ext cx="0" cy="189510"/>
                  </a:xfrm>
                  <a:prstGeom prst="rect">
                    <a:avLst/>
                  </a:prstGeom>
                  <a:solidFill>
                    <a:srgbClr val="D9E2F3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331304.0,&quot;Percentage&quot;:0.29040076223801353}" id="87" name="Shape 87"/>
                  <xdr:cNvSpPr/>
                </xdr:nvSpPr>
                <xdr:spPr>
                  <a:xfrm>
                    <a:off x="18291811" y="18724969"/>
                    <a:ext cx="0" cy="232344"/>
                  </a:xfrm>
                  <a:prstGeom prst="rect">
                    <a:avLst/>
                  </a:prstGeom>
                  <a:solidFill>
                    <a:srgbClr val="D9E2F3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331304.0,&quot;Percentage&quot;:0.29040076223801353}" id="88" name="Shape 88"/>
                  <xdr:cNvSpPr/>
                </xdr:nvSpPr>
                <xdr:spPr>
                  <a:xfrm>
                    <a:off x="18291811" y="18957313"/>
                    <a:ext cx="0" cy="38428"/>
                  </a:xfrm>
                  <a:prstGeom prst="rect">
                    <a:avLst/>
                  </a:prstGeom>
                  <a:solidFill>
                    <a:srgbClr val="D9E2F3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331304.0,&quot;Percentage&quot;:0.29040076223801353}" id="89" name="Shape 89"/>
                  <xdr:cNvSpPr/>
                </xdr:nvSpPr>
                <xdr:spPr>
                  <a:xfrm>
                    <a:off x="18291811" y="18995741"/>
                    <a:ext cx="0" cy="98185"/>
                  </a:xfrm>
                  <a:prstGeom prst="rect">
                    <a:avLst/>
                  </a:prstGeom>
                  <a:solidFill>
                    <a:srgbClr val="D9E2F3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331304.0,&quot;Percentage&quot;:0.29040076223801353}" id="90" name="Shape 90"/>
                  <xdr:cNvSpPr/>
                </xdr:nvSpPr>
                <xdr:spPr>
                  <a:xfrm>
                    <a:off x="18291811" y="19093923"/>
                    <a:ext cx="0" cy="70005"/>
                  </a:xfrm>
                  <a:prstGeom prst="rect">
                    <a:avLst/>
                  </a:prstGeom>
                  <a:solidFill>
                    <a:srgbClr val="D9E2F3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331304.0,&quot;Percentage&quot;:0.29040076223801353}" id="91" name="Shape 91"/>
                  <xdr:cNvSpPr/>
                </xdr:nvSpPr>
                <xdr:spPr>
                  <a:xfrm>
                    <a:off x="18291811" y="19163930"/>
                    <a:ext cx="0" cy="188111"/>
                  </a:xfrm>
                  <a:prstGeom prst="rect">
                    <a:avLst/>
                  </a:prstGeom>
                  <a:solidFill>
                    <a:srgbClr val="D9E2F3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331304.0,&quot;Percentage&quot;:0.29040076223801353}" id="92" name="Shape 92"/>
                  <xdr:cNvSpPr/>
                </xdr:nvSpPr>
                <xdr:spPr>
                  <a:xfrm>
                    <a:off x="18291811" y="19352039"/>
                    <a:ext cx="0" cy="132620"/>
                  </a:xfrm>
                  <a:prstGeom prst="rect">
                    <a:avLst/>
                  </a:prstGeom>
                  <a:solidFill>
                    <a:srgbClr val="D9E2F3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331304.0,&quot;Percentage&quot;:0.29040076223801353}" id="93" name="Shape 93"/>
                  <xdr:cNvSpPr/>
                </xdr:nvSpPr>
                <xdr:spPr>
                  <a:xfrm>
                    <a:off x="18291811" y="19484659"/>
                    <a:ext cx="0" cy="61"/>
                  </a:xfrm>
                  <a:prstGeom prst="rect">
                    <a:avLst/>
                  </a:prstGeom>
                  <a:solidFill>
                    <a:srgbClr val="D9E2F3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C7CC21C-F789-4CBC-9E84-3B8404EF4D25&quot;,&quot;Value&quot;:3269.0,&quot;Percentage&quot;:0.0028654048600562213}" id="94" name="Shape 94"/>
                  <xdr:cNvSpPr/>
                </xdr:nvSpPr>
                <xdr:spPr>
                  <a:xfrm>
                    <a:off x="17047211" y="19574566"/>
                    <a:ext cx="1270000" cy="98053"/>
                  </a:xfrm>
                  <a:prstGeom prst="rect">
                    <a:avLst/>
                  </a:prstGeom>
                  <a:solidFill>
                    <a:srgbClr val="7030A0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lt1"/>
                      </a:buClr>
                      <a:buSzPts val="1000"/>
                      <a:buFont typeface="Calibri"/>
                      <a:buNone/>
                    </a:pPr>
                    <a:r>
                      <a:rPr b="1" i="0" lang="en-US" sz="10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PR 3.269 0%</a:t>
                    </a:r>
                    <a:endParaRPr sz="1400"/>
                  </a:p>
                </xdr:txBody>
              </xdr:sp>
              <xdr:sp>
                <xdr:nvSpPr>
                  <xdr:cNvPr descr="{&quot;Id&quot;:&quot;DC7CC21C-F789-4CBC-9E84-3B8404EF4D25&quot;,&quot;Value&quot;:3269.0,&quot;Percentage&quot;:0.0028654048600562213}" id="95" name="Shape 95"/>
                  <xdr:cNvSpPr/>
                </xdr:nvSpPr>
                <xdr:spPr>
                  <a:xfrm>
                    <a:off x="18291811" y="19611720"/>
                    <a:ext cx="0" cy="96"/>
                  </a:xfrm>
                  <a:prstGeom prst="rect">
                    <a:avLst/>
                  </a:prstGeom>
                  <a:solidFill>
                    <a:srgbClr val="FBE5D5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C7CC21C-F789-4CBC-9E84-3B8404EF4D25&quot;,&quot;Value&quot;:3269.0,&quot;Percentage&quot;:0.0028654048600562213}" id="96" name="Shape 96"/>
                  <xdr:cNvSpPr/>
                </xdr:nvSpPr>
                <xdr:spPr>
                  <a:xfrm>
                    <a:off x="18291811" y="19611817"/>
                    <a:ext cx="0" cy="37"/>
                  </a:xfrm>
                  <a:prstGeom prst="rect">
                    <a:avLst/>
                  </a:prstGeom>
                  <a:solidFill>
                    <a:srgbClr val="FBE5D5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C7CC21C-F789-4CBC-9E84-3B8404EF4D25&quot;,&quot;Value&quot;:3269.0,&quot;Percentage&quot;:0.0028654048600562213}" id="97" name="Shape 97"/>
                  <xdr:cNvSpPr/>
                </xdr:nvSpPr>
                <xdr:spPr>
                  <a:xfrm>
                    <a:off x="18291811" y="19611853"/>
                    <a:ext cx="0" cy="424"/>
                  </a:xfrm>
                  <a:prstGeom prst="rect">
                    <a:avLst/>
                  </a:prstGeom>
                  <a:solidFill>
                    <a:srgbClr val="FBE5D5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C7CC21C-F789-4CBC-9E84-3B8404EF4D25&quot;,&quot;Value&quot;:3269.0,&quot;Percentage&quot;:0.0028654048600562213}" id="98" name="Shape 98"/>
                  <xdr:cNvSpPr/>
                </xdr:nvSpPr>
                <xdr:spPr>
                  <a:xfrm>
                    <a:off x="18291811" y="19612277"/>
                    <a:ext cx="0" cy="637"/>
                  </a:xfrm>
                  <a:prstGeom prst="rect">
                    <a:avLst/>
                  </a:prstGeom>
                  <a:solidFill>
                    <a:srgbClr val="FBE5D5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C7CC21C-F789-4CBC-9E84-3B8404EF4D25&quot;,&quot;Value&quot;:3269.0,&quot;Percentage&quot;:0.0028654048600562213}" id="99" name="Shape 99"/>
                  <xdr:cNvSpPr/>
                </xdr:nvSpPr>
                <xdr:spPr>
                  <a:xfrm>
                    <a:off x="18291811" y="19612913"/>
                    <a:ext cx="0" cy="9722"/>
                  </a:xfrm>
                  <a:prstGeom prst="rect">
                    <a:avLst/>
                  </a:prstGeom>
                  <a:solidFill>
                    <a:srgbClr val="FBE5D5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176496.0,&quot;Percentage&quot;:0.15470556628341475}" id="100" name="Shape 100"/>
                  <xdr:cNvSpPr/>
                </xdr:nvSpPr>
                <xdr:spPr>
                  <a:xfrm>
                    <a:off x="17047211" y="19749638"/>
                    <a:ext cx="1270000" cy="589428"/>
                  </a:xfrm>
                  <a:prstGeom prst="rect">
                    <a:avLst/>
                  </a:prstGeom>
                  <a:solidFill>
                    <a:srgbClr val="25B2B9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lt1"/>
                      </a:buClr>
                      <a:buSzPts val="1200"/>
                      <a:buFont typeface="Calibri"/>
                      <a:buNone/>
                    </a:pP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SC</a:t>
                    </a:r>
                    <a:b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</a:b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176.496</a:t>
                    </a:r>
                    <a:b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</a:b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15%</a:t>
                    </a:r>
                    <a:endParaRPr sz="1400"/>
                  </a:p>
                </xdr:txBody>
              </xdr:sp>
              <xdr:sp>
                <xdr:nvSpPr>
                  <xdr:cNvPr descr="{&quot;Id&quot;:&quot;5B9FDE40-99B4-4832-A4A3-B5CFFB26AC95&quot;,&quot;Value&quot;:176496.0,&quot;Percentage&quot;:0.15470556628341475}" id="101" name="Shape 101"/>
                  <xdr:cNvSpPr/>
                </xdr:nvSpPr>
                <xdr:spPr>
                  <a:xfrm>
                    <a:off x="18291811" y="19749638"/>
                    <a:ext cx="0" cy="121307"/>
                  </a:xfrm>
                  <a:prstGeom prst="rect">
                    <a:avLst/>
                  </a:prstGeom>
                  <a:solidFill>
                    <a:srgbClr val="EDEDED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176496.0,&quot;Percentage&quot;:0.15470556628341475}" id="102" name="Shape 102"/>
                  <xdr:cNvSpPr/>
                </xdr:nvSpPr>
                <xdr:spPr>
                  <a:xfrm>
                    <a:off x="18291811" y="19870945"/>
                    <a:ext cx="0" cy="5564"/>
                  </a:xfrm>
                  <a:prstGeom prst="rect">
                    <a:avLst/>
                  </a:prstGeom>
                  <a:solidFill>
                    <a:srgbClr val="EDEDED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176496.0,&quot;Percentage&quot;:0.15470556628341475}" id="103" name="Shape 103"/>
                  <xdr:cNvSpPr/>
                </xdr:nvSpPr>
                <xdr:spPr>
                  <a:xfrm>
                    <a:off x="18291811" y="19876508"/>
                    <a:ext cx="0" cy="150941"/>
                  </a:xfrm>
                  <a:prstGeom prst="rect">
                    <a:avLst/>
                  </a:prstGeom>
                  <a:solidFill>
                    <a:srgbClr val="EDEDED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176496.0,&quot;Percentage&quot;:0.15470556628341475}" id="104" name="Shape 104"/>
                  <xdr:cNvSpPr/>
                </xdr:nvSpPr>
                <xdr:spPr>
                  <a:xfrm>
                    <a:off x="18291811" y="20027448"/>
                    <a:ext cx="0" cy="213040"/>
                  </a:xfrm>
                  <a:prstGeom prst="rect">
                    <a:avLst/>
                  </a:prstGeom>
                  <a:solidFill>
                    <a:srgbClr val="EDEDED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176496.0,&quot;Percentage&quot;:0.15470556628341475}" id="105" name="Shape 105"/>
                  <xdr:cNvSpPr/>
                </xdr:nvSpPr>
                <xdr:spPr>
                  <a:xfrm>
                    <a:off x="18291811" y="20240488"/>
                    <a:ext cx="0" cy="37681"/>
                  </a:xfrm>
                  <a:prstGeom prst="rect">
                    <a:avLst/>
                  </a:prstGeom>
                  <a:solidFill>
                    <a:srgbClr val="EDEDED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176496.0,&quot;Percentage&quot;:0.15470556628341475}" id="106" name="Shape 106"/>
                  <xdr:cNvSpPr/>
                </xdr:nvSpPr>
                <xdr:spPr>
                  <a:xfrm>
                    <a:off x="18291811" y="20278170"/>
                    <a:ext cx="0" cy="11846"/>
                  </a:xfrm>
                  <a:prstGeom prst="rect">
                    <a:avLst/>
                  </a:prstGeom>
                  <a:solidFill>
                    <a:srgbClr val="EDEDED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176496.0,&quot;Percentage&quot;:0.15470556628341475}" id="107" name="Shape 107"/>
                  <xdr:cNvSpPr/>
                </xdr:nvSpPr>
                <xdr:spPr>
                  <a:xfrm>
                    <a:off x="18291811" y="20290016"/>
                    <a:ext cx="0" cy="3854"/>
                  </a:xfrm>
                  <a:prstGeom prst="rect">
                    <a:avLst/>
                  </a:prstGeom>
                  <a:solidFill>
                    <a:srgbClr val="EDEDED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176496.0,&quot;Percentage&quot;:0.15470556628341475}" id="108" name="Shape 108"/>
                  <xdr:cNvSpPr/>
                </xdr:nvSpPr>
                <xdr:spPr>
                  <a:xfrm>
                    <a:off x="18291811" y="20293870"/>
                    <a:ext cx="0" cy="26226"/>
                  </a:xfrm>
                  <a:prstGeom prst="rect">
                    <a:avLst/>
                  </a:prstGeom>
                  <a:solidFill>
                    <a:srgbClr val="EDEDED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176496.0,&quot;Percentage&quot;:0.15470556628341475}" id="109" name="Shape 109"/>
                  <xdr:cNvSpPr/>
                </xdr:nvSpPr>
                <xdr:spPr>
                  <a:xfrm>
                    <a:off x="18291811" y="20320095"/>
                    <a:ext cx="0" cy="18895"/>
                  </a:xfrm>
                  <a:prstGeom prst="rect">
                    <a:avLst/>
                  </a:prstGeom>
                  <a:solidFill>
                    <a:srgbClr val="EDEDED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176496.0,&quot;Percentage&quot;:0.15470556628341475}" id="110" name="Shape 110"/>
                  <xdr:cNvSpPr/>
                </xdr:nvSpPr>
                <xdr:spPr>
                  <a:xfrm>
                    <a:off x="18291811" y="20338991"/>
                    <a:ext cx="0" cy="73"/>
                  </a:xfrm>
                  <a:prstGeom prst="rect">
                    <a:avLst/>
                  </a:prstGeom>
                  <a:solidFill>
                    <a:srgbClr val="EDEDED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54377.0,&quot;Percentage&quot;:0.047663542390724116}" id="111" name="Shape 111"/>
                  <xdr:cNvSpPr/>
                </xdr:nvSpPr>
                <xdr:spPr>
                  <a:xfrm>
                    <a:off x="17047211" y="20466066"/>
                    <a:ext cx="1270000" cy="181598"/>
                  </a:xfrm>
                  <a:prstGeom prst="rect">
                    <a:avLst/>
                  </a:prstGeom>
                  <a:solidFill>
                    <a:srgbClr val="FFFF00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200"/>
                      <a:buFont typeface="Calibri"/>
                      <a:buNone/>
                    </a:pPr>
                    <a:r>
                      <a:rPr b="1" i="0" lang="en-US" sz="1200" u="none">
                        <a:solidFill>
                          <a:schemeClr val="dk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RS 54.377 5%</a:t>
                    </a:r>
                    <a:endParaRPr sz="1400"/>
                  </a:p>
                </xdr:txBody>
              </xdr:sp>
              <xdr:sp>
                <xdr:nvSpPr>
                  <xdr:cNvPr descr="{&quot;Id&quot;:&quot;EA8472D2-ADB3-42E6-8D16-EEE9EA4D4E9C&quot;,&quot;Value&quot;:54377.0,&quot;Percentage&quot;:0.047663542390724116}" id="112" name="Shape 112"/>
                  <xdr:cNvSpPr/>
                </xdr:nvSpPr>
                <xdr:spPr>
                  <a:xfrm>
                    <a:off x="18291811" y="20466066"/>
                    <a:ext cx="0" cy="16778"/>
                  </a:xfrm>
                  <a:prstGeom prst="rect">
                    <a:avLst/>
                  </a:prstGeom>
                  <a:solidFill>
                    <a:srgbClr val="FFF2CC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54377.0,&quot;Percentage&quot;:0.047663542390724116}" id="113" name="Shape 113"/>
                  <xdr:cNvSpPr/>
                </xdr:nvSpPr>
                <xdr:spPr>
                  <a:xfrm>
                    <a:off x="18291811" y="20482844"/>
                    <a:ext cx="0" cy="4968"/>
                  </a:xfrm>
                  <a:prstGeom prst="rect">
                    <a:avLst/>
                  </a:prstGeom>
                  <a:solidFill>
                    <a:srgbClr val="FFF2CC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54377.0,&quot;Percentage&quot;:0.047663542390724116}" id="114" name="Shape 114"/>
                  <xdr:cNvSpPr/>
                </xdr:nvSpPr>
                <xdr:spPr>
                  <a:xfrm>
                    <a:off x="18291811" y="20487813"/>
                    <a:ext cx="0" cy="60971"/>
                  </a:xfrm>
                  <a:prstGeom prst="rect">
                    <a:avLst/>
                  </a:prstGeom>
                  <a:solidFill>
                    <a:srgbClr val="FFF2CC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54377.0,&quot;Percentage&quot;:0.047663542390724116}" id="115" name="Shape 115"/>
                  <xdr:cNvSpPr/>
                </xdr:nvSpPr>
                <xdr:spPr>
                  <a:xfrm>
                    <a:off x="18291811" y="20548783"/>
                    <a:ext cx="0" cy="42253"/>
                  </a:xfrm>
                  <a:prstGeom prst="rect">
                    <a:avLst/>
                  </a:prstGeom>
                  <a:solidFill>
                    <a:srgbClr val="FFF2CC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54377.0,&quot;Percentage&quot;:0.047663542390724116}" id="116" name="Shape 116"/>
                  <xdr:cNvSpPr/>
                </xdr:nvSpPr>
                <xdr:spPr>
                  <a:xfrm>
                    <a:off x="18291811" y="20591038"/>
                    <a:ext cx="0" cy="29725"/>
                  </a:xfrm>
                  <a:prstGeom prst="rect">
                    <a:avLst/>
                  </a:prstGeom>
                  <a:solidFill>
                    <a:srgbClr val="FFF2CC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54377.0,&quot;Percentage&quot;:0.047663542390724116}" id="117" name="Shape 117"/>
                  <xdr:cNvSpPr/>
                </xdr:nvSpPr>
                <xdr:spPr>
                  <a:xfrm>
                    <a:off x="18291811" y="20620763"/>
                    <a:ext cx="0" cy="113"/>
                  </a:xfrm>
                  <a:prstGeom prst="rect">
                    <a:avLst/>
                  </a:prstGeom>
                  <a:solidFill>
                    <a:srgbClr val="FFF2CC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54377.0,&quot;Percentage&quot;:0.047663542390724116}" id="118" name="Shape 118"/>
                  <xdr:cNvSpPr/>
                </xdr:nvSpPr>
                <xdr:spPr>
                  <a:xfrm>
                    <a:off x="18291811" y="20620878"/>
                    <a:ext cx="0" cy="10864"/>
                  </a:xfrm>
                  <a:prstGeom prst="rect">
                    <a:avLst/>
                  </a:prstGeom>
                  <a:solidFill>
                    <a:srgbClr val="FFF2CC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54377.0,&quot;Percentage&quot;:0.047663542390724116}" id="119" name="Shape 119"/>
                  <xdr:cNvSpPr/>
                </xdr:nvSpPr>
                <xdr:spPr>
                  <a:xfrm>
                    <a:off x="18291811" y="20631742"/>
                    <a:ext cx="0" cy="695"/>
                  </a:xfrm>
                  <a:prstGeom prst="rect">
                    <a:avLst/>
                  </a:prstGeom>
                  <a:solidFill>
                    <a:srgbClr val="FFF2CC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54377.0,&quot;Percentage&quot;:0.047663542390724116}" id="120" name="Shape 120"/>
                  <xdr:cNvSpPr/>
                </xdr:nvSpPr>
                <xdr:spPr>
                  <a:xfrm>
                    <a:off x="18291811" y="20632438"/>
                    <a:ext cx="0" cy="15228"/>
                  </a:xfrm>
                  <a:prstGeom prst="rect">
                    <a:avLst/>
                  </a:prstGeom>
                  <a:solidFill>
                    <a:srgbClr val="FFF2CC">
                      <a:alpha val="40000"/>
                    </a:srgbClr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697DF78-E1C0-4C38-AAE0-59B1F3DCE2DB&quot;,&quot;Value&quot;:168494.0,&quot;Percentage&quot;:0.147691503973788}" id="121" name="Shape 121"/>
                  <xdr:cNvSpPr/>
                </xdr:nvSpPr>
                <xdr:spPr>
                  <a:xfrm>
                    <a:off x="23397211" y="15440661"/>
                    <a:ext cx="63500" cy="562705"/>
                  </a:xfrm>
                  <a:prstGeom prst="rect">
                    <a:avLst/>
                  </a:prstGeom>
                  <a:solidFill>
                    <a:schemeClr val="dk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697DF78-E1C0-4C38-AAE0-59B1F3DCE2DB&quot;,&quot;Value&quot;:168494.0,&quot;Percentage&quot;:0.147691503973788}" id="122" name="Shape 122"/>
                  <xdr:cNvSpPr/>
                </xdr:nvSpPr>
                <xdr:spPr>
                  <a:xfrm>
                    <a:off x="23460711" y="15440661"/>
                    <a:ext cx="1270000" cy="562705"/>
                  </a:xfrm>
                  <a:prstGeom prst="rect">
                    <a:avLst/>
                  </a:prstGeom>
                  <a:solidFill>
                    <a:srgbClr val="0070C0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lt1"/>
                      </a:buClr>
                      <a:buSzPts val="1200"/>
                      <a:buFont typeface="Calibri"/>
                      <a:buNone/>
                    </a:pP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AM</a:t>
                    </a:r>
                    <a:b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</a:b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168.494</a:t>
                    </a:r>
                    <a:b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</a:b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15%</a:t>
                    </a:r>
                    <a:endParaRPr sz="1400"/>
                  </a:p>
                </xdr:txBody>
              </xdr:sp>
              <xdr:sp>
                <xdr:nvSpPr>
                  <xdr:cNvPr descr="{&quot;Id&quot;:&quot;D697DF78-E1C0-4C38-AAE0-59B1F3DCE2DB&quot;,&quot;Value&quot;:168494.0,&quot;Percentage&quot;:0.147691503973788}" id="123" name="Shape 123"/>
                  <xdr:cNvSpPr/>
                </xdr:nvSpPr>
                <xdr:spPr>
                  <a:xfrm>
                    <a:off x="23422611" y="15440661"/>
                    <a:ext cx="0" cy="79623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697DF78-E1C0-4C38-AAE0-59B1F3DCE2DB&quot;,&quot;Value&quot;:168494.0,&quot;Percentage&quot;:0.147691503973788}" id="124" name="Shape 124"/>
                  <xdr:cNvSpPr/>
                </xdr:nvSpPr>
                <xdr:spPr>
                  <a:xfrm>
                    <a:off x="23422611" y="15520284"/>
                    <a:ext cx="0" cy="134436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697DF78-E1C0-4C38-AAE0-59B1F3DCE2DB&quot;,&quot;Value&quot;:168494.0,&quot;Percentage&quot;:0.147691503973788}" id="125" name="Shape 125"/>
                  <xdr:cNvSpPr/>
                </xdr:nvSpPr>
                <xdr:spPr>
                  <a:xfrm>
                    <a:off x="23422611" y="15654720"/>
                    <a:ext cx="0" cy="24511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697DF78-E1C0-4C38-AAE0-59B1F3DCE2DB&quot;,&quot;Value&quot;:168494.0,&quot;Percentage&quot;:0.147691503973788}" id="126" name="Shape 126"/>
                  <xdr:cNvSpPr/>
                </xdr:nvSpPr>
                <xdr:spPr>
                  <a:xfrm>
                    <a:off x="23422611" y="15679231"/>
                    <a:ext cx="0" cy="8417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697DF78-E1C0-4C38-AAE0-59B1F3DCE2DB&quot;,&quot;Value&quot;:168494.0,&quot;Percentage&quot;:0.147691503973788}" id="127" name="Shape 127"/>
                  <xdr:cNvSpPr/>
                </xdr:nvSpPr>
                <xdr:spPr>
                  <a:xfrm>
                    <a:off x="23422611" y="15687648"/>
                    <a:ext cx="0" cy="28165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697DF78-E1C0-4C38-AAE0-59B1F3DCE2DB&quot;,&quot;Value&quot;:168494.0,&quot;Percentage&quot;:0.147691503973788}" id="128" name="Shape 128"/>
                  <xdr:cNvSpPr/>
                </xdr:nvSpPr>
                <xdr:spPr>
                  <a:xfrm>
                    <a:off x="23422611" y="15715814"/>
                    <a:ext cx="0" cy="149469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697DF78-E1C0-4C38-AAE0-59B1F3DCE2DB&quot;,&quot;Value&quot;:168494.0,&quot;Percentage&quot;:0.147691503973788}" id="129" name="Shape 129"/>
                  <xdr:cNvSpPr/>
                </xdr:nvSpPr>
                <xdr:spPr>
                  <a:xfrm>
                    <a:off x="23422611" y="15865283"/>
                    <a:ext cx="0" cy="121309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697DF78-E1C0-4C38-AAE0-59B1F3DCE2DB&quot;,&quot;Value&quot;:168494.0,&quot;Percentage&quot;:0.147691503973788}" id="130" name="Shape 130"/>
                  <xdr:cNvSpPr/>
                </xdr:nvSpPr>
                <xdr:spPr>
                  <a:xfrm>
                    <a:off x="23422611" y="15986592"/>
                    <a:ext cx="0" cy="16778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2ED400A-6FA2-49C6-BC3D-E080CA441F6A&quot;,&quot;Value&quot;:2475.0,&quot;Percentage&quot;:0.002169433168748592}" id="131" name="Shape 131"/>
                  <xdr:cNvSpPr/>
                </xdr:nvSpPr>
                <xdr:spPr>
                  <a:xfrm>
                    <a:off x="23397211" y="16130366"/>
                    <a:ext cx="63500" cy="8266"/>
                  </a:xfrm>
                  <a:prstGeom prst="rect">
                    <a:avLst/>
                  </a:prstGeom>
                  <a:solidFill>
                    <a:schemeClr val="dk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2ED400A-6FA2-49C6-BC3D-E080CA441F6A&quot;,&quot;Value&quot;:2475.0,&quot;Percentage&quot;:0.002169433168748592}" id="132" name="Shape 132"/>
                  <xdr:cNvSpPr/>
                </xdr:nvSpPr>
                <xdr:spPr>
                  <a:xfrm>
                    <a:off x="23460711" y="16083080"/>
                    <a:ext cx="1270000" cy="80205"/>
                  </a:xfrm>
                  <a:prstGeom prst="rect">
                    <a:avLst/>
                  </a:prstGeom>
                  <a:solidFill>
                    <a:schemeClr val="accent2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lt1"/>
                      </a:buClr>
                      <a:buSzPts val="1050"/>
                      <a:buFont typeface="Calibri"/>
                      <a:buNone/>
                    </a:pPr>
                    <a:r>
                      <a:rPr b="1" i="0" lang="en-US" sz="105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PA 2.475  %</a:t>
                    </a:r>
                    <a:endParaRPr sz="1400"/>
                  </a:p>
                </xdr:txBody>
              </xdr:sp>
              <xdr:sp>
                <xdr:nvSpPr>
                  <xdr:cNvPr descr="{&quot;Id&quot;:&quot;52ED400A-6FA2-49C6-BC3D-E080CA441F6A&quot;,&quot;Value&quot;:2475.0,&quot;Percentage&quot;:0.002169433168748592}" id="133" name="Shape 133"/>
                  <xdr:cNvSpPr/>
                </xdr:nvSpPr>
                <xdr:spPr>
                  <a:xfrm>
                    <a:off x="23422611" y="16130366"/>
                    <a:ext cx="0" cy="8260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2ED400A-6FA2-49C6-BC3D-E080CA441F6A&quot;,&quot;Value&quot;:2475.0,&quot;Percentage&quot;:0.002169433168748592}" id="134" name="Shape 134"/>
                  <xdr:cNvSpPr/>
                </xdr:nvSpPr>
                <xdr:spPr>
                  <a:xfrm>
                    <a:off x="23422611" y="16138627"/>
                    <a:ext cx="0" cy="6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B387904-B2D6-42B8-85A4-890F3239890E&quot;,&quot;Value&quot;:6929.0,&quot;Percentage&quot;:0.0060735363338420183}" id="135" name="Shape 135"/>
                  <xdr:cNvSpPr/>
                </xdr:nvSpPr>
                <xdr:spPr>
                  <a:xfrm>
                    <a:off x="23397211" y="16265631"/>
                    <a:ext cx="63500" cy="23140"/>
                  </a:xfrm>
                  <a:prstGeom prst="rect">
                    <a:avLst/>
                  </a:prstGeom>
                  <a:solidFill>
                    <a:schemeClr val="dk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B387904-B2D6-42B8-85A4-890F3239890E&quot;,&quot;Value&quot;:6929.0,&quot;Percentage&quot;:0.0060735363338420183}" id="136" name="Shape 136"/>
                  <xdr:cNvSpPr/>
                </xdr:nvSpPr>
                <xdr:spPr>
                  <a:xfrm>
                    <a:off x="23460711" y="16211591"/>
                    <a:ext cx="1270000" cy="130707"/>
                  </a:xfrm>
                  <a:prstGeom prst="rect">
                    <a:avLst/>
                  </a:prstGeom>
                  <a:solidFill>
                    <a:schemeClr val="accent3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lt1"/>
                      </a:buClr>
                      <a:buSzPts val="1000"/>
                      <a:buFont typeface="Calibri"/>
                      <a:buNone/>
                    </a:pPr>
                    <a:r>
                      <a:rPr b="1" i="0" lang="en-US" sz="10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MA 6.929 1%</a:t>
                    </a:r>
                    <a:endParaRPr sz="1400"/>
                  </a:p>
                </xdr:txBody>
              </xdr:sp>
              <xdr:sp>
                <xdr:nvSpPr>
                  <xdr:cNvPr descr="{&quot;Id&quot;:&quot;1B387904-B2D6-42B8-85A4-890F3239890E&quot;,&quot;Value&quot;:6929.0,&quot;Percentage&quot;:0.0060735363338420183}" id="137" name="Shape 137"/>
                  <xdr:cNvSpPr/>
                </xdr:nvSpPr>
                <xdr:spPr>
                  <a:xfrm>
                    <a:off x="23422611" y="16265631"/>
                    <a:ext cx="0" cy="64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B387904-B2D6-42B8-85A4-890F3239890E&quot;,&quot;Value&quot;:6929.0,&quot;Percentage&quot;:0.0060735363338420183}" id="138" name="Shape 138"/>
                  <xdr:cNvSpPr/>
                </xdr:nvSpPr>
                <xdr:spPr>
                  <a:xfrm>
                    <a:off x="23422611" y="16265695"/>
                    <a:ext cx="0" cy="1282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B387904-B2D6-42B8-85A4-890F3239890E&quot;,&quot;Value&quot;:6929.0,&quot;Percentage&quot;:0.0060735363338420183}" id="139" name="Shape 139"/>
                  <xdr:cNvSpPr/>
                </xdr:nvSpPr>
                <xdr:spPr>
                  <a:xfrm>
                    <a:off x="23422611" y="16266978"/>
                    <a:ext cx="0" cy="2954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B387904-B2D6-42B8-85A4-890F3239890E&quot;,&quot;Value&quot;:6929.0,&quot;Percentage&quot;:0.0060735363338420183}" id="140" name="Shape 140"/>
                  <xdr:cNvSpPr/>
                </xdr:nvSpPr>
                <xdr:spPr>
                  <a:xfrm>
                    <a:off x="23422611" y="16269931"/>
                    <a:ext cx="0" cy="547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B387904-B2D6-42B8-85A4-890F3239890E&quot;,&quot;Value&quot;:6929.0,&quot;Percentage&quot;:0.0060735363338420183}" id="141" name="Shape 141"/>
                  <xdr:cNvSpPr/>
                </xdr:nvSpPr>
                <xdr:spPr>
                  <a:xfrm>
                    <a:off x="23422611" y="16270478"/>
                    <a:ext cx="0" cy="67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B387904-B2D6-42B8-85A4-890F3239890E&quot;,&quot;Value&quot;:6929.0,&quot;Percentage&quot;:0.0060735363338420183}" id="142" name="Shape 142"/>
                  <xdr:cNvSpPr/>
                </xdr:nvSpPr>
                <xdr:spPr>
                  <a:xfrm>
                    <a:off x="23422611" y="16270545"/>
                    <a:ext cx="0" cy="7691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B387904-B2D6-42B8-85A4-890F3239890E&quot;,&quot;Value&quot;:6929.0,&quot;Percentage&quot;:0.0060735363338420183}" id="143" name="Shape 143"/>
                  <xdr:cNvSpPr/>
                </xdr:nvSpPr>
                <xdr:spPr>
                  <a:xfrm>
                    <a:off x="23422611" y="16278236"/>
                    <a:ext cx="0" cy="5564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B387904-B2D6-42B8-85A4-890F3239890E&quot;,&quot;Value&quot;:6929.0,&quot;Percentage&quot;:0.0060735363338420183}" id="144" name="Shape 144"/>
                  <xdr:cNvSpPr/>
                </xdr:nvSpPr>
                <xdr:spPr>
                  <a:xfrm>
                    <a:off x="23422611" y="16283800"/>
                    <a:ext cx="0" cy="4969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4A9EE89-78A4-48D0-8E3F-EF0EB3467BDD&quot;,&quot;Value&quot;:163464.0,&quot;Percentage&quot;:0.14328251454396762}" id="145" name="Shape 145"/>
                  <xdr:cNvSpPr/>
                </xdr:nvSpPr>
                <xdr:spPr>
                  <a:xfrm>
                    <a:off x="23397211" y="16415772"/>
                    <a:ext cx="63500" cy="545906"/>
                  </a:xfrm>
                  <a:prstGeom prst="rect">
                    <a:avLst/>
                  </a:prstGeom>
                  <a:solidFill>
                    <a:schemeClr val="dk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4A9EE89-78A4-48D0-8E3F-EF0EB3467BDD&quot;,&quot;Value&quot;:163464.0,&quot;Percentage&quot;:0.14328251454396762}" id="146" name="Shape 146"/>
                  <xdr:cNvSpPr/>
                </xdr:nvSpPr>
                <xdr:spPr>
                  <a:xfrm>
                    <a:off x="23460711" y="16415772"/>
                    <a:ext cx="1270000" cy="545906"/>
                  </a:xfrm>
                  <a:prstGeom prst="rect">
                    <a:avLst/>
                  </a:prstGeom>
                  <a:solidFill>
                    <a:schemeClr val="accent4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000000"/>
                      </a:buClr>
                      <a:buSzPts val="1200"/>
                      <a:buFont typeface="Calibri"/>
                      <a:buNone/>
                    </a:pPr>
                    <a:r>
                      <a:rPr b="1" i="0" lang="en-US" sz="1200" u="non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CE</a:t>
                    </a:r>
                    <a:br>
                      <a:rPr b="1" i="0" lang="en-US" sz="1200" u="non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</a:br>
                    <a:r>
                      <a:rPr b="1" i="0" lang="en-US" sz="1200" u="non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163.464</a:t>
                    </a:r>
                    <a:br>
                      <a:rPr b="1" i="0" lang="en-US" sz="1200" u="non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</a:br>
                    <a:r>
                      <a:rPr b="1" i="0" lang="en-US" sz="1200" u="non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14%</a:t>
                    </a:r>
                    <a:endParaRPr sz="1400"/>
                  </a:p>
                </xdr:txBody>
              </xdr:sp>
              <xdr:sp>
                <xdr:nvSpPr>
                  <xdr:cNvPr descr="{&quot;Id&quot;:&quot;F4A9EE89-78A4-48D0-8E3F-EF0EB3467BDD&quot;,&quot;Value&quot;:163464.0,&quot;Percentage&quot;:0.14328251454396762}" id="147" name="Shape 147"/>
                  <xdr:cNvSpPr/>
                </xdr:nvSpPr>
                <xdr:spPr>
                  <a:xfrm>
                    <a:off x="23422611" y="16415772"/>
                    <a:ext cx="0" cy="46431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4A9EE89-78A4-48D0-8E3F-EF0EB3467BDD&quot;,&quot;Value&quot;:163464.0,&quot;Percentage&quot;:0.14328251454396762}" id="148" name="Shape 148"/>
                  <xdr:cNvSpPr/>
                </xdr:nvSpPr>
                <xdr:spPr>
                  <a:xfrm>
                    <a:off x="23422611" y="16462203"/>
                    <a:ext cx="0" cy="27315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4A9EE89-78A4-48D0-8E3F-EF0EB3467BDD&quot;,&quot;Value&quot;:163464.0,&quot;Percentage&quot;:0.14328251454396762}" id="149" name="Shape 149"/>
                  <xdr:cNvSpPr/>
                </xdr:nvSpPr>
                <xdr:spPr>
                  <a:xfrm>
                    <a:off x="23422611" y="16489519"/>
                    <a:ext cx="0" cy="370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4A9EE89-78A4-48D0-8E3F-EF0EB3467BDD&quot;,&quot;Value&quot;:163464.0,&quot;Percentage&quot;:0.14328251454396762}" id="150" name="Shape 150"/>
                  <xdr:cNvSpPr/>
                </xdr:nvSpPr>
                <xdr:spPr>
                  <a:xfrm>
                    <a:off x="23422611" y="16489888"/>
                    <a:ext cx="0" cy="41377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4A9EE89-78A4-48D0-8E3F-EF0EB3467BDD&quot;,&quot;Value&quot;:163464.0,&quot;Percentage&quot;:0.14328251454396762}" id="151" name="Shape 151"/>
                  <xdr:cNvSpPr/>
                </xdr:nvSpPr>
                <xdr:spPr>
                  <a:xfrm>
                    <a:off x="23422611" y="16531266"/>
                    <a:ext cx="0" cy="18351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4A9EE89-78A4-48D0-8E3F-EF0EB3467BDD&quot;,&quot;Value&quot;:163464.0,&quot;Percentage&quot;:0.14328251454396762}" id="152" name="Shape 152"/>
                  <xdr:cNvSpPr/>
                </xdr:nvSpPr>
                <xdr:spPr>
                  <a:xfrm>
                    <a:off x="23422611" y="16549616"/>
                    <a:ext cx="0" cy="10544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4A9EE89-78A4-48D0-8E3F-EF0EB3467BDD&quot;,&quot;Value&quot;:163464.0,&quot;Percentage&quot;:0.14328251454396762}" id="153" name="Shape 153"/>
                  <xdr:cNvSpPr/>
                </xdr:nvSpPr>
                <xdr:spPr>
                  <a:xfrm>
                    <a:off x="23422611" y="16560159"/>
                    <a:ext cx="0" cy="189509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4A9EE89-78A4-48D0-8E3F-EF0EB3467BDD&quot;,&quot;Value&quot;:163464.0,&quot;Percentage&quot;:0.14328251454396762}" id="154" name="Shape 154"/>
                  <xdr:cNvSpPr/>
                </xdr:nvSpPr>
                <xdr:spPr>
                  <a:xfrm>
                    <a:off x="23422611" y="16749669"/>
                    <a:ext cx="0" cy="96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4A9EE89-78A4-48D0-8E3F-EF0EB3467BDD&quot;,&quot;Value&quot;:163464.0,&quot;Percentage&quot;:0.14328251454396762}" id="155" name="Shape 155"/>
                  <xdr:cNvSpPr/>
                </xdr:nvSpPr>
                <xdr:spPr>
                  <a:xfrm>
                    <a:off x="23422611" y="16749766"/>
                    <a:ext cx="0" cy="150940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4A9EE89-78A4-48D0-8E3F-EF0EB3467BDD&quot;,&quot;Value&quot;:163464.0,&quot;Percentage&quot;:0.14328251454396762}" id="156" name="Shape 156"/>
                  <xdr:cNvSpPr/>
                </xdr:nvSpPr>
                <xdr:spPr>
                  <a:xfrm>
                    <a:off x="23422611" y="16900705"/>
                    <a:ext cx="0" cy="60971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1E02D50-36C9-4DF4-BDB2-1845CB952DB1&quot;,&quot;Value&quot;:184546.0,&quot;Percentage&quot;:0.16176170244843543}" id="157" name="Shape 157"/>
                  <xdr:cNvSpPr/>
                </xdr:nvSpPr>
                <xdr:spPr>
                  <a:xfrm>
                    <a:off x="23397211" y="17088678"/>
                    <a:ext cx="63500" cy="616313"/>
                  </a:xfrm>
                  <a:prstGeom prst="rect">
                    <a:avLst/>
                  </a:prstGeom>
                  <a:solidFill>
                    <a:schemeClr val="dk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1E02D50-36C9-4DF4-BDB2-1845CB952DB1&quot;,&quot;Value&quot;:184546.0,&quot;Percentage&quot;:0.16176170244843543}" id="158" name="Shape 158"/>
                  <xdr:cNvSpPr/>
                </xdr:nvSpPr>
                <xdr:spPr>
                  <a:xfrm>
                    <a:off x="23460711" y="17088678"/>
                    <a:ext cx="1270000" cy="616313"/>
                  </a:xfrm>
                  <a:prstGeom prst="rect">
                    <a:avLst/>
                  </a:prstGeom>
                  <a:solidFill>
                    <a:srgbClr val="1F3864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lt1"/>
                      </a:buClr>
                      <a:buSzPts val="1200"/>
                      <a:buFont typeface="Calibri"/>
                      <a:buNone/>
                    </a:pP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PE</a:t>
                    </a:r>
                    <a:b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</a:b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184.546</a:t>
                    </a:r>
                    <a:b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</a:b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16%</a:t>
                    </a:r>
                    <a:endParaRPr sz="1400"/>
                  </a:p>
                </xdr:txBody>
              </xdr:sp>
              <xdr:sp>
                <xdr:nvSpPr>
                  <xdr:cNvPr descr="{&quot;Id&quot;:&quot;F1E02D50-36C9-4DF4-BDB2-1845CB952DB1&quot;,&quot;Value&quot;:184546.0,&quot;Percentage&quot;:0.16176170244843543}" id="159" name="Shape 159"/>
                  <xdr:cNvSpPr/>
                </xdr:nvSpPr>
                <xdr:spPr>
                  <a:xfrm>
                    <a:off x="23422611" y="17088678"/>
                    <a:ext cx="0" cy="56072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1E02D50-36C9-4DF4-BDB2-1845CB952DB1&quot;,&quot;Value&quot;:184546.0,&quot;Percentage&quot;:0.16176170244843543}" id="160" name="Shape 160"/>
                  <xdr:cNvSpPr/>
                </xdr:nvSpPr>
                <xdr:spPr>
                  <a:xfrm>
                    <a:off x="23422611" y="17144750"/>
                    <a:ext cx="0" cy="17627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1E02D50-36C9-4DF4-BDB2-1845CB952DB1&quot;,&quot;Value&quot;:184546.0,&quot;Percentage&quot;:0.16176170244843543}" id="161" name="Shape 161"/>
                  <xdr:cNvSpPr/>
                </xdr:nvSpPr>
                <xdr:spPr>
                  <a:xfrm>
                    <a:off x="23422611" y="17162377"/>
                    <a:ext cx="0" cy="13620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1E02D50-36C9-4DF4-BDB2-1845CB952DB1&quot;,&quot;Value&quot;:184546.0,&quot;Percentage&quot;:0.16176170244843543}" id="162" name="Shape 162"/>
                  <xdr:cNvSpPr/>
                </xdr:nvSpPr>
                <xdr:spPr>
                  <a:xfrm>
                    <a:off x="23422611" y="17175995"/>
                    <a:ext cx="0" cy="203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1E02D50-36C9-4DF4-BDB2-1845CB952DB1&quot;,&quot;Value&quot;:184546.0,&quot;Percentage&quot;:0.16176170244843543}" id="163" name="Shape 163"/>
                  <xdr:cNvSpPr/>
                </xdr:nvSpPr>
                <xdr:spPr>
                  <a:xfrm>
                    <a:off x="23422611" y="17176200"/>
                    <a:ext cx="0" cy="41154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1E02D50-36C9-4DF4-BDB2-1845CB952DB1&quot;,&quot;Value&quot;:184546.0,&quot;Percentage&quot;:0.16176170244843543}" id="164" name="Shape 164"/>
                  <xdr:cNvSpPr/>
                </xdr:nvSpPr>
                <xdr:spPr>
                  <a:xfrm>
                    <a:off x="23422611" y="17217355"/>
                    <a:ext cx="0" cy="232344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1E02D50-36C9-4DF4-BDB2-1845CB952DB1&quot;,&quot;Value&quot;:184546.0,&quot;Percentage&quot;:0.16176170244843543}" id="165" name="Shape 165"/>
                  <xdr:cNvSpPr/>
                </xdr:nvSpPr>
                <xdr:spPr>
                  <a:xfrm>
                    <a:off x="23422611" y="17449698"/>
                    <a:ext cx="0" cy="213041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1E02D50-36C9-4DF4-BDB2-1845CB952DB1&quot;,&quot;Value&quot;:184546.0,&quot;Percentage&quot;:0.16176170244843543}" id="166" name="Shape 166"/>
                  <xdr:cNvSpPr/>
                </xdr:nvSpPr>
                <xdr:spPr>
                  <a:xfrm>
                    <a:off x="23422611" y="17662739"/>
                    <a:ext cx="0" cy="42253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81C58DC-F0FC-43CE-A477-49CB38608D06&quot;,&quot;Value&quot;:51698.0,&quot;Percentage&quot;:0.045315295336551396}" id="167" name="Shape 167"/>
                  <xdr:cNvSpPr/>
                </xdr:nvSpPr>
                <xdr:spPr>
                  <a:xfrm>
                    <a:off x="23397211" y="17831991"/>
                    <a:ext cx="63500" cy="172651"/>
                  </a:xfrm>
                  <a:prstGeom prst="rect">
                    <a:avLst/>
                  </a:prstGeom>
                  <a:solidFill>
                    <a:schemeClr val="dk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81C58DC-F0FC-43CE-A477-49CB38608D06&quot;,&quot;Value&quot;:51698.0,&quot;Percentage&quot;:0.045315295336551396}" id="168" name="Shape 168"/>
                  <xdr:cNvSpPr/>
                </xdr:nvSpPr>
                <xdr:spPr>
                  <a:xfrm>
                    <a:off x="23460711" y="17831991"/>
                    <a:ext cx="1270000" cy="172651"/>
                  </a:xfrm>
                  <a:prstGeom prst="rect">
                    <a:avLst/>
                  </a:prstGeom>
                  <a:solidFill>
                    <a:schemeClr val="accent6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lt1"/>
                      </a:buClr>
                      <a:buSzPts val="1200"/>
                      <a:buFont typeface="Calibri"/>
                      <a:buNone/>
                    </a:pP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BA 51.698 5%</a:t>
                    </a:r>
                    <a:endParaRPr sz="1400"/>
                  </a:p>
                </xdr:txBody>
              </xdr:sp>
              <xdr:sp>
                <xdr:nvSpPr>
                  <xdr:cNvPr descr="{&quot;Id&quot;:&quot;481C58DC-F0FC-43CE-A477-49CB38608D06&quot;,&quot;Value&quot;:51698.0,&quot;Percentage&quot;:0.045315295336551396}" id="169" name="Shape 169"/>
                  <xdr:cNvSpPr/>
                </xdr:nvSpPr>
                <xdr:spPr>
                  <a:xfrm>
                    <a:off x="23422611" y="17831992"/>
                    <a:ext cx="0" cy="22259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81C58DC-F0FC-43CE-A477-49CB38608D06&quot;,&quot;Value&quot;:51698.0,&quot;Percentage&quot;:0.045315295336551396}" id="170" name="Shape 170"/>
                  <xdr:cNvSpPr/>
                </xdr:nvSpPr>
                <xdr:spPr>
                  <a:xfrm>
                    <a:off x="23422611" y="17854252"/>
                    <a:ext cx="0" cy="275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81C58DC-F0FC-43CE-A477-49CB38608D06&quot;,&quot;Value&quot;:51698.0,&quot;Percentage&quot;:0.045315295336551396}" id="171" name="Shape 171"/>
                  <xdr:cNvSpPr/>
                </xdr:nvSpPr>
                <xdr:spPr>
                  <a:xfrm>
                    <a:off x="23422611" y="17854527"/>
                    <a:ext cx="0" cy="2327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81C58DC-F0FC-43CE-A477-49CB38608D06&quot;,&quot;Value&quot;:51698.0,&quot;Percentage&quot;:0.045315295336551396}" id="172" name="Shape 172"/>
                  <xdr:cNvSpPr/>
                </xdr:nvSpPr>
                <xdr:spPr>
                  <a:xfrm>
                    <a:off x="23422611" y="17856853"/>
                    <a:ext cx="0" cy="14270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81C58DC-F0FC-43CE-A477-49CB38608D06&quot;,&quot;Value&quot;:51698.0,&quot;Percentage&quot;:0.045315295336551396}" id="173" name="Shape 173"/>
                  <xdr:cNvSpPr/>
                </xdr:nvSpPr>
                <xdr:spPr>
                  <a:xfrm>
                    <a:off x="23422611" y="17871123"/>
                    <a:ext cx="0" cy="27648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81C58DC-F0FC-43CE-A477-49CB38608D06&quot;,&quot;Value&quot;:51698.0,&quot;Percentage&quot;:0.045315295336551396}" id="174" name="Shape 174"/>
                  <xdr:cNvSpPr/>
                </xdr:nvSpPr>
                <xdr:spPr>
                  <a:xfrm>
                    <a:off x="23422611" y="17898773"/>
                    <a:ext cx="0" cy="38428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81C58DC-F0FC-43CE-A477-49CB38608D06&quot;,&quot;Value&quot;:51698.0,&quot;Percentage&quot;:0.045315295336551396}" id="175" name="Shape 175"/>
                  <xdr:cNvSpPr/>
                </xdr:nvSpPr>
                <xdr:spPr>
                  <a:xfrm>
                    <a:off x="23422611" y="17937202"/>
                    <a:ext cx="0" cy="37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81C58DC-F0FC-43CE-A477-49CB38608D06&quot;,&quot;Value&quot;:51698.0,&quot;Percentage&quot;:0.045315295336551396}" id="176" name="Shape 176"/>
                  <xdr:cNvSpPr/>
                </xdr:nvSpPr>
                <xdr:spPr>
                  <a:xfrm>
                    <a:off x="23422611" y="17937238"/>
                    <a:ext cx="0" cy="37681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81C58DC-F0FC-43CE-A477-49CB38608D06&quot;,&quot;Value&quot;:51698.0,&quot;Percentage&quot;:0.045315295336551396}" id="177" name="Shape 177"/>
                  <xdr:cNvSpPr/>
                </xdr:nvSpPr>
                <xdr:spPr>
                  <a:xfrm>
                    <a:off x="23422611" y="17974917"/>
                    <a:ext cx="0" cy="29725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FC5319F-5AE9-4F3D-A5F9-3524A13F8441&quot;,&quot;Value&quot;:74694.0,&quot;Percentage&quot;:0.065472178224851449}" id="178" name="Shape 178"/>
                  <xdr:cNvSpPr/>
                </xdr:nvSpPr>
                <xdr:spPr>
                  <a:xfrm>
                    <a:off x="23397211" y="18131644"/>
                    <a:ext cx="63500" cy="249448"/>
                  </a:xfrm>
                  <a:prstGeom prst="rect">
                    <a:avLst/>
                  </a:prstGeom>
                  <a:solidFill>
                    <a:schemeClr val="dk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FC5319F-5AE9-4F3D-A5F9-3524A13F8441&quot;,&quot;Value&quot;:74694.0,&quot;Percentage&quot;:0.065472178224851449}" id="179" name="Shape 179"/>
                  <xdr:cNvSpPr/>
                </xdr:nvSpPr>
                <xdr:spPr>
                  <a:xfrm>
                    <a:off x="23460711" y="18131644"/>
                    <a:ext cx="1270000" cy="249448"/>
                  </a:xfrm>
                  <a:prstGeom prst="rect">
                    <a:avLst/>
                  </a:prstGeom>
                  <a:solidFill>
                    <a:srgbClr val="FF66CC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000000"/>
                      </a:buClr>
                      <a:buSzPts val="1200"/>
                      <a:buFont typeface="Calibri"/>
                      <a:buNone/>
                    </a:pPr>
                    <a:r>
                      <a:rPr b="1" i="0" lang="en-US" sz="1200" u="non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ES 74.694 7%</a:t>
                    </a:r>
                    <a:endParaRPr sz="1400"/>
                  </a:p>
                </xdr:txBody>
              </xdr:sp>
              <xdr:sp>
                <xdr:nvSpPr>
                  <xdr:cNvPr descr="{&quot;Id&quot;:&quot;9FC5319F-5AE9-4F3D-A5F9-3524A13F8441&quot;,&quot;Value&quot;:74694.0,&quot;Percentage&quot;:0.065472178224851449}" id="180" name="Shape 180"/>
                  <xdr:cNvSpPr/>
                </xdr:nvSpPr>
                <xdr:spPr>
                  <a:xfrm>
                    <a:off x="23422611" y="18131644"/>
                    <a:ext cx="0" cy="744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FC5319F-5AE9-4F3D-A5F9-3524A13F8441&quot;,&quot;Value&quot;:74694.0,&quot;Percentage&quot;:0.065472178224851449}" id="181" name="Shape 181"/>
                  <xdr:cNvSpPr/>
                </xdr:nvSpPr>
                <xdr:spPr>
                  <a:xfrm>
                    <a:off x="23422611" y="18132388"/>
                    <a:ext cx="0" cy="425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FC5319F-5AE9-4F3D-A5F9-3524A13F8441&quot;,&quot;Value&quot;:74694.0,&quot;Percentage&quot;:0.065472178224851449}" id="182" name="Shape 182"/>
                  <xdr:cNvSpPr/>
                </xdr:nvSpPr>
                <xdr:spPr>
                  <a:xfrm>
                    <a:off x="23422611" y="18132813"/>
                    <a:ext cx="0" cy="150094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FC5319F-5AE9-4F3D-A5F9-3524A13F8441&quot;,&quot;Value&quot;:74694.0,&quot;Percentage&quot;:0.065472178224851449}" id="183" name="Shape 183"/>
                  <xdr:cNvSpPr/>
                </xdr:nvSpPr>
                <xdr:spPr>
                  <a:xfrm>
                    <a:off x="23422611" y="18282906"/>
                    <a:ext cx="0" cy="98185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C155FCE2-3D27-45C2-A277-B07E7429F2E1&quot;,&quot;Value&quot;:96792.0,&quot;Percentage&quot;:0.084841929401823724}" id="184" name="Shape 184"/>
                  <xdr:cNvSpPr/>
                </xdr:nvSpPr>
                <xdr:spPr>
                  <a:xfrm>
                    <a:off x="23397211" y="18508092"/>
                    <a:ext cx="63500" cy="323248"/>
                  </a:xfrm>
                  <a:prstGeom prst="rect">
                    <a:avLst/>
                  </a:prstGeom>
                  <a:solidFill>
                    <a:schemeClr val="dk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C155FCE2-3D27-45C2-A277-B07E7429F2E1&quot;,&quot;Value&quot;:96792.0,&quot;Percentage&quot;:0.084841929401823724}" id="185" name="Shape 185"/>
                  <xdr:cNvSpPr/>
                </xdr:nvSpPr>
                <xdr:spPr>
                  <a:xfrm>
                    <a:off x="23460711" y="18508092"/>
                    <a:ext cx="1270000" cy="323248"/>
                  </a:xfrm>
                  <a:prstGeom prst="rect">
                    <a:avLst/>
                  </a:prstGeom>
                  <a:solidFill>
                    <a:srgbClr val="385623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lt1"/>
                      </a:buClr>
                      <a:buSzPts val="1200"/>
                      <a:buFont typeface="Calibri"/>
                      <a:buNone/>
                    </a:pP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RJ 96.792 8%</a:t>
                    </a:r>
                    <a:endParaRPr sz="1400"/>
                  </a:p>
                </xdr:txBody>
              </xdr:sp>
              <xdr:sp>
                <xdr:nvSpPr>
                  <xdr:cNvPr descr="{&quot;Id&quot;:&quot;C155FCE2-3D27-45C2-A277-B07E7429F2E1&quot;,&quot;Value&quot;:96792.0,&quot;Percentage&quot;:0.084841929401823724}" id="186" name="Shape 186"/>
                  <xdr:cNvSpPr/>
                </xdr:nvSpPr>
                <xdr:spPr>
                  <a:xfrm>
                    <a:off x="23422611" y="18508092"/>
                    <a:ext cx="0" cy="50428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C155FCE2-3D27-45C2-A277-B07E7429F2E1&quot;,&quot;Value&quot;:96792.0,&quot;Percentage&quot;:0.084841929401823724}" id="187" name="Shape 187"/>
                  <xdr:cNvSpPr/>
                </xdr:nvSpPr>
                <xdr:spPr>
                  <a:xfrm>
                    <a:off x="23422611" y="18558520"/>
                    <a:ext cx="0" cy="7798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C155FCE2-3D27-45C2-A277-B07E7429F2E1&quot;,&quot;Value&quot;:96792.0,&quot;Percentage&quot;:0.084841929401823724}" id="188" name="Shape 188"/>
                  <xdr:cNvSpPr/>
                </xdr:nvSpPr>
                <xdr:spPr>
                  <a:xfrm>
                    <a:off x="23422611" y="18566319"/>
                    <a:ext cx="0" cy="16768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C155FCE2-3D27-45C2-A277-B07E7429F2E1&quot;,&quot;Value&quot;:96792.0,&quot;Percentage&quot;:0.084841929401823724}" id="189" name="Shape 189"/>
                  <xdr:cNvSpPr/>
                </xdr:nvSpPr>
                <xdr:spPr>
                  <a:xfrm>
                    <a:off x="23422611" y="18583086"/>
                    <a:ext cx="0" cy="13055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C155FCE2-3D27-45C2-A277-B07E7429F2E1&quot;,&quot;Value&quot;:96792.0,&quot;Percentage&quot;:0.084841929401823724}" id="190" name="Shape 190"/>
                  <xdr:cNvSpPr/>
                </xdr:nvSpPr>
                <xdr:spPr>
                  <a:xfrm>
                    <a:off x="23422611" y="18596141"/>
                    <a:ext cx="0" cy="152811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C155FCE2-3D27-45C2-A277-B07E7429F2E1&quot;,&quot;Value&quot;:96792.0,&quot;Percentage&quot;:0.084841929401823724}" id="191" name="Shape 191"/>
                  <xdr:cNvSpPr/>
                </xdr:nvSpPr>
                <xdr:spPr>
                  <a:xfrm>
                    <a:off x="23422611" y="18748950"/>
                    <a:ext cx="0" cy="70005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C155FCE2-3D27-45C2-A277-B07E7429F2E1&quot;,&quot;Value&quot;:96792.0,&quot;Percentage&quot;:0.084841929401823724}" id="192" name="Shape 192"/>
                  <xdr:cNvSpPr/>
                </xdr:nvSpPr>
                <xdr:spPr>
                  <a:xfrm>
                    <a:off x="23422611" y="18818955"/>
                    <a:ext cx="0" cy="425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C155FCE2-3D27-45C2-A277-B07E7429F2E1&quot;,&quot;Value&quot;:96792.0,&quot;Percentage&quot;:0.084841929401823724}" id="193" name="Shape 193"/>
                  <xdr:cNvSpPr/>
                </xdr:nvSpPr>
                <xdr:spPr>
                  <a:xfrm>
                    <a:off x="23422611" y="18819381"/>
                    <a:ext cx="0" cy="11845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C155FCE2-3D27-45C2-A277-B07E7429F2E1&quot;,&quot;Value&quot;:96792.0,&quot;Percentage&quot;:0.084841929401823724}" id="194" name="Shape 194"/>
                  <xdr:cNvSpPr/>
                </xdr:nvSpPr>
                <xdr:spPr>
                  <a:xfrm>
                    <a:off x="23422611" y="18831227"/>
                    <a:ext cx="0" cy="113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59E93EB-7B62-46B8-8A46-7DAD0B0739E5&quot;,&quot;Value&quot;:227291.0,&quot;Percentage&quot;:0.19922934721536817}" id="195" name="Shape 195"/>
                  <xdr:cNvSpPr/>
                </xdr:nvSpPr>
                <xdr:spPr>
                  <a:xfrm>
                    <a:off x="23397211" y="18958341"/>
                    <a:ext cx="63500" cy="759064"/>
                  </a:xfrm>
                  <a:prstGeom prst="rect">
                    <a:avLst/>
                  </a:prstGeom>
                  <a:solidFill>
                    <a:schemeClr val="dk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59E93EB-7B62-46B8-8A46-7DAD0B0739E5&quot;,&quot;Value&quot;:227291.0,&quot;Percentage&quot;:0.19922934721536817}" id="196" name="Shape 196"/>
                  <xdr:cNvSpPr/>
                </xdr:nvSpPr>
                <xdr:spPr>
                  <a:xfrm>
                    <a:off x="23460711" y="18958341"/>
                    <a:ext cx="1270000" cy="759064"/>
                  </a:xfrm>
                  <a:prstGeom prst="rect">
                    <a:avLst/>
                  </a:prstGeom>
                  <a:solidFill>
                    <a:srgbClr val="FF0000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lt1"/>
                      </a:buClr>
                      <a:buSzPts val="1200"/>
                      <a:buFont typeface="Calibri"/>
                      <a:buNone/>
                    </a:pP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SP</a:t>
                    </a:r>
                    <a:b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</a:b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227.291</a:t>
                    </a:r>
                    <a:b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</a:b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20%</a:t>
                    </a:r>
                    <a:endParaRPr sz="1400"/>
                  </a:p>
                </xdr:txBody>
              </xdr:sp>
              <xdr:sp>
                <xdr:nvSpPr>
                  <xdr:cNvPr descr="{&quot;Id&quot;:&quot;459E93EB-7B62-46B8-8A46-7DAD0B0739E5&quot;,&quot;Value&quot;:227291.0,&quot;Percentage&quot;:0.19922934721536817}" id="197" name="Shape 197"/>
                  <xdr:cNvSpPr/>
                </xdr:nvSpPr>
                <xdr:spPr>
                  <a:xfrm>
                    <a:off x="23422611" y="18958341"/>
                    <a:ext cx="0" cy="376024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59E93EB-7B62-46B8-8A46-7DAD0B0739E5&quot;,&quot;Value&quot;:227291.0,&quot;Percentage&quot;:0.19922934721536817}" id="198" name="Shape 198"/>
                  <xdr:cNvSpPr/>
                </xdr:nvSpPr>
                <xdr:spPr>
                  <a:xfrm>
                    <a:off x="23422611" y="19334364"/>
                    <a:ext cx="0" cy="17049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59E93EB-7B62-46B8-8A46-7DAD0B0739E5&quot;,&quot;Value&quot;:227291.0,&quot;Percentage&quot;:0.19922934721536817}" id="199" name="Shape 199"/>
                  <xdr:cNvSpPr/>
                </xdr:nvSpPr>
                <xdr:spPr>
                  <a:xfrm>
                    <a:off x="23422611" y="19351413"/>
                    <a:ext cx="0" cy="347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59E93EB-7B62-46B8-8A46-7DAD0B0739E5&quot;,&quot;Value&quot;:227291.0,&quot;Percentage&quot;:0.19922934721536817}" id="200" name="Shape 200"/>
                  <xdr:cNvSpPr/>
                </xdr:nvSpPr>
                <xdr:spPr>
                  <a:xfrm>
                    <a:off x="23422611" y="19351759"/>
                    <a:ext cx="0" cy="84415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59E93EB-7B62-46B8-8A46-7DAD0B0739E5&quot;,&quot;Value&quot;:227291.0,&quot;Percentage&quot;:0.19922934721536817}" id="201" name="Shape 201"/>
                  <xdr:cNvSpPr/>
                </xdr:nvSpPr>
                <xdr:spPr>
                  <a:xfrm>
                    <a:off x="23422611" y="19436175"/>
                    <a:ext cx="0" cy="93937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59E93EB-7B62-46B8-8A46-7DAD0B0739E5&quot;,&quot;Value&quot;:227291.0,&quot;Percentage&quot;:0.19922934721536817}" id="202" name="Shape 202"/>
                  <xdr:cNvSpPr/>
                </xdr:nvSpPr>
                <xdr:spPr>
                  <a:xfrm>
                    <a:off x="23422611" y="19530113"/>
                    <a:ext cx="0" cy="111854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59E93EB-7B62-46B8-8A46-7DAD0B0739E5&quot;,&quot;Value&quot;:227291.0,&quot;Percentage&quot;:0.19922934721536817}" id="203" name="Shape 203"/>
                  <xdr:cNvSpPr/>
                </xdr:nvSpPr>
                <xdr:spPr>
                  <a:xfrm>
                    <a:off x="23422611" y="19641966"/>
                    <a:ext cx="0" cy="34969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59E93EB-7B62-46B8-8A46-7DAD0B0739E5&quot;,&quot;Value&quot;:227291.0,&quot;Percentage&quot;:0.19922934721536817}" id="204" name="Shape 204"/>
                  <xdr:cNvSpPr/>
                </xdr:nvSpPr>
                <xdr:spPr>
                  <a:xfrm>
                    <a:off x="23422611" y="19676931"/>
                    <a:ext cx="0" cy="25113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59E93EB-7B62-46B8-8A46-7DAD0B0739E5&quot;,&quot;Value&quot;:227291.0,&quot;Percentage&quot;:0.19922934721536817}" id="205" name="Shape 205"/>
                  <xdr:cNvSpPr/>
                </xdr:nvSpPr>
                <xdr:spPr>
                  <a:xfrm>
                    <a:off x="23422611" y="19702045"/>
                    <a:ext cx="0" cy="638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59E93EB-7B62-46B8-8A46-7DAD0B0739E5&quot;,&quot;Value&quot;:227291.0,&quot;Percentage&quot;:0.19922934721536817}" id="206" name="Shape 206"/>
                  <xdr:cNvSpPr/>
                </xdr:nvSpPr>
                <xdr:spPr>
                  <a:xfrm>
                    <a:off x="23422611" y="19702683"/>
                    <a:ext cx="0" cy="3854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59E93EB-7B62-46B8-8A46-7DAD0B0739E5&quot;,&quot;Value&quot;:227291.0,&quot;Percentage&quot;:0.19922934721536817}" id="207" name="Shape 207"/>
                  <xdr:cNvSpPr/>
                </xdr:nvSpPr>
                <xdr:spPr>
                  <a:xfrm>
                    <a:off x="23422611" y="19706538"/>
                    <a:ext cx="0" cy="10865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BC7BF1E4-81E4-470A-9C31-7173BC22D117&quot;,&quot;Value&quot;:64999.0,&quot;Percentage&quot;:0.056974135973935247}" id="208" name="Shape 208"/>
                  <xdr:cNvSpPr/>
                </xdr:nvSpPr>
                <xdr:spPr>
                  <a:xfrm>
                    <a:off x="23397211" y="19844405"/>
                    <a:ext cx="63500" cy="217072"/>
                  </a:xfrm>
                  <a:prstGeom prst="rect">
                    <a:avLst/>
                  </a:prstGeom>
                  <a:solidFill>
                    <a:schemeClr val="dk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BC7BF1E4-81E4-470A-9C31-7173BC22D117&quot;,&quot;Value&quot;:64999.0,&quot;Percentage&quot;:0.056974135973935247}" id="209" name="Shape 209"/>
                  <xdr:cNvSpPr/>
                </xdr:nvSpPr>
                <xdr:spPr>
                  <a:xfrm>
                    <a:off x="23460711" y="19844405"/>
                    <a:ext cx="1270000" cy="217072"/>
                  </a:xfrm>
                  <a:prstGeom prst="rect">
                    <a:avLst/>
                  </a:prstGeom>
                  <a:solidFill>
                    <a:srgbClr val="7030A0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lt1"/>
                      </a:buClr>
                      <a:buSzPts val="1000"/>
                      <a:buFont typeface="Calibri"/>
                      <a:buNone/>
                    </a:pPr>
                    <a:r>
                      <a:rPr b="1" i="0" lang="en-US" sz="10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PR 64.999 6%</a:t>
                    </a:r>
                    <a:endParaRPr sz="1400"/>
                  </a:p>
                </xdr:txBody>
              </xdr:sp>
              <xdr:sp>
                <xdr:nvSpPr>
                  <xdr:cNvPr descr="{&quot;Id&quot;:&quot;BC7BF1E4-81E4-470A-9C31-7173BC22D117&quot;,&quot;Value&quot;:64999.0,&quot;Percentage&quot;:0.056974135973935247}" id="210" name="Shape 210"/>
                  <xdr:cNvSpPr/>
                </xdr:nvSpPr>
                <xdr:spPr>
                  <a:xfrm>
                    <a:off x="23422611" y="19844405"/>
                    <a:ext cx="0" cy="20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BC7BF1E4-81E4-470A-9C31-7173BC22D117&quot;,&quot;Value&quot;:64999.0,&quot;Percentage&quot;:0.056974135973935247}" id="211" name="Shape 211"/>
                  <xdr:cNvSpPr/>
                </xdr:nvSpPr>
                <xdr:spPr>
                  <a:xfrm>
                    <a:off x="23422611" y="19844423"/>
                    <a:ext cx="0" cy="30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BC7BF1E4-81E4-470A-9C31-7173BC22D117&quot;,&quot;Value&quot;:64999.0,&quot;Percentage&quot;:0.056974135973935247}" id="212" name="Shape 212"/>
                  <xdr:cNvSpPr/>
                </xdr:nvSpPr>
                <xdr:spPr>
                  <a:xfrm>
                    <a:off x="23422611" y="19844455"/>
                    <a:ext cx="0" cy="915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BC7BF1E4-81E4-470A-9C31-7173BC22D117&quot;,&quot;Value&quot;:64999.0,&quot;Percentage&quot;:0.056974135973935247}" id="213" name="Shape 213"/>
                  <xdr:cNvSpPr/>
                </xdr:nvSpPr>
                <xdr:spPr>
                  <a:xfrm>
                    <a:off x="23422611" y="19845369"/>
                    <a:ext cx="0" cy="1075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BC7BF1E4-81E4-470A-9C31-7173BC22D117&quot;,&quot;Value&quot;:64999.0,&quot;Percentage&quot;:0.056974135973935247}" id="214" name="Shape 214"/>
                  <xdr:cNvSpPr/>
                </xdr:nvSpPr>
                <xdr:spPr>
                  <a:xfrm>
                    <a:off x="23422611" y="19846444"/>
                    <a:ext cx="0" cy="188111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BC7BF1E4-81E4-470A-9C31-7173BC22D117&quot;,&quot;Value&quot;:64999.0,&quot;Percentage&quot;:0.056974135973935247}" id="215" name="Shape 215"/>
                  <xdr:cNvSpPr/>
                </xdr:nvSpPr>
                <xdr:spPr>
                  <a:xfrm>
                    <a:off x="23422611" y="20034555"/>
                    <a:ext cx="0" cy="26227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BC7BF1E4-81E4-470A-9C31-7173BC22D117&quot;,&quot;Value&quot;:64999.0,&quot;Percentage&quot;:0.056974135973935247}" id="216" name="Shape 216"/>
                  <xdr:cNvSpPr/>
                </xdr:nvSpPr>
                <xdr:spPr>
                  <a:xfrm>
                    <a:off x="23422611" y="20060781"/>
                    <a:ext cx="0" cy="694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EA5A0C1-5E40-4BC3-BF76-64FF978957CD&quot;,&quot;Value&quot;:93457.0,&quot;Percentage&quot;:0.081918672990600877}" id="217" name="Shape 217"/>
                  <xdr:cNvSpPr/>
                </xdr:nvSpPr>
                <xdr:spPr>
                  <a:xfrm>
                    <a:off x="23397211" y="20188477"/>
                    <a:ext cx="63500" cy="312110"/>
                  </a:xfrm>
                  <a:prstGeom prst="rect">
                    <a:avLst/>
                  </a:prstGeom>
                  <a:solidFill>
                    <a:schemeClr val="dk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EA5A0C1-5E40-4BC3-BF76-64FF978957CD&quot;,&quot;Value&quot;:93457.0,&quot;Percentage&quot;:0.081918672990600877}" id="218" name="Shape 218"/>
                  <xdr:cNvSpPr/>
                </xdr:nvSpPr>
                <xdr:spPr>
                  <a:xfrm>
                    <a:off x="23460711" y="20188477"/>
                    <a:ext cx="1270000" cy="312110"/>
                  </a:xfrm>
                  <a:prstGeom prst="rect">
                    <a:avLst/>
                  </a:prstGeom>
                  <a:solidFill>
                    <a:srgbClr val="25B2B9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lt1"/>
                      </a:buClr>
                      <a:buSzPts val="1200"/>
                      <a:buFont typeface="Calibri"/>
                      <a:buNone/>
                    </a:pP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SC</a:t>
                    </a:r>
                    <a:b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</a:b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93.457</a:t>
                    </a:r>
                    <a:b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</a:br>
                    <a:r>
                      <a:rPr b="1" i="0" lang="en-US" sz="1200" u="none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8%</a:t>
                    </a:r>
                    <a:endParaRPr sz="1400"/>
                  </a:p>
                </xdr:txBody>
              </xdr:sp>
              <xdr:sp>
                <xdr:nvSpPr>
                  <xdr:cNvPr descr="{&quot;Id&quot;:&quot;6EA5A0C1-5E40-4BC3-BF76-64FF978957CD&quot;,&quot;Value&quot;:93457.0,&quot;Percentage&quot;:0.081918672990600877}" id="219" name="Shape 219"/>
                  <xdr:cNvSpPr/>
                </xdr:nvSpPr>
                <xdr:spPr>
                  <a:xfrm>
                    <a:off x="23422611" y="20188477"/>
                    <a:ext cx="0" cy="38637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EA5A0C1-5E40-4BC3-BF76-64FF978957CD&quot;,&quot;Value&quot;:93457.0,&quot;Percentage&quot;:0.081918672990600877}" id="220" name="Shape 220"/>
                  <xdr:cNvSpPr/>
                </xdr:nvSpPr>
                <xdr:spPr>
                  <a:xfrm>
                    <a:off x="23422611" y="20227113"/>
                    <a:ext cx="0" cy="724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EA5A0C1-5E40-4BC3-BF76-64FF978957CD&quot;,&quot;Value&quot;:93457.0,&quot;Percentage&quot;:0.081918672990600877}" id="221" name="Shape 221"/>
                  <xdr:cNvSpPr/>
                </xdr:nvSpPr>
                <xdr:spPr>
                  <a:xfrm>
                    <a:off x="23422611" y="20227838"/>
                    <a:ext cx="0" cy="35356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EA5A0C1-5E40-4BC3-BF76-64FF978957CD&quot;,&quot;Value&quot;:93457.0,&quot;Percentage&quot;:0.081918672990600877}" id="222" name="Shape 222"/>
                  <xdr:cNvSpPr/>
                </xdr:nvSpPr>
                <xdr:spPr>
                  <a:xfrm>
                    <a:off x="23422611" y="20263194"/>
                    <a:ext cx="0" cy="31469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EA5A0C1-5E40-4BC3-BF76-64FF978957CD&quot;,&quot;Value&quot;:93457.0,&quot;Percentage&quot;:0.081918672990600877}" id="223" name="Shape 223"/>
                  <xdr:cNvSpPr/>
                </xdr:nvSpPr>
                <xdr:spPr>
                  <a:xfrm>
                    <a:off x="23422611" y="20294663"/>
                    <a:ext cx="0" cy="18038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EA5A0C1-5E40-4BC3-BF76-64FF978957CD&quot;,&quot;Value&quot;:93457.0,&quot;Percentage&quot;:0.081918672990600877}" id="224" name="Shape 224"/>
                  <xdr:cNvSpPr/>
                </xdr:nvSpPr>
                <xdr:spPr>
                  <a:xfrm>
                    <a:off x="23422611" y="20312700"/>
                    <a:ext cx="0" cy="428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EA5A0C1-5E40-4BC3-BF76-64FF978957CD&quot;,&quot;Value&quot;:93457.0,&quot;Percentage&quot;:0.081918672990600877}" id="225" name="Shape 225"/>
                  <xdr:cNvSpPr/>
                </xdr:nvSpPr>
                <xdr:spPr>
                  <a:xfrm>
                    <a:off x="23422611" y="20313128"/>
                    <a:ext cx="0" cy="10994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EA5A0C1-5E40-4BC3-BF76-64FF978957CD&quot;,&quot;Value&quot;:93457.0,&quot;Percentage&quot;:0.081918672990600877}" id="226" name="Shape 226"/>
                  <xdr:cNvSpPr/>
                </xdr:nvSpPr>
                <xdr:spPr>
                  <a:xfrm>
                    <a:off x="23422611" y="20324122"/>
                    <a:ext cx="0" cy="132620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EA5A0C1-5E40-4BC3-BF76-64FF978957CD&quot;,&quot;Value&quot;:93457.0,&quot;Percentage&quot;:0.081918672990600877}" id="227" name="Shape 227"/>
                  <xdr:cNvSpPr/>
                </xdr:nvSpPr>
                <xdr:spPr>
                  <a:xfrm>
                    <a:off x="23422611" y="20456742"/>
                    <a:ext cx="0" cy="9722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EA5A0C1-5E40-4BC3-BF76-64FF978957CD&quot;,&quot;Value&quot;:93457.0,&quot;Percentage&quot;:0.081918672990600877}" id="228" name="Shape 228"/>
                  <xdr:cNvSpPr/>
                </xdr:nvSpPr>
                <xdr:spPr>
                  <a:xfrm>
                    <a:off x="23422611" y="20466464"/>
                    <a:ext cx="0" cy="18895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EA5A0C1-5E40-4BC3-BF76-64FF978957CD&quot;,&quot;Value&quot;:93457.0,&quot;Percentage&quot;:0.081918672990600877}" id="229" name="Shape 229"/>
                  <xdr:cNvSpPr/>
                </xdr:nvSpPr>
                <xdr:spPr>
                  <a:xfrm>
                    <a:off x="23422611" y="20485359"/>
                    <a:ext cx="0" cy="15228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3E5E37C-0410-49D4-AF63-B92EE5D77650&quot;,&quot;Value&quot;:6012.0,&quot;Percentage&quot;:0.0052697503880874894}" id="230" name="Shape 230"/>
                  <xdr:cNvSpPr/>
                </xdr:nvSpPr>
                <xdr:spPr>
                  <a:xfrm>
                    <a:off x="23397211" y="20627586"/>
                    <a:ext cx="63500" cy="20078"/>
                  </a:xfrm>
                  <a:prstGeom prst="rect">
                    <a:avLst/>
                  </a:prstGeom>
                  <a:solidFill>
                    <a:schemeClr val="dk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3E5E37C-0410-49D4-AF63-B92EE5D77650&quot;,&quot;Value&quot;:6012.0,&quot;Percentage&quot;:0.0052697503880874894}" id="231" name="Shape 231"/>
                  <xdr:cNvSpPr/>
                </xdr:nvSpPr>
                <xdr:spPr>
                  <a:xfrm>
                    <a:off x="23456759" y="20556656"/>
                    <a:ext cx="1270000" cy="108979"/>
                  </a:xfrm>
                  <a:prstGeom prst="rect">
                    <a:avLst/>
                  </a:prstGeom>
                  <a:solidFill>
                    <a:srgbClr val="FFFF00"/>
                  </a:solidFill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1" anchor="ctr" bIns="0" lIns="0" spcFirstLastPara="1" rIns="0" wrap="square" tIns="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200"/>
                      <a:buFont typeface="Calibri"/>
                      <a:buNone/>
                    </a:pPr>
                    <a:r>
                      <a:rPr b="1" i="0" lang="en-US" sz="1200" u="none">
                        <a:solidFill>
                          <a:schemeClr val="dk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RS 6.012 1%</a:t>
                    </a:r>
                    <a:endParaRPr sz="1400"/>
                  </a:p>
                </xdr:txBody>
              </xdr:sp>
              <xdr:sp>
                <xdr:nvSpPr>
                  <xdr:cNvPr descr="{&quot;Id&quot;:&quot;D3E5E37C-0410-49D4-AF63-B92EE5D77650&quot;,&quot;Value&quot;:6012.0,&quot;Percentage&quot;:0.0052697503880874894}" id="232" name="Shape 232"/>
                  <xdr:cNvSpPr/>
                </xdr:nvSpPr>
                <xdr:spPr>
                  <a:xfrm>
                    <a:off x="23422611" y="20627586"/>
                    <a:ext cx="0" cy="4733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3E5E37C-0410-49D4-AF63-B92EE5D77650&quot;,&quot;Value&quot;:6012.0,&quot;Percentage&quot;:0.0052697503880874894}" id="233" name="Shape 233"/>
                  <xdr:cNvSpPr/>
                </xdr:nvSpPr>
                <xdr:spPr>
                  <a:xfrm>
                    <a:off x="23422611" y="20632319"/>
                    <a:ext cx="0" cy="130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3E5E37C-0410-49D4-AF63-B92EE5D77650&quot;,&quot;Value&quot;:6012.0,&quot;Percentage&quot;:0.0052697503880874894}" id="234" name="Shape 234"/>
                  <xdr:cNvSpPr/>
                </xdr:nvSpPr>
                <xdr:spPr>
                  <a:xfrm>
                    <a:off x="23422611" y="20632452"/>
                    <a:ext cx="0" cy="49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3E5E37C-0410-49D4-AF63-B92EE5D77650&quot;,&quot;Value&quot;:6012.0,&quot;Percentage&quot;:0.0052697503880874894}" id="235" name="Shape 235"/>
                  <xdr:cNvSpPr/>
                </xdr:nvSpPr>
                <xdr:spPr>
                  <a:xfrm>
                    <a:off x="23422611" y="20632502"/>
                    <a:ext cx="0" cy="3886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3E5E37C-0410-49D4-AF63-B92EE5D77650&quot;,&quot;Value&quot;:6012.0,&quot;Percentage&quot;:0.0052697503880874894}" id="236" name="Shape 236"/>
                  <xdr:cNvSpPr/>
                </xdr:nvSpPr>
                <xdr:spPr>
                  <a:xfrm>
                    <a:off x="23422611" y="20636388"/>
                    <a:ext cx="0" cy="7315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3E5E37C-0410-49D4-AF63-B92EE5D77650&quot;,&quot;Value&quot;:6012.0,&quot;Percentage&quot;:0.0052697503880874894}" id="237" name="Shape 237"/>
                  <xdr:cNvSpPr/>
                </xdr:nvSpPr>
                <xdr:spPr>
                  <a:xfrm>
                    <a:off x="23422611" y="20643703"/>
                    <a:ext cx="0" cy="3756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3E5E37C-0410-49D4-AF63-B92EE5D77650&quot;,&quot;Value&quot;:6012.0,&quot;Percentage&quot;:0.0052697503880874894}" id="238" name="Shape 238"/>
                  <xdr:cNvSpPr/>
                </xdr:nvSpPr>
                <xdr:spPr>
                  <a:xfrm>
                    <a:off x="23422611" y="20647461"/>
                    <a:ext cx="0" cy="60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3E5E37C-0410-49D4-AF63-B92EE5D77650&quot;,&quot;Value&quot;:6012.0,&quot;Percentage&quot;:0.0052697503880874894}" id="239" name="Shape 239"/>
                  <xdr:cNvSpPr/>
                </xdr:nvSpPr>
                <xdr:spPr>
                  <a:xfrm>
                    <a:off x="23422611" y="20647520"/>
                    <a:ext cx="0" cy="14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3E5E37C-0410-49D4-AF63-B92EE5D77650&quot;,&quot;Value&quot;:6012.0,&quot;Percentage&quot;:0.0052697503880874894}" id="240" name="Shape 240"/>
                  <xdr:cNvSpPr/>
                </xdr:nvSpPr>
                <xdr:spPr>
                  <a:xfrm>
                    <a:off x="23422611" y="20647533"/>
                    <a:ext cx="0" cy="61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3E5E37C-0410-49D4-AF63-B92EE5D77650&quot;,&quot;Value&quot;:6012.0,&quot;Percentage&quot;:0.0052697503880874894}" id="241" name="Shape 241"/>
                  <xdr:cNvSpPr/>
                </xdr:nvSpPr>
                <xdr:spPr>
                  <a:xfrm>
                    <a:off x="23422611" y="20647592"/>
                    <a:ext cx="0" cy="73"/>
                  </a:xfrm>
                  <a:prstGeom prst="rect">
                    <a:avLst/>
                  </a:prstGeom>
                  <a:solidFill>
                    <a:schemeClr val="accent1"/>
                  </a:solidFill>
                  <a:ln>
                    <a:noFill/>
                  </a:ln>
                </xdr:spPr>
                <xdr:txBody>
                  <a:bodyPr anchorCtr="1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cxnSp>
                <xdr:nvCxnSpPr>
                  <xdr:cNvPr descr="{&quot;Id&quot;:&quot;9878E9C9-866E-48E6-AD4C-0AA3EE378B33&quot;,&quot;Value&quot;:178064.0,&quot;Percentage&quot;:0.15607997889294922}" id="242" name="Shape 242"/>
                  <xdr:cNvCxnSpPr>
                    <a:stCxn id="13" idx="3"/>
                    <a:endCxn id="137" idx="1"/>
                  </xdr:cNvCxnSpPr>
                </xdr:nvCxnSpPr>
                <xdr:spPr>
                  <a:xfrm>
                    <a:off x="18291811" y="15440692"/>
                    <a:ext cx="5130900" cy="8250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chemeClr val="accent1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9878E9C9-866E-48E6-AD4C-0AA3EE378B33&quot;,&quot;Value&quot;:178064.0,&quot;Percentage&quot;:0.15607997889294922}" id="243" name="Shape 243"/>
                  <xdr:cNvCxnSpPr>
                    <a:stCxn id="14" idx="3"/>
                    <a:endCxn id="147" idx="1"/>
                  </xdr:cNvCxnSpPr>
                </xdr:nvCxnSpPr>
                <xdr:spPr>
                  <a:xfrm>
                    <a:off x="18291811" y="15463939"/>
                    <a:ext cx="5130900" cy="9750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46425">
                    <a:solidFill>
                      <a:srgbClr val="0070C0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9878E9C9-866E-48E6-AD4C-0AA3EE378B33&quot;,&quot;Value&quot;:178064.0,&quot;Percentage&quot;:0.15607997889294922}" id="244" name="Shape 244"/>
                  <xdr:cNvCxnSpPr>
                    <a:stCxn id="15" idx="3"/>
                    <a:endCxn id="159" idx="1"/>
                  </xdr:cNvCxnSpPr>
                </xdr:nvCxnSpPr>
                <xdr:spPr>
                  <a:xfrm>
                    <a:off x="18291811" y="15515191"/>
                    <a:ext cx="5130900" cy="16014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56050">
                    <a:solidFill>
                      <a:srgbClr val="0070C0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9878E9C9-866E-48E6-AD4C-0AA3EE378B33&quot;,&quot;Value&quot;:178064.0,&quot;Percentage&quot;:0.15607997889294922}" id="245" name="Shape 245"/>
                  <xdr:cNvCxnSpPr>
                    <a:stCxn id="16" idx="3"/>
                    <a:endCxn id="169" idx="1"/>
                  </xdr:cNvCxnSpPr>
                </xdr:nvCxnSpPr>
                <xdr:spPr>
                  <a:xfrm>
                    <a:off x="18291811" y="15554358"/>
                    <a:ext cx="5130900" cy="22887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22250">
                    <a:solidFill>
                      <a:srgbClr val="0070C0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9878E9C9-866E-48E6-AD4C-0AA3EE378B33&quot;,&quot;Value&quot;:178064.0,&quot;Percentage&quot;:0.15607997889294922}" id="246" name="Shape 246"/>
                  <xdr:cNvCxnSpPr>
                    <a:stCxn id="17" idx="3"/>
                    <a:endCxn id="186" idx="1"/>
                  </xdr:cNvCxnSpPr>
                </xdr:nvCxnSpPr>
                <xdr:spPr>
                  <a:xfrm>
                    <a:off x="18291811" y="15590702"/>
                    <a:ext cx="5130900" cy="29427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50425">
                    <a:solidFill>
                      <a:srgbClr val="0070C0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9878E9C9-866E-48E6-AD4C-0AA3EE378B33&quot;,&quot;Value&quot;:178064.0,&quot;Percentage&quot;:0.15607997889294922}" id="247" name="Shape 247"/>
                  <xdr:cNvCxnSpPr>
                    <a:stCxn id="18" idx="3"/>
                    <a:endCxn id="197" idx="1"/>
                  </xdr:cNvCxnSpPr>
                </xdr:nvCxnSpPr>
                <xdr:spPr>
                  <a:xfrm>
                    <a:off x="18291811" y="15803928"/>
                    <a:ext cx="5130900" cy="33423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376000">
                    <a:solidFill>
                      <a:srgbClr val="0070C0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9878E9C9-866E-48E6-AD4C-0AA3EE378B33&quot;,&quot;Value&quot;:178064.0,&quot;Percentage&quot;:0.15607997889294922}" id="248" name="Shape 248"/>
                  <xdr:cNvCxnSpPr>
                    <a:stCxn id="19" idx="3"/>
                    <a:endCxn id="210" idx="1"/>
                  </xdr:cNvCxnSpPr>
                </xdr:nvCxnSpPr>
                <xdr:spPr>
                  <a:xfrm>
                    <a:off x="18291811" y="15991949"/>
                    <a:ext cx="5130900" cy="38526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chemeClr val="accent1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9878E9C9-866E-48E6-AD4C-0AA3EE378B33&quot;,&quot;Value&quot;:178064.0,&quot;Percentage&quot;:0.15607997889294922}" id="249" name="Shape 249"/>
                  <xdr:cNvCxnSpPr>
                    <a:stCxn id="20" idx="3"/>
                    <a:endCxn id="219" idx="1"/>
                  </xdr:cNvCxnSpPr>
                </xdr:nvCxnSpPr>
                <xdr:spPr>
                  <a:xfrm>
                    <a:off x="18291811" y="16011277"/>
                    <a:ext cx="5130900" cy="41964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38625">
                    <a:solidFill>
                      <a:srgbClr val="0070C0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9878E9C9-866E-48E6-AD4C-0AA3EE378B33&quot;,&quot;Value&quot;:178064.0,&quot;Percentage&quot;:0.15607997889294922}" id="250" name="Shape 250"/>
                  <xdr:cNvCxnSpPr>
                    <a:stCxn id="21" idx="3"/>
                    <a:endCxn id="232" idx="1"/>
                  </xdr:cNvCxnSpPr>
                </xdr:nvCxnSpPr>
                <xdr:spPr>
                  <a:xfrm>
                    <a:off x="18291811" y="16032961"/>
                    <a:ext cx="5130900" cy="45969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rgbClr val="0070C0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4E403E87-ED8F-471E-BB66-6D176B1616CE&quot;,&quot;Value&quot;:13622.0,&quot;Percentage&quot;:0.011940209545330635}" id="251" name="Shape 251"/>
                  <xdr:cNvCxnSpPr>
                    <a:stCxn id="23" idx="3"/>
                    <a:endCxn id="148" idx="1"/>
                  </xdr:cNvCxnSpPr>
                </xdr:nvCxnSpPr>
                <xdr:spPr>
                  <a:xfrm>
                    <a:off x="18291811" y="16175983"/>
                    <a:ext cx="5130900" cy="3000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27300">
                    <a:solidFill>
                      <a:schemeClr val="accent2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4E403E87-ED8F-471E-BB66-6D176B1616CE&quot;,&quot;Value&quot;:13622.0,&quot;Percentage&quot;:0.011940209545330635}" id="252" name="Shape 252"/>
                  <xdr:cNvCxnSpPr>
                    <a:stCxn id="24" idx="3"/>
                    <a:endCxn id="170" idx="1"/>
                  </xdr:cNvCxnSpPr>
                </xdr:nvCxnSpPr>
                <xdr:spPr>
                  <a:xfrm>
                    <a:off x="18291811" y="16189778"/>
                    <a:ext cx="5130900" cy="16647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chemeClr val="accent2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4E403E87-ED8F-471E-BB66-6D176B1616CE&quot;,&quot;Value&quot;:13622.0,&quot;Percentage&quot;:0.011940209545330635}" id="253" name="Shape 253"/>
                  <xdr:cNvCxnSpPr>
                    <a:stCxn id="25" idx="3"/>
                    <a:endCxn id="198" idx="1"/>
                  </xdr:cNvCxnSpPr>
                </xdr:nvCxnSpPr>
                <xdr:spPr>
                  <a:xfrm>
                    <a:off x="18291811" y="16198439"/>
                    <a:ext cx="5130900" cy="31446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7025">
                    <a:solidFill>
                      <a:schemeClr val="accent2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4E403E87-ED8F-471E-BB66-6D176B1616CE&quot;,&quot;Value&quot;:13622.0,&quot;Percentage&quot;:0.011940209545330635}" id="254" name="Shape 254"/>
                  <xdr:cNvCxnSpPr>
                    <a:stCxn id="26" idx="3"/>
                    <a:endCxn id="220" idx="1"/>
                  </xdr:cNvCxnSpPr>
                </xdr:nvCxnSpPr>
                <xdr:spPr>
                  <a:xfrm>
                    <a:off x="18291811" y="16207325"/>
                    <a:ext cx="5130900" cy="40203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chemeClr val="accent2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4E403E87-ED8F-471E-BB66-6D176B1616CE&quot;,&quot;Value&quot;:13622.0,&quot;Percentage&quot;:0.011940209545330635}" id="255" name="Shape 255"/>
                  <xdr:cNvCxnSpPr>
                    <a:stCxn id="27" idx="3"/>
                    <a:endCxn id="233" idx="1"/>
                  </xdr:cNvCxnSpPr>
                </xdr:nvCxnSpPr>
                <xdr:spPr>
                  <a:xfrm>
                    <a:off x="18291811" y="16207753"/>
                    <a:ext cx="5130900" cy="44247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chemeClr val="accent2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E38E7C54-C1D6-4426-9E3B-50ABA66E72CB&quot;,&quot;Value&quot;:230.0,&quot;Percentage&quot;:0.00020160389042916209}" id="256" name="Shape 256"/>
                  <xdr:cNvCxnSpPr>
                    <a:stCxn id="29" idx="3"/>
                    <a:endCxn id="149" idx="1"/>
                  </xdr:cNvCxnSpPr>
                </xdr:nvCxnSpPr>
                <xdr:spPr>
                  <a:xfrm>
                    <a:off x="18291811" y="16335002"/>
                    <a:ext cx="5130900" cy="1548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chemeClr val="accent3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E38E7C54-C1D6-4426-9E3B-50ABA66E72CB&quot;,&quot;Value&quot;:230.0,&quot;Percentage&quot;:0.00020160389042916209}" id="257" name="Shape 257"/>
                  <xdr:cNvCxnSpPr>
                    <a:stCxn id="30" idx="3"/>
                    <a:endCxn id="199" idx="1"/>
                  </xdr:cNvCxnSpPr>
                </xdr:nvCxnSpPr>
                <xdr:spPr>
                  <a:xfrm>
                    <a:off x="18291811" y="16335362"/>
                    <a:ext cx="5130900" cy="30162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chemeClr val="accent3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E38E7C54-C1D6-4426-9E3B-50ABA66E72CB&quot;,&quot;Value&quot;:230.0,&quot;Percentage&quot;:0.00020160389042916209}" id="258" name="Shape 258"/>
                  <xdr:cNvCxnSpPr>
                    <a:stCxn id="31" idx="3"/>
                    <a:endCxn id="234" idx="1"/>
                  </xdr:cNvCxnSpPr>
                </xdr:nvCxnSpPr>
                <xdr:spPr>
                  <a:xfrm>
                    <a:off x="18291811" y="16335559"/>
                    <a:ext cx="5130900" cy="42969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2700">
                    <a:solidFill>
                      <a:srgbClr val="757070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3A432BC2-8F16-41BF-865F-5F2925009A1C&quot;,&quot;Value&quot;:72037.0,&quot;Percentage&quot;:0.063143215021067609}" id="259" name="Shape 259"/>
                  <xdr:cNvCxnSpPr>
                    <a:stCxn id="33" idx="3"/>
                    <a:endCxn id="123" idx="1"/>
                  </xdr:cNvCxnSpPr>
                </xdr:nvCxnSpPr>
                <xdr:spPr>
                  <a:xfrm flipH="1" rot="10800000">
                    <a:off x="18291811" y="15480596"/>
                    <a:ext cx="5130900" cy="10218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79600">
                    <a:solidFill>
                      <a:schemeClr val="accent4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3A432BC2-8F16-41BF-865F-5F2925009A1C&quot;,&quot;Value&quot;:72037.0,&quot;Percentage&quot;:0.063143215021067609}" id="260" name="Shape 260"/>
                  <xdr:cNvCxnSpPr>
                    <a:stCxn id="34" idx="3"/>
                    <a:endCxn id="133" idx="1"/>
                  </xdr:cNvCxnSpPr>
                </xdr:nvCxnSpPr>
                <xdr:spPr>
                  <a:xfrm flipH="1" rot="10800000">
                    <a:off x="18291811" y="16134436"/>
                    <a:ext cx="5130900" cy="4119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chemeClr val="accent4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3A432BC2-8F16-41BF-865F-5F2925009A1C&quot;,&quot;Value&quot;:72037.0,&quot;Percentage&quot;:0.063143215021067609}" id="261" name="Shape 261"/>
                  <xdr:cNvCxnSpPr>
                    <a:stCxn id="35" idx="3"/>
                    <a:endCxn id="138" idx="1"/>
                  </xdr:cNvCxnSpPr>
                </xdr:nvCxnSpPr>
                <xdr:spPr>
                  <a:xfrm flipH="1" rot="10800000">
                    <a:off x="18291811" y="16266407"/>
                    <a:ext cx="5130900" cy="2847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chemeClr val="accent4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3A432BC2-8F16-41BF-865F-5F2925009A1C&quot;,&quot;Value&quot;:72037.0,&quot;Percentage&quot;:0.063143215021067609}" id="262" name="Shape 262"/>
                  <xdr:cNvCxnSpPr>
                    <a:stCxn id="36" idx="3"/>
                    <a:endCxn id="160" idx="1"/>
                  </xdr:cNvCxnSpPr>
                </xdr:nvCxnSpPr>
                <xdr:spPr>
                  <a:xfrm>
                    <a:off x="18291811" y="16560562"/>
                    <a:ext cx="5130900" cy="5931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7625">
                    <a:solidFill>
                      <a:schemeClr val="accent4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3A432BC2-8F16-41BF-865F-5F2925009A1C&quot;,&quot;Value&quot;:72037.0,&quot;Percentage&quot;:0.063143215021067609}" id="263" name="Shape 263"/>
                  <xdr:cNvCxnSpPr>
                    <a:stCxn id="37" idx="3"/>
                    <a:endCxn id="171" idx="1"/>
                  </xdr:cNvCxnSpPr>
                </xdr:nvCxnSpPr>
                <xdr:spPr>
                  <a:xfrm>
                    <a:off x="18291811" y="16570539"/>
                    <a:ext cx="5130900" cy="12852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chemeClr val="accent4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3A432BC2-8F16-41BF-865F-5F2925009A1C&quot;,&quot;Value&quot;:72037.0,&quot;Percentage&quot;:0.063143215021067609}" id="264" name="Shape 264"/>
                  <xdr:cNvCxnSpPr>
                    <a:stCxn id="38" idx="3"/>
                    <a:endCxn id="187" idx="1"/>
                  </xdr:cNvCxnSpPr>
                </xdr:nvCxnSpPr>
                <xdr:spPr>
                  <a:xfrm>
                    <a:off x="18291811" y="16575601"/>
                    <a:ext cx="5130900" cy="19869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chemeClr val="accent4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3A432BC2-8F16-41BF-865F-5F2925009A1C&quot;,&quot;Value&quot;:72037.0,&quot;Percentage&quot;:0.063143215021067609}" id="265" name="Shape 265"/>
                  <xdr:cNvCxnSpPr>
                    <a:stCxn id="39" idx="3"/>
                    <a:endCxn id="200" idx="1"/>
                  </xdr:cNvCxnSpPr>
                </xdr:nvCxnSpPr>
                <xdr:spPr>
                  <a:xfrm>
                    <a:off x="18291811" y="16621708"/>
                    <a:ext cx="5130900" cy="27723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84400">
                    <a:solidFill>
                      <a:schemeClr val="accent4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3A432BC2-8F16-41BF-865F-5F2925009A1C&quot;,&quot;Value&quot;:72037.0,&quot;Percentage&quot;:0.063143215021067609}" id="266" name="Shape 266"/>
                  <xdr:cNvCxnSpPr>
                    <a:stCxn id="40" idx="3"/>
                    <a:endCxn id="221" idx="1"/>
                  </xdr:cNvCxnSpPr>
                </xdr:nvCxnSpPr>
                <xdr:spPr>
                  <a:xfrm>
                    <a:off x="18291811" y="16681594"/>
                    <a:ext cx="5130900" cy="35640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35350">
                    <a:solidFill>
                      <a:schemeClr val="accent4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3A432BC2-8F16-41BF-865F-5F2925009A1C&quot;,&quot;Value&quot;:72037.0,&quot;Percentage&quot;:0.063143215021067609}" id="267" name="Shape 267"/>
                  <xdr:cNvCxnSpPr>
                    <a:stCxn id="41" idx="3"/>
                    <a:endCxn id="235" idx="1"/>
                  </xdr:cNvCxnSpPr>
                </xdr:nvCxnSpPr>
                <xdr:spPr>
                  <a:xfrm>
                    <a:off x="18291811" y="16701213"/>
                    <a:ext cx="5130900" cy="39333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chemeClr val="accent4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7D420F5D-F213-40DB-AB7C-69CB7159E409&quot;,&quot;Value&quot;:102797.0,&quot;Percentage&quot;:0.090105544019332934}" id="268" name="Shape 268"/>
                  <xdr:cNvCxnSpPr>
                    <a:stCxn id="43" idx="3"/>
                    <a:endCxn id="124" idx="1"/>
                  </xdr:cNvCxnSpPr>
                </xdr:nvCxnSpPr>
                <xdr:spPr>
                  <a:xfrm flipH="1" rot="10800000">
                    <a:off x="18291811" y="15587578"/>
                    <a:ext cx="5130900" cy="13098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34425">
                    <a:solidFill>
                      <a:srgbClr val="1F3864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7D420F5D-F213-40DB-AB7C-69CB7159E409&quot;,&quot;Value&quot;:102797.0,&quot;Percentage&quot;:0.090105544019332934}" id="269" name="Shape 269"/>
                  <xdr:cNvCxnSpPr>
                    <a:stCxn id="44" idx="3"/>
                    <a:endCxn id="139" idx="1"/>
                  </xdr:cNvCxnSpPr>
                </xdr:nvCxnSpPr>
                <xdr:spPr>
                  <a:xfrm flipH="1" rot="10800000">
                    <a:off x="18291811" y="16268574"/>
                    <a:ext cx="5130900" cy="6975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chemeClr val="accent5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7D420F5D-F213-40DB-AB7C-69CB7159E409&quot;,&quot;Value&quot;:102797.0,&quot;Percentage&quot;:0.090105544019332934}" id="270" name="Shape 270"/>
                  <xdr:cNvCxnSpPr>
                    <a:stCxn id="45" idx="3"/>
                    <a:endCxn id="150" idx="1"/>
                  </xdr:cNvCxnSpPr>
                </xdr:nvCxnSpPr>
                <xdr:spPr>
                  <a:xfrm flipH="1" rot="10800000">
                    <a:off x="18291811" y="16510639"/>
                    <a:ext cx="5130900" cy="4776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41375">
                    <a:solidFill>
                      <a:srgbClr val="1F3864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7D420F5D-F213-40DB-AB7C-69CB7159E409&quot;,&quot;Value&quot;:102797.0,&quot;Percentage&quot;:0.090105544019332934}" id="271" name="Shape 271"/>
                  <xdr:cNvCxnSpPr>
                    <a:stCxn id="46" idx="3"/>
                    <a:endCxn id="172" idx="1"/>
                  </xdr:cNvCxnSpPr>
                </xdr:nvCxnSpPr>
                <xdr:spPr>
                  <a:xfrm>
                    <a:off x="18291811" y="17016063"/>
                    <a:ext cx="5130900" cy="8478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4250">
                    <a:solidFill>
                      <a:srgbClr val="1F3864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7D420F5D-F213-40DB-AB7C-69CB7159E409&quot;,&quot;Value&quot;:102797.0,&quot;Percentage&quot;:0.090105544019332934}" id="272" name="Shape 272"/>
                  <xdr:cNvCxnSpPr>
                    <a:stCxn id="47" idx="3"/>
                    <a:endCxn id="180" idx="1"/>
                  </xdr:cNvCxnSpPr>
                </xdr:nvCxnSpPr>
                <xdr:spPr>
                  <a:xfrm>
                    <a:off x="18291811" y="17023570"/>
                    <a:ext cx="5130900" cy="11085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rgbClr val="1F3864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7D420F5D-F213-40DB-AB7C-69CB7159E409&quot;,&quot;Value&quot;:102797.0,&quot;Percentage&quot;:0.090105544019332934}" id="273" name="Shape 273"/>
                  <xdr:cNvCxnSpPr>
                    <a:stCxn id="48" idx="3"/>
                    <a:endCxn id="188" idx="1"/>
                  </xdr:cNvCxnSpPr>
                </xdr:nvCxnSpPr>
                <xdr:spPr>
                  <a:xfrm>
                    <a:off x="18291811" y="17032326"/>
                    <a:ext cx="5130900" cy="15423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6750">
                    <a:solidFill>
                      <a:srgbClr val="1F3864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7D420F5D-F213-40DB-AB7C-69CB7159E409&quot;,&quot;Value&quot;:102797.0,&quot;Percentage&quot;:0.090105544019332934}" id="274" name="Shape 274"/>
                  <xdr:cNvCxnSpPr>
                    <a:stCxn id="49" idx="3"/>
                    <a:endCxn id="201" idx="1"/>
                  </xdr:cNvCxnSpPr>
                </xdr:nvCxnSpPr>
                <xdr:spPr>
                  <a:xfrm>
                    <a:off x="18291811" y="17087678"/>
                    <a:ext cx="5130900" cy="23955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3925">
                    <a:solidFill>
                      <a:srgbClr val="1F3864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7D420F5D-F213-40DB-AB7C-69CB7159E409&quot;,&quot;Value&quot;:102797.0,&quot;Percentage&quot;:0.090105544019332934}" id="275" name="Shape 275"/>
                  <xdr:cNvCxnSpPr>
                    <a:stCxn id="50" idx="3"/>
                    <a:endCxn id="211" idx="1"/>
                  </xdr:cNvCxnSpPr>
                </xdr:nvCxnSpPr>
                <xdr:spPr>
                  <a:xfrm>
                    <a:off x="18291811" y="17134662"/>
                    <a:ext cx="5130900" cy="27099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chemeClr val="accent5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7D420F5D-F213-40DB-AB7C-69CB7159E409&quot;,&quot;Value&quot;:102797.0,&quot;Percentage&quot;:0.090105544019332934}" id="276" name="Shape 276"/>
                  <xdr:cNvCxnSpPr>
                    <a:stCxn id="51" idx="3"/>
                    <a:endCxn id="222" idx="1"/>
                  </xdr:cNvCxnSpPr>
                </xdr:nvCxnSpPr>
                <xdr:spPr>
                  <a:xfrm>
                    <a:off x="18291811" y="17150413"/>
                    <a:ext cx="5130900" cy="31284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31450">
                    <a:solidFill>
                      <a:srgbClr val="1F3864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7D420F5D-F213-40DB-AB7C-69CB7159E409&quot;,&quot;Value&quot;:102797.0,&quot;Percentage&quot;:0.090105544019332934}" id="277" name="Shape 277"/>
                  <xdr:cNvCxnSpPr>
                    <a:stCxn id="52" idx="3"/>
                    <a:endCxn id="236" idx="1"/>
                  </xdr:cNvCxnSpPr>
                </xdr:nvCxnSpPr>
                <xdr:spPr>
                  <a:xfrm>
                    <a:off x="18291811" y="17169805"/>
                    <a:ext cx="5130900" cy="34701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rgbClr val="1F3864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689A6BF4-FC19-4848-99F6-1B31C4026CAB&quot;,&quot;Value&quot;:61405.0,&quot;Percentage&quot;:0.05382385605131608}" id="278" name="Shape 278"/>
                  <xdr:cNvCxnSpPr>
                    <a:stCxn id="54" idx="3"/>
                    <a:endCxn id="125" idx="1"/>
                  </xdr:cNvCxnSpPr>
                </xdr:nvCxnSpPr>
                <xdr:spPr>
                  <a:xfrm flipH="1" rot="10800000">
                    <a:off x="18291811" y="15666918"/>
                    <a:ext cx="5130900" cy="16458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24500">
                    <a:solidFill>
                      <a:schemeClr val="accent6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689A6BF4-FC19-4848-99F6-1B31C4026CAB&quot;,&quot;Value&quot;:61405.0,&quot;Percentage&quot;:0.05382385605131608}" id="279" name="Shape 279"/>
                  <xdr:cNvCxnSpPr>
                    <a:stCxn id="55" idx="3"/>
                    <a:endCxn id="140" idx="1"/>
                  </xdr:cNvCxnSpPr>
                </xdr:nvCxnSpPr>
                <xdr:spPr>
                  <a:xfrm flipH="1" rot="10800000">
                    <a:off x="18291811" y="16270145"/>
                    <a:ext cx="5130900" cy="10551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chemeClr val="accent6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689A6BF4-FC19-4848-99F6-1B31C4026CAB&quot;,&quot;Value&quot;:61405.0,&quot;Percentage&quot;:0.05382385605131608}" id="280" name="Shape 280"/>
                  <xdr:cNvCxnSpPr>
                    <a:stCxn id="56" idx="3"/>
                    <a:endCxn id="151" idx="1"/>
                  </xdr:cNvCxnSpPr>
                </xdr:nvCxnSpPr>
                <xdr:spPr>
                  <a:xfrm flipH="1" rot="10800000">
                    <a:off x="18291811" y="16540294"/>
                    <a:ext cx="5130900" cy="7944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8350">
                    <a:solidFill>
                      <a:schemeClr val="accent6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689A6BF4-FC19-4848-99F6-1B31C4026CAB&quot;,&quot;Value&quot;:61405.0,&quot;Percentage&quot;:0.05382385605131608}" id="281" name="Shape 281"/>
                  <xdr:cNvCxnSpPr>
                    <a:stCxn id="57" idx="3"/>
                    <a:endCxn id="161" idx="1"/>
                  </xdr:cNvCxnSpPr>
                </xdr:nvCxnSpPr>
                <xdr:spPr>
                  <a:xfrm flipH="1" rot="10800000">
                    <a:off x="18291811" y="17169181"/>
                    <a:ext cx="5130900" cy="1815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3600">
                    <a:solidFill>
                      <a:schemeClr val="accent6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689A6BF4-FC19-4848-99F6-1B31C4026CAB&quot;,&quot;Value&quot;:61405.0,&quot;Percentage&quot;:0.05382385605131608}" id="282" name="Shape 282"/>
                  <xdr:cNvCxnSpPr>
                    <a:stCxn id="58" idx="3"/>
                    <a:endCxn id="181" idx="1"/>
                  </xdr:cNvCxnSpPr>
                </xdr:nvCxnSpPr>
                <xdr:spPr>
                  <a:xfrm>
                    <a:off x="18291811" y="17357703"/>
                    <a:ext cx="5130900" cy="7749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chemeClr val="accent6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689A6BF4-FC19-4848-99F6-1B31C4026CAB&quot;,&quot;Value&quot;:61405.0,&quot;Percentage&quot;:0.05382385605131608}" id="283" name="Shape 283"/>
                  <xdr:cNvCxnSpPr>
                    <a:stCxn id="59" idx="3"/>
                    <a:endCxn id="189" idx="1"/>
                  </xdr:cNvCxnSpPr>
                </xdr:nvCxnSpPr>
                <xdr:spPr>
                  <a:xfrm>
                    <a:off x="18291811" y="17364445"/>
                    <a:ext cx="5130900" cy="12252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3050">
                    <a:solidFill>
                      <a:schemeClr val="accent6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689A6BF4-FC19-4848-99F6-1B31C4026CAB&quot;,&quot;Value&quot;:61405.0,&quot;Percentage&quot;:0.05382385605131608}" id="284" name="Shape 284"/>
                  <xdr:cNvCxnSpPr>
                    <a:stCxn id="60" idx="3"/>
                    <a:endCxn id="202" idx="1"/>
                  </xdr:cNvCxnSpPr>
                </xdr:nvCxnSpPr>
                <xdr:spPr>
                  <a:xfrm>
                    <a:off x="18291811" y="17426897"/>
                    <a:ext cx="5130900" cy="21591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11850">
                    <a:solidFill>
                      <a:schemeClr val="accent6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689A6BF4-FC19-4848-99F6-1B31C4026CAB&quot;,&quot;Value&quot;:61405.0,&quot;Percentage&quot;:0.05382385605131608}" id="285" name="Shape 285"/>
                  <xdr:cNvCxnSpPr>
                    <a:stCxn id="61" idx="3"/>
                    <a:endCxn id="212" idx="1"/>
                  </xdr:cNvCxnSpPr>
                </xdr:nvCxnSpPr>
                <xdr:spPr>
                  <a:xfrm>
                    <a:off x="18291811" y="17483284"/>
                    <a:ext cx="5130900" cy="23616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chemeClr val="accent6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689A6BF4-FC19-4848-99F6-1B31C4026CAB&quot;,&quot;Value&quot;:61405.0,&quot;Percentage&quot;:0.05382385605131608}" id="286" name="Shape 286"/>
                  <xdr:cNvCxnSpPr>
                    <a:stCxn id="62" idx="3"/>
                    <a:endCxn id="223" idx="1"/>
                  </xdr:cNvCxnSpPr>
                </xdr:nvCxnSpPr>
                <xdr:spPr>
                  <a:xfrm>
                    <a:off x="18291811" y="17492759"/>
                    <a:ext cx="5130900" cy="28110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8025">
                    <a:solidFill>
                      <a:schemeClr val="accent6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689A6BF4-FC19-4848-99F6-1B31C4026CAB&quot;,&quot;Value&quot;:61405.0,&quot;Percentage&quot;:0.05382385605131608}" id="287" name="Shape 287"/>
                  <xdr:cNvCxnSpPr>
                    <a:stCxn id="63" idx="3"/>
                    <a:endCxn id="237" idx="1"/>
                  </xdr:cNvCxnSpPr>
                </xdr:nvCxnSpPr>
                <xdr:spPr>
                  <a:xfrm>
                    <a:off x="18291811" y="17503657"/>
                    <a:ext cx="5130900" cy="31419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chemeClr val="accent6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7CC00BE6-581A-407F-9B33-575D7E9B68E4&quot;,&quot;Value&quot;:58955.0,&quot;Percentage&quot;:0.051676336348918481}" id="288" name="Shape 288"/>
                  <xdr:cNvCxnSpPr>
                    <a:stCxn id="65" idx="3"/>
                    <a:endCxn id="126" idx="1"/>
                  </xdr:cNvCxnSpPr>
                </xdr:nvCxnSpPr>
                <xdr:spPr>
                  <a:xfrm flipH="1" rot="10800000">
                    <a:off x="18291811" y="15683440"/>
                    <a:ext cx="5130900" cy="19533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rgbClr val="FF66CC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7CC00BE6-581A-407F-9B33-575D7E9B68E4&quot;,&quot;Value&quot;:58955.0,&quot;Percentage&quot;:0.051676336348918481}" id="289" name="Shape 289"/>
                  <xdr:cNvCxnSpPr>
                    <a:stCxn id="66" idx="3"/>
                    <a:endCxn id="162" idx="1"/>
                  </xdr:cNvCxnSpPr>
                </xdr:nvCxnSpPr>
                <xdr:spPr>
                  <a:xfrm flipH="1" rot="10800000">
                    <a:off x="18291811" y="17176050"/>
                    <a:ext cx="5130900" cy="4650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rgbClr val="FF66CC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7CC00BE6-581A-407F-9B33-575D7E9B68E4&quot;,&quot;Value&quot;:58955.0,&quot;Percentage&quot;:0.051676336348918481}" id="290" name="Shape 290"/>
                  <xdr:cNvCxnSpPr>
                    <a:stCxn id="67" idx="3"/>
                    <a:endCxn id="190" idx="1"/>
                  </xdr:cNvCxnSpPr>
                </xdr:nvCxnSpPr>
                <xdr:spPr>
                  <a:xfrm>
                    <a:off x="18291811" y="17717557"/>
                    <a:ext cx="5130900" cy="9549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52800">
                    <a:solidFill>
                      <a:srgbClr val="FF66CC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7CC00BE6-581A-407F-9B33-575D7E9B68E4&quot;,&quot;Value&quot;:58955.0,&quot;Percentage&quot;:0.051676336348918481}" id="291" name="Shape 291"/>
                  <xdr:cNvCxnSpPr>
                    <a:stCxn id="68" idx="3"/>
                    <a:endCxn id="203" idx="1"/>
                  </xdr:cNvCxnSpPr>
                </xdr:nvCxnSpPr>
                <xdr:spPr>
                  <a:xfrm>
                    <a:off x="18291811" y="17811448"/>
                    <a:ext cx="5130900" cy="18480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34950">
                    <a:solidFill>
                      <a:srgbClr val="FF66CC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7CC00BE6-581A-407F-9B33-575D7E9B68E4&quot;,&quot;Value&quot;:58955.0,&quot;Percentage&quot;:0.051676336348918481}" id="292" name="Shape 292"/>
                  <xdr:cNvCxnSpPr>
                    <a:stCxn id="69" idx="3"/>
                    <a:endCxn id="224" idx="1"/>
                  </xdr:cNvCxnSpPr>
                </xdr:nvCxnSpPr>
                <xdr:spPr>
                  <a:xfrm>
                    <a:off x="18291811" y="17829147"/>
                    <a:ext cx="5130900" cy="24837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chemeClr val="lt1">
                        <a:alpha val="40000"/>
                      </a:scheme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7CC00BE6-581A-407F-9B33-575D7E9B68E4&quot;,&quot;Value&quot;:58955.0,&quot;Percentage&quot;:0.051676336348918481}" id="293" name="Shape 293"/>
                  <xdr:cNvCxnSpPr>
                    <a:stCxn id="70" idx="3"/>
                    <a:endCxn id="238" idx="1"/>
                  </xdr:cNvCxnSpPr>
                </xdr:nvCxnSpPr>
                <xdr:spPr>
                  <a:xfrm>
                    <a:off x="18291811" y="17829389"/>
                    <a:ext cx="5130900" cy="28182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rgbClr val="FF66CC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F0A37514-61FB-45E0-A288-E130D16CA1DD&quot;,&quot;Value&quot;:88295.0,&quot;Percentage&quot;:0.077393980458447253}" id="294" name="Shape 294"/>
                  <xdr:cNvCxnSpPr>
                    <a:stCxn id="72" idx="3"/>
                    <a:endCxn id="127" idx="1"/>
                  </xdr:cNvCxnSpPr>
                </xdr:nvCxnSpPr>
                <xdr:spPr>
                  <a:xfrm flipH="1" rot="10800000">
                    <a:off x="18291811" y="15701603"/>
                    <a:ext cx="5130900" cy="22689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28150">
                    <a:solidFill>
                      <a:srgbClr val="385623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F0A37514-61FB-45E0-A288-E130D16CA1DD&quot;,&quot;Value&quot;:88295.0,&quot;Percentage&quot;:0.077393980458447253}" id="295" name="Shape 295"/>
                  <xdr:cNvCxnSpPr>
                    <a:stCxn id="73" idx="3"/>
                    <a:endCxn id="141" idx="1"/>
                  </xdr:cNvCxnSpPr>
                </xdr:nvCxnSpPr>
                <xdr:spPr>
                  <a:xfrm flipH="1" rot="10800000">
                    <a:off x="18291811" y="16270419"/>
                    <a:ext cx="5130900" cy="17142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rgbClr val="385623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F0A37514-61FB-45E0-A288-E130D16CA1DD&quot;,&quot;Value&quot;:88295.0,&quot;Percentage&quot;:0.077393980458447253}" id="296" name="Shape 296"/>
                  <xdr:cNvCxnSpPr>
                    <a:stCxn id="74" idx="3"/>
                    <a:endCxn id="152" idx="1"/>
                  </xdr:cNvCxnSpPr>
                </xdr:nvCxnSpPr>
                <xdr:spPr>
                  <a:xfrm flipH="1" rot="10800000">
                    <a:off x="18291811" y="16555025"/>
                    <a:ext cx="5130900" cy="14349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0525">
                    <a:solidFill>
                      <a:srgbClr val="385623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F0A37514-61FB-45E0-A288-E130D16CA1DD&quot;,&quot;Value&quot;:88295.0,&quot;Percentage&quot;:0.077393980458447253}" id="297" name="Shape 297"/>
                  <xdr:cNvCxnSpPr>
                    <a:stCxn id="75" idx="3"/>
                    <a:endCxn id="163" idx="1"/>
                  </xdr:cNvCxnSpPr>
                </xdr:nvCxnSpPr>
                <xdr:spPr>
                  <a:xfrm flipH="1" rot="10800000">
                    <a:off x="18291811" y="17196772"/>
                    <a:ext cx="5130900" cy="8190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41150">
                    <a:solidFill>
                      <a:srgbClr val="385623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F0A37514-61FB-45E0-A288-E130D16CA1DD&quot;,&quot;Value&quot;:88295.0,&quot;Percentage&quot;:0.077393980458447253}" id="298" name="Shape 298"/>
                  <xdr:cNvCxnSpPr>
                    <a:stCxn id="76" idx="3"/>
                    <a:endCxn id="173" idx="1"/>
                  </xdr:cNvCxnSpPr>
                </xdr:nvCxnSpPr>
                <xdr:spPr>
                  <a:xfrm flipH="1" rot="10800000">
                    <a:off x="18291811" y="17884874"/>
                    <a:ext cx="5130900" cy="1653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27625">
                    <a:solidFill>
                      <a:srgbClr val="385623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F0A37514-61FB-45E0-A288-E130D16CA1DD&quot;,&quot;Value&quot;:88295.0,&quot;Percentage&quot;:0.077393980458447253}" id="299" name="Shape 299"/>
                  <xdr:cNvCxnSpPr>
                    <a:stCxn id="77" idx="3"/>
                    <a:endCxn id="182" idx="1"/>
                  </xdr:cNvCxnSpPr>
                </xdr:nvCxnSpPr>
                <xdr:spPr>
                  <a:xfrm>
                    <a:off x="18291811" y="18139046"/>
                    <a:ext cx="5130900" cy="687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50075">
                    <a:solidFill>
                      <a:srgbClr val="385623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F0A37514-61FB-45E0-A288-E130D16CA1DD&quot;,&quot;Value&quot;:88295.0,&quot;Percentage&quot;:0.077393980458447253}" id="300" name="Shape 300"/>
                  <xdr:cNvCxnSpPr>
                    <a:stCxn id="78" idx="3"/>
                    <a:endCxn id="204" idx="1"/>
                  </xdr:cNvCxnSpPr>
                </xdr:nvCxnSpPr>
                <xdr:spPr>
                  <a:xfrm>
                    <a:off x="18291811" y="18226651"/>
                    <a:ext cx="5130900" cy="14628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25100">
                    <a:solidFill>
                      <a:srgbClr val="385623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F0A37514-61FB-45E0-A288-E130D16CA1DD&quot;,&quot;Value&quot;:88295.0,&quot;Percentage&quot;:0.077393980458447253}" id="301" name="Shape 301"/>
                  <xdr:cNvCxnSpPr>
                    <a:stCxn id="79" idx="3"/>
                    <a:endCxn id="213" idx="1"/>
                  </xdr:cNvCxnSpPr>
                </xdr:nvCxnSpPr>
                <xdr:spPr>
                  <a:xfrm>
                    <a:off x="18291811" y="18239747"/>
                    <a:ext cx="5130900" cy="16062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rgbClr val="385623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F0A37514-61FB-45E0-A288-E130D16CA1DD&quot;,&quot;Value&quot;:88295.0,&quot;Percentage&quot;:0.077393980458447253}" id="302" name="Shape 302"/>
                  <xdr:cNvCxnSpPr>
                    <a:stCxn id="80" idx="3"/>
                    <a:endCxn id="225" idx="1"/>
                  </xdr:cNvCxnSpPr>
                </xdr:nvCxnSpPr>
                <xdr:spPr>
                  <a:xfrm>
                    <a:off x="18291811" y="18245781"/>
                    <a:ext cx="5130900" cy="20727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0975">
                    <a:solidFill>
                      <a:srgbClr val="385623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F0A37514-61FB-45E0-A288-E130D16CA1DD&quot;,&quot;Value&quot;:88295.0,&quot;Percentage&quot;:0.077393980458447253}" id="303" name="Shape 303"/>
                  <xdr:cNvCxnSpPr>
                    <a:stCxn id="81" idx="3"/>
                    <a:endCxn id="239" idx="1"/>
                  </xdr:cNvCxnSpPr>
                </xdr:nvCxnSpPr>
                <xdr:spPr>
                  <a:xfrm>
                    <a:off x="18291811" y="18251285"/>
                    <a:ext cx="5130900" cy="23961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rgbClr val="385623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127C2A76-CD13-4539-BB0C-1511C339EFC0&quot;,&quot;Value&quot;:331304.0,&quot;Percentage&quot;:0.29040076223801353}" id="304" name="Shape 304"/>
                  <xdr:cNvCxnSpPr>
                    <a:stCxn id="83" idx="3"/>
                    <a:endCxn id="128" idx="1"/>
                  </xdr:cNvCxnSpPr>
                </xdr:nvCxnSpPr>
                <xdr:spPr>
                  <a:xfrm flipH="1" rot="10800000">
                    <a:off x="18291811" y="15790527"/>
                    <a:ext cx="5130900" cy="26625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49450">
                    <a:solidFill>
                      <a:srgbClr val="FF0000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127C2A76-CD13-4539-BB0C-1511C339EFC0&quot;,&quot;Value&quot;:331304.0,&quot;Percentage&quot;:0.29040076223801353}" id="305" name="Shape 305"/>
                  <xdr:cNvCxnSpPr>
                    <a:stCxn id="84" idx="3"/>
                    <a:endCxn id="134" idx="1"/>
                  </xdr:cNvCxnSpPr>
                </xdr:nvCxnSpPr>
                <xdr:spPr>
                  <a:xfrm flipH="1" rot="10800000">
                    <a:off x="18291811" y="16138564"/>
                    <a:ext cx="5130900" cy="23892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rgbClr val="FF0000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127C2A76-CD13-4539-BB0C-1511C339EFC0&quot;,&quot;Value&quot;:331304.0,&quot;Percentage&quot;:0.29040076223801353}" id="306" name="Shape 306"/>
                  <xdr:cNvCxnSpPr>
                    <a:stCxn id="85" idx="3"/>
                    <a:endCxn id="142" idx="1"/>
                  </xdr:cNvCxnSpPr>
                </xdr:nvCxnSpPr>
                <xdr:spPr>
                  <a:xfrm flipH="1" rot="10800000">
                    <a:off x="18291811" y="16274413"/>
                    <a:ext cx="5130900" cy="22572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rgbClr val="FF0000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127C2A76-CD13-4539-BB0C-1511C339EFC0&quot;,&quot;Value&quot;:331304.0,&quot;Percentage&quot;:0.29040076223801353}" id="307" name="Shape 307"/>
                  <xdr:cNvCxnSpPr>
                    <a:stCxn id="86" idx="3"/>
                    <a:endCxn id="153" idx="1"/>
                  </xdr:cNvCxnSpPr>
                </xdr:nvCxnSpPr>
                <xdr:spPr>
                  <a:xfrm flipH="1" rot="10800000">
                    <a:off x="18291811" y="16655014"/>
                    <a:ext cx="5130900" cy="19752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89500">
                    <a:solidFill>
                      <a:srgbClr val="FF0000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127C2A76-CD13-4539-BB0C-1511C339EFC0&quot;,&quot;Value&quot;:331304.0,&quot;Percentage&quot;:0.29040076223801353}" id="308" name="Shape 308"/>
                  <xdr:cNvCxnSpPr>
                    <a:stCxn id="87" idx="3"/>
                    <a:endCxn id="164" idx="1"/>
                  </xdr:cNvCxnSpPr>
                </xdr:nvCxnSpPr>
                <xdr:spPr>
                  <a:xfrm flipH="1" rot="10800000">
                    <a:off x="18291811" y="17333641"/>
                    <a:ext cx="5130900" cy="15075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232325">
                    <a:solidFill>
                      <a:srgbClr val="FF0000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127C2A76-CD13-4539-BB0C-1511C339EFC0&quot;,&quot;Value&quot;:331304.0,&quot;Percentage&quot;:0.29040076223801353}" id="309" name="Shape 309"/>
                  <xdr:cNvCxnSpPr>
                    <a:stCxn id="88" idx="3"/>
                    <a:endCxn id="174" idx="1"/>
                  </xdr:cNvCxnSpPr>
                </xdr:nvCxnSpPr>
                <xdr:spPr>
                  <a:xfrm flipH="1" rot="10800000">
                    <a:off x="18291811" y="17918127"/>
                    <a:ext cx="5130900" cy="10584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38425">
                    <a:solidFill>
                      <a:srgbClr val="FF0000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127C2A76-CD13-4539-BB0C-1511C339EFC0&quot;,&quot;Value&quot;:331304.0,&quot;Percentage&quot;:0.29040076223801353}" id="310" name="Shape 310"/>
                  <xdr:cNvCxnSpPr>
                    <a:stCxn id="89" idx="3"/>
                    <a:endCxn id="183" idx="1"/>
                  </xdr:cNvCxnSpPr>
                </xdr:nvCxnSpPr>
                <xdr:spPr>
                  <a:xfrm flipH="1" rot="10800000">
                    <a:off x="18291811" y="18332033"/>
                    <a:ext cx="5130900" cy="7128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8175">
                    <a:solidFill>
                      <a:srgbClr val="FF0000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127C2A76-CD13-4539-BB0C-1511C339EFC0&quot;,&quot;Value&quot;:331304.0,&quot;Percentage&quot;:0.29040076223801353}" id="311" name="Shape 311"/>
                  <xdr:cNvCxnSpPr>
                    <a:stCxn id="90" idx="3"/>
                    <a:endCxn id="191" idx="1"/>
                  </xdr:cNvCxnSpPr>
                </xdr:nvCxnSpPr>
                <xdr:spPr>
                  <a:xfrm flipH="1" rot="10800000">
                    <a:off x="18291811" y="18783926"/>
                    <a:ext cx="5130900" cy="3450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70000">
                    <a:solidFill>
                      <a:srgbClr val="FF0000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127C2A76-CD13-4539-BB0C-1511C339EFC0&quot;,&quot;Value&quot;:331304.0,&quot;Percentage&quot;:0.29040076223801353}" id="312" name="Shape 312"/>
                  <xdr:cNvCxnSpPr>
                    <a:stCxn id="91" idx="3"/>
                    <a:endCxn id="214" idx="1"/>
                  </xdr:cNvCxnSpPr>
                </xdr:nvCxnSpPr>
                <xdr:spPr>
                  <a:xfrm>
                    <a:off x="18291811" y="19257985"/>
                    <a:ext cx="5130900" cy="6825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88100">
                    <a:solidFill>
                      <a:srgbClr val="FF0000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127C2A76-CD13-4539-BB0C-1511C339EFC0&quot;,&quot;Value&quot;:331304.0,&quot;Percentage&quot;:0.29040076223801353}" id="313" name="Shape 313"/>
                  <xdr:cNvCxnSpPr>
                    <a:stCxn id="92" idx="3"/>
                    <a:endCxn id="226" idx="1"/>
                  </xdr:cNvCxnSpPr>
                </xdr:nvCxnSpPr>
                <xdr:spPr>
                  <a:xfrm>
                    <a:off x="18291811" y="19418349"/>
                    <a:ext cx="5130900" cy="9720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32600">
                    <a:solidFill>
                      <a:srgbClr val="FF0000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127C2A76-CD13-4539-BB0C-1511C339EFC0&quot;,&quot;Value&quot;:331304.0,&quot;Percentage&quot;:0.29040076223801353}" id="314" name="Shape 314"/>
                  <xdr:cNvCxnSpPr>
                    <a:stCxn id="93" idx="3"/>
                    <a:endCxn id="240" idx="1"/>
                  </xdr:cNvCxnSpPr>
                </xdr:nvCxnSpPr>
                <xdr:spPr>
                  <a:xfrm>
                    <a:off x="18291811" y="19484690"/>
                    <a:ext cx="5130900" cy="11628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rgbClr val="D9E2F3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DC7CC21C-F789-4CBC-9E84-3B8404EF4D25&quot;,&quot;Value&quot;:3269.0,&quot;Percentage&quot;:0.0028654048600562213}" id="315" name="Shape 315"/>
                  <xdr:cNvCxnSpPr>
                    <a:stCxn id="95" idx="3"/>
                    <a:endCxn id="154" idx="1"/>
                  </xdr:cNvCxnSpPr>
                </xdr:nvCxnSpPr>
                <xdr:spPr>
                  <a:xfrm flipH="1" rot="10800000">
                    <a:off x="18291811" y="16749768"/>
                    <a:ext cx="5130900" cy="28620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rgbClr val="7030A0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DC7CC21C-F789-4CBC-9E84-3B8404EF4D25&quot;,&quot;Value&quot;:3269.0,&quot;Percentage&quot;:0.0028654048600562213}" id="316" name="Shape 316"/>
                  <xdr:cNvCxnSpPr>
                    <a:stCxn id="96" idx="3"/>
                    <a:endCxn id="175" idx="1"/>
                  </xdr:cNvCxnSpPr>
                </xdr:nvCxnSpPr>
                <xdr:spPr>
                  <a:xfrm flipH="1" rot="10800000">
                    <a:off x="18291811" y="17937236"/>
                    <a:ext cx="5130900" cy="16746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rgbClr val="FBE5D5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DC7CC21C-F789-4CBC-9E84-3B8404EF4D25&quot;,&quot;Value&quot;:3269.0,&quot;Percentage&quot;:0.0028654048600562213}" id="317" name="Shape 317"/>
                  <xdr:cNvCxnSpPr>
                    <a:stCxn id="97" idx="3"/>
                    <a:endCxn id="192" idx="1"/>
                  </xdr:cNvCxnSpPr>
                </xdr:nvCxnSpPr>
                <xdr:spPr>
                  <a:xfrm flipH="1" rot="10800000">
                    <a:off x="18291811" y="18819165"/>
                    <a:ext cx="5130900" cy="7929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rgbClr val="7030A0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DC7CC21C-F789-4CBC-9E84-3B8404EF4D25&quot;,&quot;Value&quot;:3269.0,&quot;Percentage&quot;:0.0028654048600562213}" id="318" name="Shape 318"/>
                  <xdr:cNvCxnSpPr>
                    <a:stCxn id="98" idx="3"/>
                    <a:endCxn id="205" idx="1"/>
                  </xdr:cNvCxnSpPr>
                </xdr:nvCxnSpPr>
                <xdr:spPr>
                  <a:xfrm>
                    <a:off x="18291811" y="19612595"/>
                    <a:ext cx="5130900" cy="897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rgbClr val="FBE5D5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DC7CC21C-F789-4CBC-9E84-3B8404EF4D25&quot;,&quot;Value&quot;:3269.0,&quot;Percentage&quot;:0.0028654048600562213}" id="319" name="Shape 319"/>
                  <xdr:cNvCxnSpPr>
                    <a:stCxn id="99" idx="3"/>
                    <a:endCxn id="227" idx="1"/>
                  </xdr:cNvCxnSpPr>
                </xdr:nvCxnSpPr>
                <xdr:spPr>
                  <a:xfrm>
                    <a:off x="18291811" y="19617774"/>
                    <a:ext cx="5130900" cy="8439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700">
                    <a:solidFill>
                      <a:srgbClr val="7030A0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5B9FDE40-99B4-4832-A4A3-B5CFFB26AC95&quot;,&quot;Value&quot;:176496.0,&quot;Percentage&quot;:0.15470556628341475}" id="320" name="Shape 320"/>
                  <xdr:cNvCxnSpPr>
                    <a:stCxn id="101" idx="3"/>
                    <a:endCxn id="129" idx="1"/>
                  </xdr:cNvCxnSpPr>
                </xdr:nvCxnSpPr>
                <xdr:spPr>
                  <a:xfrm flipH="1" rot="10800000">
                    <a:off x="18291811" y="15925891"/>
                    <a:ext cx="5130900" cy="38844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21300">
                    <a:solidFill>
                      <a:srgbClr val="25B2B9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5B9FDE40-99B4-4832-A4A3-B5CFFB26AC95&quot;,&quot;Value&quot;:176496.0,&quot;Percentage&quot;:0.15470556628341475}" id="321" name="Shape 321"/>
                  <xdr:cNvCxnSpPr>
                    <a:stCxn id="102" idx="3"/>
                    <a:endCxn id="143" idx="1"/>
                  </xdr:cNvCxnSpPr>
                </xdr:nvCxnSpPr>
                <xdr:spPr>
                  <a:xfrm flipH="1" rot="10800000">
                    <a:off x="18291811" y="16280927"/>
                    <a:ext cx="5130900" cy="35928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rgbClr val="25B2B9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5B9FDE40-99B4-4832-A4A3-B5CFFB26AC95&quot;,&quot;Value&quot;:176496.0,&quot;Percentage&quot;:0.15470556628341475}" id="322" name="Shape 322"/>
                  <xdr:cNvCxnSpPr>
                    <a:stCxn id="103" idx="3"/>
                    <a:endCxn id="155" idx="1"/>
                  </xdr:cNvCxnSpPr>
                </xdr:nvCxnSpPr>
                <xdr:spPr>
                  <a:xfrm flipH="1" rot="10800000">
                    <a:off x="18291811" y="16825378"/>
                    <a:ext cx="5130900" cy="31266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50925">
                    <a:solidFill>
                      <a:srgbClr val="25B2B9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5B9FDE40-99B4-4832-A4A3-B5CFFB26AC95&quot;,&quot;Value&quot;:176496.0,&quot;Percentage&quot;:0.15470556628341475}" id="323" name="Shape 323"/>
                  <xdr:cNvCxnSpPr>
                    <a:stCxn id="104" idx="3"/>
                    <a:endCxn id="165" idx="1"/>
                  </xdr:cNvCxnSpPr>
                </xdr:nvCxnSpPr>
                <xdr:spPr>
                  <a:xfrm flipH="1" rot="10800000">
                    <a:off x="18291811" y="17556368"/>
                    <a:ext cx="5130900" cy="25776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213025">
                    <a:solidFill>
                      <a:srgbClr val="25B2B9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5B9FDE40-99B4-4832-A4A3-B5CFFB26AC95&quot;,&quot;Value&quot;:176496.0,&quot;Percentage&quot;:0.15470556628341475}" id="324" name="Shape 324"/>
                  <xdr:cNvCxnSpPr>
                    <a:stCxn id="105" idx="3"/>
                    <a:endCxn id="176" idx="1"/>
                  </xdr:cNvCxnSpPr>
                </xdr:nvCxnSpPr>
                <xdr:spPr>
                  <a:xfrm flipH="1" rot="10800000">
                    <a:off x="18291811" y="17955928"/>
                    <a:ext cx="5130900" cy="23034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37675">
                    <a:solidFill>
                      <a:srgbClr val="25B2B9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5B9FDE40-99B4-4832-A4A3-B5CFFB26AC95&quot;,&quot;Value&quot;:176496.0,&quot;Percentage&quot;:0.15470556628341475}" id="325" name="Shape 325"/>
                  <xdr:cNvCxnSpPr>
                    <a:stCxn id="106" idx="3"/>
                    <a:endCxn id="193" idx="1"/>
                  </xdr:cNvCxnSpPr>
                </xdr:nvCxnSpPr>
                <xdr:spPr>
                  <a:xfrm flipH="1" rot="10800000">
                    <a:off x="18291811" y="18825193"/>
                    <a:ext cx="5130900" cy="14589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1825">
                    <a:solidFill>
                      <a:srgbClr val="25B2B9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5B9FDE40-99B4-4832-A4A3-B5CFFB26AC95&quot;,&quot;Value&quot;:176496.0,&quot;Percentage&quot;:0.15470556628341475}" id="326" name="Shape 326"/>
                  <xdr:cNvCxnSpPr>
                    <a:stCxn id="107" idx="3"/>
                    <a:endCxn id="206" idx="1"/>
                  </xdr:cNvCxnSpPr>
                </xdr:nvCxnSpPr>
                <xdr:spPr>
                  <a:xfrm flipH="1" rot="10800000">
                    <a:off x="18291811" y="19704543"/>
                    <a:ext cx="5130900" cy="5874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rgbClr val="25B2B9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5B9FDE40-99B4-4832-A4A3-B5CFFB26AC95&quot;,&quot;Value&quot;:176496.0,&quot;Percentage&quot;:0.15470556628341475}" id="327" name="Shape 327"/>
                  <xdr:cNvCxnSpPr>
                    <a:stCxn id="108" idx="3"/>
                    <a:endCxn id="215" idx="1"/>
                  </xdr:cNvCxnSpPr>
                </xdr:nvCxnSpPr>
                <xdr:spPr>
                  <a:xfrm flipH="1" rot="10800000">
                    <a:off x="18291811" y="20047783"/>
                    <a:ext cx="5130900" cy="2592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26225">
                    <a:solidFill>
                      <a:srgbClr val="25B2B9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5B9FDE40-99B4-4832-A4A3-B5CFFB26AC95&quot;,&quot;Value&quot;:176496.0,&quot;Percentage&quot;:0.15470556628341475}" id="328" name="Shape 328"/>
                  <xdr:cNvCxnSpPr>
                    <a:stCxn id="109" idx="3"/>
                    <a:endCxn id="228" idx="1"/>
                  </xdr:cNvCxnSpPr>
                </xdr:nvCxnSpPr>
                <xdr:spPr>
                  <a:xfrm>
                    <a:off x="18291811" y="20329543"/>
                    <a:ext cx="5130900" cy="1464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8875">
                    <a:solidFill>
                      <a:srgbClr val="25B2B9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5B9FDE40-99B4-4832-A4A3-B5CFFB26AC95&quot;,&quot;Value&quot;:176496.0,&quot;Percentage&quot;:0.15470556628341475}" id="329" name="Shape 329"/>
                  <xdr:cNvCxnSpPr>
                    <a:stCxn id="110" idx="3"/>
                    <a:endCxn id="241" idx="1"/>
                  </xdr:cNvCxnSpPr>
                </xdr:nvCxnSpPr>
                <xdr:spPr>
                  <a:xfrm>
                    <a:off x="18291811" y="20339027"/>
                    <a:ext cx="5130900" cy="3087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rgbClr val="EDEDED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EA8472D2-ADB3-42E6-8D16-EEE9EA4D4E9C&quot;,&quot;Value&quot;:54377.0,&quot;Percentage&quot;:0.047663542390724116}" id="330" name="Shape 330"/>
                  <xdr:cNvCxnSpPr>
                    <a:stCxn id="112" idx="3"/>
                    <a:endCxn id="130" idx="1"/>
                  </xdr:cNvCxnSpPr>
                </xdr:nvCxnSpPr>
                <xdr:spPr>
                  <a:xfrm flipH="1" rot="10800000">
                    <a:off x="18291811" y="15994855"/>
                    <a:ext cx="5130900" cy="44796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6775">
                    <a:solidFill>
                      <a:srgbClr val="FFFF00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EA8472D2-ADB3-42E6-8D16-EEE9EA4D4E9C&quot;,&quot;Value&quot;:54377.0,&quot;Percentage&quot;:0.047663542390724116}" id="331" name="Shape 331"/>
                  <xdr:cNvCxnSpPr>
                    <a:stCxn id="113" idx="3"/>
                    <a:endCxn id="144" idx="1"/>
                  </xdr:cNvCxnSpPr>
                </xdr:nvCxnSpPr>
                <xdr:spPr>
                  <a:xfrm flipH="1" rot="10800000">
                    <a:off x="18291811" y="16286228"/>
                    <a:ext cx="5130900" cy="41991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rgbClr val="FFFF00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EA8472D2-ADB3-42E6-8D16-EEE9EA4D4E9C&quot;,&quot;Value&quot;:54377.0,&quot;Percentage&quot;:0.047663542390724116}" id="332" name="Shape 332"/>
                  <xdr:cNvCxnSpPr>
                    <a:stCxn id="114" idx="3"/>
                    <a:endCxn id="156" idx="1"/>
                  </xdr:cNvCxnSpPr>
                </xdr:nvCxnSpPr>
                <xdr:spPr>
                  <a:xfrm flipH="1" rot="10800000">
                    <a:off x="18291811" y="16931198"/>
                    <a:ext cx="5130900" cy="35871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60950">
                    <a:solidFill>
                      <a:srgbClr val="FFFF00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EA8472D2-ADB3-42E6-8D16-EEE9EA4D4E9C&quot;,&quot;Value&quot;:54377.0,&quot;Percentage&quot;:0.047663542390724116}" id="333" name="Shape 333"/>
                  <xdr:cNvCxnSpPr>
                    <a:stCxn id="115" idx="3"/>
                    <a:endCxn id="166" idx="1"/>
                  </xdr:cNvCxnSpPr>
                </xdr:nvCxnSpPr>
                <xdr:spPr>
                  <a:xfrm flipH="1" rot="10800000">
                    <a:off x="18291811" y="17683909"/>
                    <a:ext cx="5130900" cy="28860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42250">
                    <a:solidFill>
                      <a:srgbClr val="FFFF00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EA8472D2-ADB3-42E6-8D16-EEE9EA4D4E9C&quot;,&quot;Value&quot;:54377.0,&quot;Percentage&quot;:0.047663542390724116}" id="334" name="Shape 334"/>
                  <xdr:cNvCxnSpPr>
                    <a:stCxn id="116" idx="3"/>
                    <a:endCxn id="177" idx="1"/>
                  </xdr:cNvCxnSpPr>
                </xdr:nvCxnSpPr>
                <xdr:spPr>
                  <a:xfrm flipH="1" rot="10800000">
                    <a:off x="18291811" y="17989900"/>
                    <a:ext cx="5130900" cy="26160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29725">
                    <a:solidFill>
                      <a:srgbClr val="FFFF00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EA8472D2-ADB3-42E6-8D16-EEE9EA4D4E9C&quot;,&quot;Value&quot;:54377.0,&quot;Percentage&quot;:0.047663542390724116}" id="335" name="Shape 335"/>
                  <xdr:cNvCxnSpPr>
                    <a:stCxn id="117" idx="3"/>
                    <a:endCxn id="194" idx="1"/>
                  </xdr:cNvCxnSpPr>
                </xdr:nvCxnSpPr>
                <xdr:spPr>
                  <a:xfrm flipH="1" rot="10800000">
                    <a:off x="18291811" y="18831319"/>
                    <a:ext cx="5130900" cy="17895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rgbClr val="FFFF00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EA8472D2-ADB3-42E6-8D16-EEE9EA4D4E9C&quot;,&quot;Value&quot;:54377.0,&quot;Percentage&quot;:0.047663542390724116}" id="336" name="Shape 336"/>
                  <xdr:cNvCxnSpPr>
                    <a:stCxn id="118" idx="3"/>
                    <a:endCxn id="207" idx="1"/>
                  </xdr:cNvCxnSpPr>
                </xdr:nvCxnSpPr>
                <xdr:spPr>
                  <a:xfrm flipH="1" rot="10800000">
                    <a:off x="18291811" y="19711910"/>
                    <a:ext cx="5130900" cy="9144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0850">
                    <a:solidFill>
                      <a:srgbClr val="FFF2CC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EA8472D2-ADB3-42E6-8D16-EEE9EA4D4E9C&quot;,&quot;Value&quot;:54377.0,&quot;Percentage&quot;:0.047663542390724116}" id="337" name="Shape 337"/>
                  <xdr:cNvCxnSpPr>
                    <a:stCxn id="119" idx="3"/>
                    <a:endCxn id="216" idx="1"/>
                  </xdr:cNvCxnSpPr>
                </xdr:nvCxnSpPr>
                <xdr:spPr>
                  <a:xfrm flipH="1" rot="10800000">
                    <a:off x="18291811" y="20061190"/>
                    <a:ext cx="5130900" cy="5709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9525">
                    <a:solidFill>
                      <a:srgbClr val="FFFF00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descr="{&quot;Id&quot;:&quot;EA8472D2-ADB3-42E6-8D16-EEE9EA4D4E9C&quot;,&quot;Value&quot;:54377.0,&quot;Percentage&quot;:0.047663542390724116}" id="338" name="Shape 338"/>
                  <xdr:cNvCxnSpPr>
                    <a:stCxn id="120" idx="3"/>
                    <a:endCxn id="229" idx="1"/>
                  </xdr:cNvCxnSpPr>
                </xdr:nvCxnSpPr>
                <xdr:spPr>
                  <a:xfrm flipH="1" rot="10800000">
                    <a:off x="18291811" y="20493052"/>
                    <a:ext cx="5130900" cy="147000"/>
                  </a:xfrm>
                  <a:prstGeom prst="curvedConnector3">
                    <a:avLst>
                      <a:gd fmla="val 715350" name="adj1"/>
                    </a:avLst>
                  </a:prstGeom>
                  <a:noFill/>
                  <a:ln cap="flat" cmpd="sng" w="15225">
                    <a:solidFill>
                      <a:srgbClr val="FFF2CC">
                        <a:alpha val="40000"/>
                      </a:srgbClr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sp>
                <xdr:nvSpPr>
                  <xdr:cNvPr descr="{&quot;Id&quot;:&quot;382ED09C-1BF1-4DEA-8FF3-D1C5655AC135&quot;,&quot;Value&quot;:1140851.0,&quot;Percentage&quot;:0.0}" id="339" name="Shape 339"/>
                  <xdr:cNvSpPr txBox="1"/>
                </xdr:nvSpPr>
                <xdr:spPr>
                  <a:xfrm>
                    <a:off x="17039306" y="15213006"/>
                    <a:ext cx="7683502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800"/>
                      <a:buFont typeface="Calibri"/>
                      <a:buNone/>
                    </a:pPr>
                    <a:r>
                      <a:rPr b="1" i="0" lang="en-US" sz="1800" u="none">
                        <a:solidFill>
                          <a:schemeClr val="dk1"/>
                        </a:solidFill>
                        <a:latin typeface="Calibri"/>
                        <a:ea typeface="Calibri"/>
                        <a:cs typeface="Calibri"/>
                        <a:sym typeface="Calibri"/>
                      </a:rPr>
                      <a:t>Movimentação de Contêineres na Cabotagem em 2022 - TEU</a:t>
                    </a:r>
                    <a:endParaRPr sz="1400"/>
                  </a:p>
                </xdr:txBody>
              </xdr:sp>
              <xdr:sp>
                <xdr:nvSpPr>
                  <xdr:cNvPr descr="{&quot;Id&quot;:&quot;9878E9C9-866E-48E6-AD4C-0AA3EE378B33&quot;,&quot;Value&quot;:19.0,&quot;Percentage&quot;:1.665423442675687E-05}" id="340" name="Shape 340"/>
                  <xdr:cNvSpPr/>
                </xdr:nvSpPr>
                <xdr:spPr>
                  <a:xfrm>
                    <a:off x="18317211" y="15440661"/>
                    <a:ext cx="2540000" cy="63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13903.0,&quot;Percentage&quot;:0.012186516907115828}" id="341" name="Shape 341"/>
                  <xdr:cNvSpPr/>
                </xdr:nvSpPr>
                <xdr:spPr>
                  <a:xfrm>
                    <a:off x="18317211" y="15440723"/>
                    <a:ext cx="2540000" cy="46431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16790.0,&quot;Percentage&quot;:0.014717084001328833}" id="342" name="Shape 342"/>
                  <xdr:cNvSpPr/>
                </xdr:nvSpPr>
                <xdr:spPr>
                  <a:xfrm>
                    <a:off x="18317211" y="15487155"/>
                    <a:ext cx="2540000" cy="56073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6665.0,&quot;Percentage&quot;:0.0058421301291755011}" id="343" name="Shape 343"/>
                  <xdr:cNvSpPr/>
                </xdr:nvSpPr>
                <xdr:spPr>
                  <a:xfrm>
                    <a:off x="18317211" y="15543228"/>
                    <a:ext cx="2540000" cy="22259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15100.0,&quot;Percentage&quot;:0.013235733676001511}" id="344" name="Shape 344"/>
                  <xdr:cNvSpPr/>
                </xdr:nvSpPr>
                <xdr:spPr>
                  <a:xfrm>
                    <a:off x="18317211" y="15565488"/>
                    <a:ext cx="2540000" cy="5042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112595.0,&quot;Percentage&quot;:0.098693869751615246}" id="345" name="Shape 345"/>
                  <xdr:cNvSpPr/>
                </xdr:nvSpPr>
                <xdr:spPr>
                  <a:xfrm>
                    <a:off x="18317211" y="15615916"/>
                    <a:ext cx="2540000" cy="37602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6.0,&quot;Percentage&quot;:5.2592319242390113E-06}" id="346" name="Shape 346"/>
                  <xdr:cNvSpPr/>
                </xdr:nvSpPr>
                <xdr:spPr>
                  <a:xfrm>
                    <a:off x="18317211" y="15991939"/>
                    <a:ext cx="2540000" cy="2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11569.0,&quot;Percentage&quot;:0.010140675688586853}" id="347" name="Shape 347"/>
                  <xdr:cNvSpPr/>
                </xdr:nvSpPr>
                <xdr:spPr>
                  <a:xfrm>
                    <a:off x="18317211" y="15991959"/>
                    <a:ext cx="2540000" cy="3863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1417.0,&quot;Percentage&quot;:0.0012420552727744464}" id="348" name="Shape 348"/>
                  <xdr:cNvSpPr/>
                </xdr:nvSpPr>
                <xdr:spPr>
                  <a:xfrm>
                    <a:off x="18317211" y="16030595"/>
                    <a:ext cx="2540000" cy="473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E403E87-ED8F-471E-BB66-6D176B1616CE&quot;,&quot;Value&quot;:8179.0,&quot;Percentage&quot;:0.0071692096513918122}" id="349" name="Shape 349"/>
                  <xdr:cNvSpPr/>
                </xdr:nvSpPr>
                <xdr:spPr>
                  <a:xfrm>
                    <a:off x="18317211" y="16162325"/>
                    <a:ext cx="2540000" cy="2731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E403E87-ED8F-471E-BB66-6D176B1616CE&quot;,&quot;Value&quot;:82.0,&quot;Percentage&quot;:7.1876169631266486E-05}" id="350" name="Shape 350"/>
                  <xdr:cNvSpPr/>
                </xdr:nvSpPr>
                <xdr:spPr>
                  <a:xfrm>
                    <a:off x="18317211" y="16189641"/>
                    <a:ext cx="2540000" cy="27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E403E87-ED8F-471E-BB66-6D176B1616CE&quot;,&quot;Value&quot;:5105.0,&quot;Percentage&quot;:0.0044747298288733582}" id="351" name="Shape 351"/>
                  <xdr:cNvSpPr/>
                </xdr:nvSpPr>
                <xdr:spPr>
                  <a:xfrm>
                    <a:off x="18317211" y="16189914"/>
                    <a:ext cx="2540000" cy="17049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E403E87-ED8F-471E-BB66-6D176B1616CE&quot;,&quot;Value&quot;:217.0,&quot;Percentage&quot;:0.00019020888792664424}" id="352" name="Shape 352"/>
                  <xdr:cNvSpPr/>
                </xdr:nvSpPr>
                <xdr:spPr>
                  <a:xfrm>
                    <a:off x="18317211" y="16206963"/>
                    <a:ext cx="2540000" cy="72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E403E87-ED8F-471E-BB66-6D176B1616CE&quot;,&quot;Value&quot;:39.0,&quot;Percentage&quot;:3.4185007507553571E-05}" id="353" name="Shape 353"/>
                  <xdr:cNvSpPr/>
                </xdr:nvSpPr>
                <xdr:spPr>
                  <a:xfrm>
                    <a:off x="18317211" y="16207688"/>
                    <a:ext cx="2540000" cy="13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38E7C54-C1D6-4426-9E3B-50ABA66E72CB&quot;,&quot;Value&quot;:111.0,&quot;Percentage&quot;:9.72957905984217E-05}" id="354" name="Shape 354"/>
                  <xdr:cNvSpPr/>
                </xdr:nvSpPr>
                <xdr:spPr>
                  <a:xfrm>
                    <a:off x="18317211" y="16334817"/>
                    <a:ext cx="2540000" cy="37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38E7C54-C1D6-4426-9E3B-50ABA66E72CB&quot;,&quot;Value&quot;:104.0,&quot;Percentage&quot;:9.1160020020142853E-05}" id="355" name="Shape 355"/>
                  <xdr:cNvSpPr/>
                </xdr:nvSpPr>
                <xdr:spPr>
                  <a:xfrm>
                    <a:off x="18317211" y="16335188"/>
                    <a:ext cx="2540000" cy="34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38E7C54-C1D6-4426-9E3B-50ABA66E72CB&quot;,&quot;Value&quot;:15.0,&quot;Percentage&quot;:1.3148079810597528E-05}" id="356" name="Shape 356"/>
                  <xdr:cNvSpPr/>
                </xdr:nvSpPr>
                <xdr:spPr>
                  <a:xfrm>
                    <a:off x="18317211" y="16335534"/>
                    <a:ext cx="2540000" cy="49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23842.0,&quot;Percentage&quot;:0.020898434589617751}" id="357" name="Shape 357"/>
                  <xdr:cNvSpPr/>
                </xdr:nvSpPr>
                <xdr:spPr>
                  <a:xfrm>
                    <a:off x="18317211" y="16462584"/>
                    <a:ext cx="2540000" cy="79623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2473.0,&quot;Percentage&quot;:0.0021676800914405122}" id="358" name="Shape 358"/>
                  <xdr:cNvSpPr/>
                </xdr:nvSpPr>
                <xdr:spPr>
                  <a:xfrm>
                    <a:off x="18317211" y="16542206"/>
                    <a:ext cx="2540000" cy="8259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384.0,&quot;Percentage&quot;:0.00033659084315129672}" id="359" name="Shape 359"/>
                  <xdr:cNvSpPr/>
                </xdr:nvSpPr>
                <xdr:spPr>
                  <a:xfrm>
                    <a:off x="18317211" y="16550466"/>
                    <a:ext cx="2540000" cy="128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5278.0,&quot;Percentage&quot;:0.00462637101602225}" id="360" name="Shape 360"/>
                  <xdr:cNvSpPr/>
                </xdr:nvSpPr>
                <xdr:spPr>
                  <a:xfrm>
                    <a:off x="18317211" y="16551748"/>
                    <a:ext cx="2540000" cy="1762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697.0,&quot;Percentage&quot;:0.00061094744186576515}" id="361" name="Shape 361"/>
                  <xdr:cNvSpPr/>
                </xdr:nvSpPr>
                <xdr:spPr>
                  <a:xfrm>
                    <a:off x="18317211" y="16569375"/>
                    <a:ext cx="2540000" cy="232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2335.0,&quot;Percentage&quot;:0.0020467177571830151}" id="362" name="Shape 362"/>
                  <xdr:cNvSpPr/>
                </xdr:nvSpPr>
                <xdr:spPr>
                  <a:xfrm>
                    <a:off x="18317211" y="16571702"/>
                    <a:ext cx="2540000" cy="779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25277.0,&quot;Percentage&quot;:0.022156267558164914}" id="363" name="Shape 363"/>
                  <xdr:cNvSpPr/>
                </xdr:nvSpPr>
                <xdr:spPr>
                  <a:xfrm>
                    <a:off x="18317211" y="16579500"/>
                    <a:ext cx="2540000" cy="8441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10587.0,&quot;Percentage&quot;:0.0092799147303197355}" id="364" name="Shape 364"/>
                  <xdr:cNvSpPr/>
                </xdr:nvSpPr>
                <xdr:spPr>
                  <a:xfrm>
                    <a:off x="18317211" y="16663916"/>
                    <a:ext cx="2540000" cy="3535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1164.0,&quot;Percentage&quot;:0.0010202909933023682}" id="365" name="Shape 365"/>
                  <xdr:cNvSpPr/>
                </xdr:nvSpPr>
                <xdr:spPr>
                  <a:xfrm>
                    <a:off x="18317211" y="16699270"/>
                    <a:ext cx="2540000" cy="388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40255.0,&quot;Percentage&quot;:0.035285063518373565}" id="366" name="Shape 366"/>
                  <xdr:cNvSpPr/>
                </xdr:nvSpPr>
                <xdr:spPr>
                  <a:xfrm>
                    <a:off x="18317211" y="16830159"/>
                    <a:ext cx="2540000" cy="13443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885.0,&quot;Percentage&quot;:0.00077573670882525409}" id="367" name="Shape 367"/>
                  <xdr:cNvSpPr/>
                </xdr:nvSpPr>
                <xdr:spPr>
                  <a:xfrm>
                    <a:off x="18317211" y="16964597"/>
                    <a:ext cx="2540000" cy="295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12390.0,&quot;Percentage&quot;:0.010860313923553558}" id="368" name="Shape 368"/>
                  <xdr:cNvSpPr/>
                </xdr:nvSpPr>
                <xdr:spPr>
                  <a:xfrm>
                    <a:off x="18317211" y="16967550"/>
                    <a:ext cx="2540000" cy="4137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4273.0,&quot;Percentage&quot;:0.0037454496687122159}" id="369" name="Shape 369"/>
                  <xdr:cNvSpPr/>
                </xdr:nvSpPr>
                <xdr:spPr>
                  <a:xfrm>
                    <a:off x="18317211" y="17008928"/>
                    <a:ext cx="2540000" cy="1427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223.0,&quot;Percentage&quot;:0.00019546811985088325}" id="370" name="Shape 370"/>
                  <xdr:cNvSpPr/>
                </xdr:nvSpPr>
                <xdr:spPr>
                  <a:xfrm>
                    <a:off x="18317211" y="17023198"/>
                    <a:ext cx="2540000" cy="74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5021.0,&quot;Percentage&quot;:0.0044011005819340121}" id="371" name="Shape 371"/>
                  <xdr:cNvSpPr/>
                </xdr:nvSpPr>
                <xdr:spPr>
                  <a:xfrm>
                    <a:off x="18317211" y="17023942"/>
                    <a:ext cx="2540000" cy="1676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28128.0,&quot;Percentage&quot;:0.024655279260832483}" id="372" name="Shape 372"/>
                  <xdr:cNvSpPr/>
                </xdr:nvSpPr>
                <xdr:spPr>
                  <a:xfrm>
                    <a:off x="18317211" y="17040709"/>
                    <a:ext cx="2540000" cy="9393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9.0,&quot;Percentage&quot;:7.8888478863585169E-06}" id="373" name="Shape 373"/>
                  <xdr:cNvSpPr/>
                </xdr:nvSpPr>
                <xdr:spPr>
                  <a:xfrm>
                    <a:off x="18317211" y="17134647"/>
                    <a:ext cx="2540000" cy="3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9423.0,&quot;Percentage&quot;:0.0082596237370173662}" id="374" name="Shape 374"/>
                  <xdr:cNvSpPr/>
                </xdr:nvSpPr>
                <xdr:spPr>
                  <a:xfrm>
                    <a:off x="18317211" y="17134678"/>
                    <a:ext cx="2540000" cy="3147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2190.0,&quot;Percentage&quot;:0.001919619652347239}" id="375" name="Shape 375"/>
                  <xdr:cNvSpPr/>
                </xdr:nvSpPr>
                <xdr:spPr>
                  <a:xfrm>
                    <a:off x="18317211" y="17166148"/>
                    <a:ext cx="2540000" cy="731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7339.0,&quot;Percentage&quot;:0.00643291718199835}" id="376" name="Shape 376"/>
                  <xdr:cNvSpPr/>
                </xdr:nvSpPr>
                <xdr:spPr>
                  <a:xfrm>
                    <a:off x="18317211" y="17300463"/>
                    <a:ext cx="2540000" cy="245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164.0,&quot;Percentage&quot;:0.00014375233926253297}" id="377" name="Shape 377"/>
                  <xdr:cNvSpPr/>
                </xdr:nvSpPr>
                <xdr:spPr>
                  <a:xfrm>
                    <a:off x="18317211" y="17324972"/>
                    <a:ext cx="2540000" cy="54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5495.0,&quot;Percentage&quot;:0.0048165799039488946}" id="378" name="Shape 378"/>
                  <xdr:cNvSpPr/>
                </xdr:nvSpPr>
                <xdr:spPr>
                  <a:xfrm>
                    <a:off x="18317211" y="17325519"/>
                    <a:ext cx="2540000" cy="18351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4078.0,&quot;Percentage&quot;:0.0035745246311744477}" id="379" name="Shape 379"/>
                  <xdr:cNvSpPr/>
                </xdr:nvSpPr>
                <xdr:spPr>
                  <a:xfrm>
                    <a:off x="18317211" y="17343872"/>
                    <a:ext cx="2540000" cy="13619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127.0,&quot;Percentage&quot;:0.00011132040906305907}" id="380" name="Shape 380"/>
                  <xdr:cNvSpPr/>
                </xdr:nvSpPr>
                <xdr:spPr>
                  <a:xfrm>
                    <a:off x="18317211" y="17357491"/>
                    <a:ext cx="2540000" cy="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3909.0,&quot;Percentage&quot;:0.0034263895986417158}" id="381" name="Shape 381"/>
                  <xdr:cNvSpPr/>
                </xdr:nvSpPr>
                <xdr:spPr>
                  <a:xfrm>
                    <a:off x="18317211" y="17357917"/>
                    <a:ext cx="2540000" cy="1305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33493.0,&quot;Percentage&quot;:0.0293579091397562}" id="382" name="Shape 382"/>
                  <xdr:cNvSpPr/>
                </xdr:nvSpPr>
                <xdr:spPr>
                  <a:xfrm>
                    <a:off x="18317211" y="17370970"/>
                    <a:ext cx="2540000" cy="111853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274.0,&quot;Percentage&quot;:0.00024017159120691485}" id="383" name="Shape 383"/>
                  <xdr:cNvSpPr/>
                </xdr:nvSpPr>
                <xdr:spPr>
                  <a:xfrm>
                    <a:off x="18317211" y="17482827"/>
                    <a:ext cx="2540000" cy="91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5401.0,&quot;Percentage&quot;:0.00473418527046915}" id="384" name="Shape 384"/>
                  <xdr:cNvSpPr/>
                </xdr:nvSpPr>
                <xdr:spPr>
                  <a:xfrm>
                    <a:off x="18317211" y="17483741"/>
                    <a:ext cx="2540000" cy="1803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1125.0,&quot;Percentage&quot;:0.00098610598579481463}" id="385" name="Shape 385"/>
                  <xdr:cNvSpPr/>
                </xdr:nvSpPr>
                <xdr:spPr>
                  <a:xfrm>
                    <a:off x="18317211" y="17501778"/>
                    <a:ext cx="2540000" cy="375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CC00BE6-581A-407F-9B33-575D7E9B68E4&quot;,&quot;Value&quot;:2520.0,&quot;Percentage&quot;:0.0022088774081803846}" id="386" name="Shape 386"/>
                  <xdr:cNvSpPr/>
                </xdr:nvSpPr>
                <xdr:spPr>
                  <a:xfrm>
                    <a:off x="18317211" y="17632531"/>
                    <a:ext cx="2540000" cy="841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CC00BE6-581A-407F-9B33-575D7E9B68E4&quot;,&quot;Value&quot;:61.0,&quot;Percentage&quot;:5.3468857896429945E-05}" id="387" name="Shape 387"/>
                  <xdr:cNvSpPr/>
                </xdr:nvSpPr>
                <xdr:spPr>
                  <a:xfrm>
                    <a:off x="18317211" y="17640948"/>
                    <a:ext cx="2540000" cy="203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CC00BE6-581A-407F-9B33-575D7E9B68E4&quot;,&quot;Value&quot;:45757.0,&quot;Percentage&quot;:0.04010777919290074}" id="388" name="Shape 388"/>
                  <xdr:cNvSpPr/>
                </xdr:nvSpPr>
                <xdr:spPr>
                  <a:xfrm>
                    <a:off x="18317211" y="17641152"/>
                    <a:ext cx="2540000" cy="152811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CC00BE6-581A-407F-9B33-575D7E9B68E4&quot;,&quot;Value&quot;:10471.0,&quot;Percentage&quot;:0.0091782362464511141}" id="389" name="Shape 389"/>
                  <xdr:cNvSpPr/>
                </xdr:nvSpPr>
                <xdr:spPr>
                  <a:xfrm>
                    <a:off x="18317211" y="17793963"/>
                    <a:ext cx="2540000" cy="3497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CC00BE6-581A-407F-9B33-575D7E9B68E4&quot;,&quot;Value&quot;:128.0,&quot;Percentage&quot;:0.0001121969477170989}" id="390" name="Shape 390"/>
                  <xdr:cNvSpPr/>
                </xdr:nvSpPr>
                <xdr:spPr>
                  <a:xfrm>
                    <a:off x="18317211" y="17828933"/>
                    <a:ext cx="2540000" cy="42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CC00BE6-581A-407F-9B33-575D7E9B68E4&quot;,&quot;Value&quot;:18.0,&quot;Percentage&quot;:1.5777695772717034E-05}" id="391" name="Shape 391"/>
                  <xdr:cNvSpPr/>
                </xdr:nvSpPr>
                <xdr:spPr>
                  <a:xfrm>
                    <a:off x="18317211" y="17829359"/>
                    <a:ext cx="2540000" cy="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8434.0,&quot;Percentage&quot;:0.00739272700817197}" id="392" name="Shape 392"/>
                  <xdr:cNvSpPr/>
                </xdr:nvSpPr>
                <xdr:spPr>
                  <a:xfrm>
                    <a:off x="18317211" y="17956420"/>
                    <a:ext cx="2540000" cy="2816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20.0,&quot;Percentage&quot;:1.7530773080796702E-05}" id="393" name="Shape 393"/>
                  <xdr:cNvSpPr/>
                </xdr:nvSpPr>
                <xdr:spPr>
                  <a:xfrm>
                    <a:off x="18317211" y="17984586"/>
                    <a:ext cx="2540000" cy="6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3157.0,&quot;Percentage&quot;:0.0027672325308037596}" id="394" name="Shape 394"/>
                  <xdr:cNvSpPr/>
                </xdr:nvSpPr>
                <xdr:spPr>
                  <a:xfrm>
                    <a:off x="18317211" y="17984653"/>
                    <a:ext cx="2540000" cy="10543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12323.0,&quot;Percentage&quot;:0.010801585833732889}" id="395" name="Shape 395"/>
                  <xdr:cNvSpPr/>
                </xdr:nvSpPr>
                <xdr:spPr>
                  <a:xfrm>
                    <a:off x="18317211" y="17995195"/>
                    <a:ext cx="2540000" cy="4115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8279.0,&quot;Percentage&quot;:0.0072568635167957951}" id="396" name="Shape 396"/>
                  <xdr:cNvSpPr/>
                </xdr:nvSpPr>
                <xdr:spPr>
                  <a:xfrm>
                    <a:off x="18317211" y="18036350"/>
                    <a:ext cx="2540000" cy="2764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44944.0,&quot;Percentage&quot;:0.039395153267166354}" id="397" name="Shape 397"/>
                  <xdr:cNvSpPr/>
                </xdr:nvSpPr>
                <xdr:spPr>
                  <a:xfrm>
                    <a:off x="18317211" y="18063998"/>
                    <a:ext cx="2540000" cy="15009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7520.0,&quot;Percentage&quot;:0.0065915706783795606}" id="398" name="Shape 398"/>
                  <xdr:cNvSpPr/>
                </xdr:nvSpPr>
                <xdr:spPr>
                  <a:xfrm>
                    <a:off x="18317211" y="18214094"/>
                    <a:ext cx="2540000" cy="2511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322.0,&quot;Percentage&quot;:0.00028224544660082694}" id="399" name="Shape 399"/>
                  <xdr:cNvSpPr/>
                </xdr:nvSpPr>
                <xdr:spPr>
                  <a:xfrm>
                    <a:off x="18317211" y="18239209"/>
                    <a:ext cx="2540000" cy="107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3292.0,&quot;Percentage&quot;:0.0028855652490991372}" id="400" name="Shape 400"/>
                  <xdr:cNvSpPr/>
                </xdr:nvSpPr>
                <xdr:spPr>
                  <a:xfrm>
                    <a:off x="18317211" y="18240284"/>
                    <a:ext cx="2540000" cy="1099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4.0,&quot;Percentage&quot;:3.5061546161593406E-06}" id="401" name="Shape 401"/>
                  <xdr:cNvSpPr/>
                </xdr:nvSpPr>
                <xdr:spPr>
                  <a:xfrm>
                    <a:off x="18317211" y="18251278"/>
                    <a:ext cx="2540000" cy="1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44756.0,&quot;Percentage&quot;:0.039230364000206866}" id="402" name="Shape 402"/>
                  <xdr:cNvSpPr/>
                </xdr:nvSpPr>
                <xdr:spPr>
                  <a:xfrm>
                    <a:off x="18317211" y="18378292"/>
                    <a:ext cx="2540000" cy="149469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2.0,&quot;Percentage&quot;:1.7530773080796703E-06}" id="403" name="Shape 403"/>
                  <xdr:cNvSpPr/>
                </xdr:nvSpPr>
                <xdr:spPr>
                  <a:xfrm>
                    <a:off x="18317211" y="18527761"/>
                    <a:ext cx="2540000" cy="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2303.0,&quot;Percentage&quot;:0.00201866852025374}" id="404" name="Shape 404"/>
                  <xdr:cNvSpPr/>
                </xdr:nvSpPr>
                <xdr:spPr>
                  <a:xfrm>
                    <a:off x="18317211" y="18527767"/>
                    <a:ext cx="2540000" cy="7691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56746.0,&quot;Percentage&quot;:0.049740062462144484}" id="405" name="Shape 405"/>
                  <xdr:cNvSpPr/>
                </xdr:nvSpPr>
                <xdr:spPr>
                  <a:xfrm>
                    <a:off x="18317211" y="18535459"/>
                    <a:ext cx="2540000" cy="1895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69572.0,&quot;Percentage&quot;:0.060982547238859409}" id="406" name="Shape 406"/>
                  <xdr:cNvSpPr/>
                </xdr:nvSpPr>
                <xdr:spPr>
                  <a:xfrm>
                    <a:off x="18317211" y="18724969"/>
                    <a:ext cx="2540000" cy="23234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11507.0,&quot;Percentage&quot;:0.010086330292036384}" id="407" name="Shape 407"/>
                  <xdr:cNvSpPr/>
                </xdr:nvSpPr>
                <xdr:spPr>
                  <a:xfrm>
                    <a:off x="18317211" y="18957313"/>
                    <a:ext cx="2540000" cy="3842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29400.0,&quot;Percentage&quot;:0.025770236428771152}" id="408" name="Shape 408"/>
                  <xdr:cNvSpPr/>
                </xdr:nvSpPr>
                <xdr:spPr>
                  <a:xfrm>
                    <a:off x="18317211" y="18995741"/>
                    <a:ext cx="2540000" cy="9818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20962.0,&quot;Percentage&quot;:0.018374003265983024}" id="409" name="Shape 409"/>
                  <xdr:cNvSpPr/>
                </xdr:nvSpPr>
                <xdr:spPr>
                  <a:xfrm>
                    <a:off x="18317211" y="19093923"/>
                    <a:ext cx="2540000" cy="7000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56327.0,&quot;Percentage&quot;:0.0493727927661018}" id="410" name="Shape 410"/>
                  <xdr:cNvSpPr/>
                </xdr:nvSpPr>
                <xdr:spPr>
                  <a:xfrm>
                    <a:off x="18317211" y="19163930"/>
                    <a:ext cx="2540000" cy="188111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39711.0,&quot;Percentage&quot;:0.0348082264905759}" id="411" name="Shape 411"/>
                  <xdr:cNvSpPr/>
                </xdr:nvSpPr>
                <xdr:spPr>
                  <a:xfrm>
                    <a:off x="18317211" y="19352039"/>
                    <a:ext cx="2540000" cy="13262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18.0,&quot;Percentage&quot;:1.5777695772717034E-05}" id="412" name="Shape 412"/>
                  <xdr:cNvSpPr/>
                </xdr:nvSpPr>
                <xdr:spPr>
                  <a:xfrm>
                    <a:off x="18317211" y="19484659"/>
                    <a:ext cx="2540000" cy="61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C7CC21C-F789-4CBC-9E84-3B8404EF4D25&quot;,&quot;Value&quot;:29.0,&quot;Percentage&quot;:2.5419620967155221E-05}" id="413" name="Shape 413"/>
                  <xdr:cNvSpPr/>
                </xdr:nvSpPr>
                <xdr:spPr>
                  <a:xfrm>
                    <a:off x="18317211" y="19611720"/>
                    <a:ext cx="2540000" cy="9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C7CC21C-F789-4CBC-9E84-3B8404EF4D25&quot;,&quot;Value&quot;:11.0,&quot;Percentage&quot;:9.6419251944381867E-06}" id="414" name="Shape 414"/>
                  <xdr:cNvSpPr/>
                </xdr:nvSpPr>
                <xdr:spPr>
                  <a:xfrm>
                    <a:off x="18317211" y="19611817"/>
                    <a:ext cx="2540000" cy="3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C7CC21C-F789-4CBC-9E84-3B8404EF4D25&quot;,&quot;Value&quot;:127.0,&quot;Percentage&quot;:0.00011132040906305907}" id="415" name="Shape 415"/>
                  <xdr:cNvSpPr/>
                </xdr:nvSpPr>
                <xdr:spPr>
                  <a:xfrm>
                    <a:off x="18317211" y="19611853"/>
                    <a:ext cx="2540000" cy="42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C7CC21C-F789-4CBC-9E84-3B8404EF4D25&quot;,&quot;Value&quot;:191.0,&quot;Percentage&quot;:0.00016741888292160851}" id="416" name="Shape 416"/>
                  <xdr:cNvSpPr/>
                </xdr:nvSpPr>
                <xdr:spPr>
                  <a:xfrm>
                    <a:off x="18317211" y="19612277"/>
                    <a:ext cx="2540000" cy="63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C7CC21C-F789-4CBC-9E84-3B8404EF4D25&quot;,&quot;Value&quot;:2911.0,&quot;Percentage&quot;:0.0025516040219099602}" id="417" name="Shape 417"/>
                  <xdr:cNvSpPr/>
                </xdr:nvSpPr>
                <xdr:spPr>
                  <a:xfrm>
                    <a:off x="18317211" y="19612913"/>
                    <a:ext cx="2540000" cy="972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36324.0,&quot;Percentage&quot;:0.031839390069342971}" id="418" name="Shape 418"/>
                  <xdr:cNvSpPr/>
                </xdr:nvSpPr>
                <xdr:spPr>
                  <a:xfrm>
                    <a:off x="18317211" y="19749638"/>
                    <a:ext cx="2540000" cy="12130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1666.0,&quot;Percentage&quot;:0.0014603133976303655}" id="419" name="Shape 419"/>
                  <xdr:cNvSpPr/>
                </xdr:nvSpPr>
                <xdr:spPr>
                  <a:xfrm>
                    <a:off x="18317211" y="19870945"/>
                    <a:ext cx="2540000" cy="556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45197.0,&quot;Percentage&quot;:0.03961691754663843}" id="420" name="Shape 420"/>
                  <xdr:cNvSpPr/>
                </xdr:nvSpPr>
                <xdr:spPr>
                  <a:xfrm>
                    <a:off x="18317211" y="19876508"/>
                    <a:ext cx="2540000" cy="150941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63792.0,&quot;Percentage&quot;:0.055916153818509166}" id="421" name="Shape 421"/>
                  <xdr:cNvSpPr/>
                </xdr:nvSpPr>
                <xdr:spPr>
                  <a:xfrm>
                    <a:off x="18317211" y="20027448"/>
                    <a:ext cx="2540000" cy="21304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11283.0,&quot;Percentage&quot;:0.00988998563353146}" id="422" name="Shape 422"/>
                  <xdr:cNvSpPr/>
                </xdr:nvSpPr>
                <xdr:spPr>
                  <a:xfrm>
                    <a:off x="18317211" y="20240488"/>
                    <a:ext cx="2540000" cy="37681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3547.0,&quot;Percentage&quot;:0.0031090826058792955}" id="423" name="Shape 423"/>
                  <xdr:cNvSpPr/>
                </xdr:nvSpPr>
                <xdr:spPr>
                  <a:xfrm>
                    <a:off x="18317211" y="20278170"/>
                    <a:ext cx="2540000" cy="118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1154.0,&quot;Percentage&quot;:0.0010115256067619698}" id="424" name="Shape 424"/>
                  <xdr:cNvSpPr/>
                </xdr:nvSpPr>
                <xdr:spPr>
                  <a:xfrm>
                    <a:off x="18317211" y="20290016"/>
                    <a:ext cx="2540000" cy="385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7853.0,&quot;Percentage&quot;:0.0068834580501748255}" id="425" name="Shape 425"/>
                  <xdr:cNvSpPr/>
                </xdr:nvSpPr>
                <xdr:spPr>
                  <a:xfrm>
                    <a:off x="18317211" y="20293870"/>
                    <a:ext cx="2540000" cy="2622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5658.0,&quot;Percentage&quot;:0.004959455704557387}" id="426" name="Shape 426"/>
                  <xdr:cNvSpPr/>
                </xdr:nvSpPr>
                <xdr:spPr>
                  <a:xfrm>
                    <a:off x="18317211" y="20320095"/>
                    <a:ext cx="2540000" cy="1889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22.0,&quot;Percentage&quot;:1.9283850388876373E-05}" id="427" name="Shape 427"/>
                  <xdr:cNvSpPr/>
                </xdr:nvSpPr>
                <xdr:spPr>
                  <a:xfrm>
                    <a:off x="18317211" y="20338991"/>
                    <a:ext cx="2540000" cy="73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5024.0,&quot;Percentage&quot;:0.0044037301978961316}" id="428" name="Shape 428"/>
                  <xdr:cNvSpPr/>
                </xdr:nvSpPr>
                <xdr:spPr>
                  <a:xfrm>
                    <a:off x="18317211" y="20466066"/>
                    <a:ext cx="2540000" cy="1677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1488.0,&quot;Percentage&quot;:0.0013042895172112748}" id="429" name="Shape 429"/>
                  <xdr:cNvSpPr/>
                </xdr:nvSpPr>
                <xdr:spPr>
                  <a:xfrm>
                    <a:off x="18317211" y="20482844"/>
                    <a:ext cx="2540000" cy="496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18257.0,&quot;Percentage&quot;:0.016002966206805271}" id="430" name="Shape 430"/>
                  <xdr:cNvSpPr/>
                </xdr:nvSpPr>
                <xdr:spPr>
                  <a:xfrm>
                    <a:off x="18317211" y="20487813"/>
                    <a:ext cx="2540000" cy="60971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12652.0,&quot;Percentage&quot;:0.011089967050911994}" id="431" name="Shape 431"/>
                  <xdr:cNvSpPr/>
                </xdr:nvSpPr>
                <xdr:spPr>
                  <a:xfrm>
                    <a:off x="18317211" y="20548783"/>
                    <a:ext cx="2540000" cy="42253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8901.0,&quot;Percentage&quot;:0.0078020705596085725}" id="432" name="Shape 432"/>
                  <xdr:cNvSpPr/>
                </xdr:nvSpPr>
                <xdr:spPr>
                  <a:xfrm>
                    <a:off x="18317211" y="20591038"/>
                    <a:ext cx="2540000" cy="29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34.0,&quot;Percentage&quot;:2.9802314237354396E-05}" id="433" name="Shape 433"/>
                  <xdr:cNvSpPr/>
                </xdr:nvSpPr>
                <xdr:spPr>
                  <a:xfrm>
                    <a:off x="18317211" y="20620763"/>
                    <a:ext cx="2540000" cy="113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3253.0,&quot;Percentage&quot;:0.0028513802415915837}" id="434" name="Shape 434"/>
                  <xdr:cNvSpPr/>
                </xdr:nvSpPr>
                <xdr:spPr>
                  <a:xfrm>
                    <a:off x="18317211" y="20620878"/>
                    <a:ext cx="2540000" cy="1086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208.0,&quot;Percentage&quot;:0.00018232004004028571}" id="435" name="Shape 435"/>
                  <xdr:cNvSpPr/>
                </xdr:nvSpPr>
                <xdr:spPr>
                  <a:xfrm>
                    <a:off x="18317211" y="20631742"/>
                    <a:ext cx="2540000" cy="69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4560.0,&quot;Percentage&quot;:0.0039970162624216486}" id="436" name="Shape 436"/>
                  <xdr:cNvSpPr/>
                </xdr:nvSpPr>
                <xdr:spPr>
                  <a:xfrm>
                    <a:off x="18317211" y="20632438"/>
                    <a:ext cx="2540000" cy="1522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23842.0,&quot;Percentage&quot;:0.020898434589617751}" id="437" name="Shape 437"/>
                  <xdr:cNvSpPr/>
                </xdr:nvSpPr>
                <xdr:spPr>
                  <a:xfrm>
                    <a:off x="20857211" y="15440661"/>
                    <a:ext cx="2540000" cy="79623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40255.0,&quot;Percentage&quot;:0.035285063518373565}" id="438" name="Shape 438"/>
                  <xdr:cNvSpPr/>
                </xdr:nvSpPr>
                <xdr:spPr>
                  <a:xfrm>
                    <a:off x="20857211" y="15520284"/>
                    <a:ext cx="2540000" cy="13443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7339.0,&quot;Percentage&quot;:0.00643291718199835}" id="439" name="Shape 439"/>
                  <xdr:cNvSpPr/>
                </xdr:nvSpPr>
                <xdr:spPr>
                  <a:xfrm>
                    <a:off x="20857211" y="15654720"/>
                    <a:ext cx="2540000" cy="24511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CC00BE6-581A-407F-9B33-575D7E9B68E4&quot;,&quot;Value&quot;:2520.0,&quot;Percentage&quot;:0.0022088774081803846}" id="440" name="Shape 440"/>
                  <xdr:cNvSpPr/>
                </xdr:nvSpPr>
                <xdr:spPr>
                  <a:xfrm>
                    <a:off x="20857211" y="15679231"/>
                    <a:ext cx="2540000" cy="841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8434.0,&quot;Percentage&quot;:0.00739272700817197}" id="441" name="Shape 441"/>
                  <xdr:cNvSpPr/>
                </xdr:nvSpPr>
                <xdr:spPr>
                  <a:xfrm>
                    <a:off x="20857211" y="15687648"/>
                    <a:ext cx="2540000" cy="2816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44756.0,&quot;Percentage&quot;:0.039230364000206866}" id="442" name="Shape 442"/>
                  <xdr:cNvSpPr/>
                </xdr:nvSpPr>
                <xdr:spPr>
                  <a:xfrm>
                    <a:off x="20857211" y="15715814"/>
                    <a:ext cx="2540000" cy="149469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36324.0,&quot;Percentage&quot;:0.031839390069342971}" id="443" name="Shape 443"/>
                  <xdr:cNvSpPr/>
                </xdr:nvSpPr>
                <xdr:spPr>
                  <a:xfrm>
                    <a:off x="20857211" y="15865283"/>
                    <a:ext cx="2540000" cy="121309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5024.0,&quot;Percentage&quot;:0.0044037301978961316}" id="444" name="Shape 444"/>
                  <xdr:cNvSpPr/>
                </xdr:nvSpPr>
                <xdr:spPr>
                  <a:xfrm>
                    <a:off x="20857211" y="15986592"/>
                    <a:ext cx="2540000" cy="1677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2473.0,&quot;Percentage&quot;:0.0021676800914405122}" id="445" name="Shape 445"/>
                  <xdr:cNvSpPr/>
                </xdr:nvSpPr>
                <xdr:spPr>
                  <a:xfrm>
                    <a:off x="20857211" y="16130366"/>
                    <a:ext cx="2540000" cy="82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2.0,&quot;Percentage&quot;:1.7530773080796703E-06}" id="446" name="Shape 446"/>
                  <xdr:cNvSpPr/>
                </xdr:nvSpPr>
                <xdr:spPr>
                  <a:xfrm>
                    <a:off x="20857211" y="16138627"/>
                    <a:ext cx="2540000" cy="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19.0,&quot;Percentage&quot;:1.665423442675687E-05}" id="447" name="Shape 447"/>
                  <xdr:cNvSpPr/>
                </xdr:nvSpPr>
                <xdr:spPr>
                  <a:xfrm>
                    <a:off x="20857211" y="16265631"/>
                    <a:ext cx="2540000" cy="6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384.0,&quot;Percentage&quot;:0.00033659084315129672}" id="448" name="Shape 448"/>
                  <xdr:cNvSpPr/>
                </xdr:nvSpPr>
                <xdr:spPr>
                  <a:xfrm>
                    <a:off x="20857211" y="16265695"/>
                    <a:ext cx="2540000" cy="128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885.0,&quot;Percentage&quot;:0.00077573670882525409}" id="449" name="Shape 449"/>
                  <xdr:cNvSpPr/>
                </xdr:nvSpPr>
                <xdr:spPr>
                  <a:xfrm>
                    <a:off x="20857211" y="16266978"/>
                    <a:ext cx="2540000" cy="295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164.0,&quot;Percentage&quot;:0.00014375233926253297}" id="450" name="Shape 450"/>
                  <xdr:cNvSpPr/>
                </xdr:nvSpPr>
                <xdr:spPr>
                  <a:xfrm>
                    <a:off x="20857211" y="16269931"/>
                    <a:ext cx="2540000" cy="54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20.0,&quot;Percentage&quot;:1.7530773080796702E-05}" id="451" name="Shape 451"/>
                  <xdr:cNvSpPr/>
                </xdr:nvSpPr>
                <xdr:spPr>
                  <a:xfrm>
                    <a:off x="20857211" y="16270478"/>
                    <a:ext cx="2540000" cy="6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2303.0,&quot;Percentage&quot;:0.00201866852025374}" id="452" name="Shape 452"/>
                  <xdr:cNvSpPr/>
                </xdr:nvSpPr>
                <xdr:spPr>
                  <a:xfrm>
                    <a:off x="20857211" y="16270545"/>
                    <a:ext cx="2540000" cy="7691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1666.0,&quot;Percentage&quot;:0.0014603133976303655}" id="453" name="Shape 453"/>
                  <xdr:cNvSpPr/>
                </xdr:nvSpPr>
                <xdr:spPr>
                  <a:xfrm>
                    <a:off x="20857211" y="16278236"/>
                    <a:ext cx="2540000" cy="556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1488.0,&quot;Percentage&quot;:0.0013042895172112748}" id="454" name="Shape 454"/>
                  <xdr:cNvSpPr/>
                </xdr:nvSpPr>
                <xdr:spPr>
                  <a:xfrm>
                    <a:off x="20857211" y="16283800"/>
                    <a:ext cx="2540000" cy="4969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13903.0,&quot;Percentage&quot;:0.012186516907115828}" id="455" name="Shape 455"/>
                  <xdr:cNvSpPr/>
                </xdr:nvSpPr>
                <xdr:spPr>
                  <a:xfrm>
                    <a:off x="20857211" y="16415772"/>
                    <a:ext cx="2540000" cy="46431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E403E87-ED8F-471E-BB66-6D176B1616CE&quot;,&quot;Value&quot;:8179.0,&quot;Percentage&quot;:0.0071692096513918122}" id="456" name="Shape 456"/>
                  <xdr:cNvSpPr/>
                </xdr:nvSpPr>
                <xdr:spPr>
                  <a:xfrm>
                    <a:off x="20857211" y="16462203"/>
                    <a:ext cx="2540000" cy="2731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38E7C54-C1D6-4426-9E3B-50ABA66E72CB&quot;,&quot;Value&quot;:111.0,&quot;Percentage&quot;:9.72957905984217E-05}" id="457" name="Shape 457"/>
                  <xdr:cNvSpPr/>
                </xdr:nvSpPr>
                <xdr:spPr>
                  <a:xfrm>
                    <a:off x="20857211" y="16489519"/>
                    <a:ext cx="2540000" cy="37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12390.0,&quot;Percentage&quot;:0.010860313923553558}" id="458" name="Shape 458"/>
                  <xdr:cNvSpPr/>
                </xdr:nvSpPr>
                <xdr:spPr>
                  <a:xfrm>
                    <a:off x="20857211" y="16489888"/>
                    <a:ext cx="2540000" cy="4137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5495.0,&quot;Percentage&quot;:0.0048165799039488946}" id="459" name="Shape 459"/>
                  <xdr:cNvSpPr/>
                </xdr:nvSpPr>
                <xdr:spPr>
                  <a:xfrm>
                    <a:off x="20857211" y="16531266"/>
                    <a:ext cx="2540000" cy="18351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3157.0,&quot;Percentage&quot;:0.0027672325308037596}" id="460" name="Shape 460"/>
                  <xdr:cNvSpPr/>
                </xdr:nvSpPr>
                <xdr:spPr>
                  <a:xfrm>
                    <a:off x="20857211" y="16549616"/>
                    <a:ext cx="2540000" cy="1054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56746.0,&quot;Percentage&quot;:0.049740062462144484}" id="461" name="Shape 461"/>
                  <xdr:cNvSpPr/>
                </xdr:nvSpPr>
                <xdr:spPr>
                  <a:xfrm>
                    <a:off x="20857211" y="16560159"/>
                    <a:ext cx="2540000" cy="189509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C7CC21C-F789-4CBC-9E84-3B8404EF4D25&quot;,&quot;Value&quot;:29.0,&quot;Percentage&quot;:2.5419620967155221E-05}" id="462" name="Shape 462"/>
                  <xdr:cNvSpPr/>
                </xdr:nvSpPr>
                <xdr:spPr>
                  <a:xfrm>
                    <a:off x="20857211" y="16749669"/>
                    <a:ext cx="2540000" cy="9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45197.0,&quot;Percentage&quot;:0.03961691754663843}" id="463" name="Shape 463"/>
                  <xdr:cNvSpPr/>
                </xdr:nvSpPr>
                <xdr:spPr>
                  <a:xfrm>
                    <a:off x="20857211" y="16749766"/>
                    <a:ext cx="2540000" cy="15094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18257.0,&quot;Percentage&quot;:0.016002966206805271}" id="464" name="Shape 464"/>
                  <xdr:cNvSpPr/>
                </xdr:nvSpPr>
                <xdr:spPr>
                  <a:xfrm>
                    <a:off x="20857211" y="16900705"/>
                    <a:ext cx="2540000" cy="60971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16790.0,&quot;Percentage&quot;:0.014717084001328833}" id="465" name="Shape 465"/>
                  <xdr:cNvSpPr/>
                </xdr:nvSpPr>
                <xdr:spPr>
                  <a:xfrm>
                    <a:off x="20857211" y="17088678"/>
                    <a:ext cx="2540000" cy="5607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5278.0,&quot;Percentage&quot;:0.00462637101602225}" id="466" name="Shape 466"/>
                  <xdr:cNvSpPr/>
                </xdr:nvSpPr>
                <xdr:spPr>
                  <a:xfrm>
                    <a:off x="20857211" y="17144750"/>
                    <a:ext cx="2540000" cy="1762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4078.0,&quot;Percentage&quot;:0.0035745246311744477}" id="467" name="Shape 467"/>
                  <xdr:cNvSpPr/>
                </xdr:nvSpPr>
                <xdr:spPr>
                  <a:xfrm>
                    <a:off x="20857211" y="17162377"/>
                    <a:ext cx="2540000" cy="1362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CC00BE6-581A-407F-9B33-575D7E9B68E4&quot;,&quot;Value&quot;:61.0,&quot;Percentage&quot;:5.3468857896429945E-05}" id="468" name="Shape 468"/>
                  <xdr:cNvSpPr/>
                </xdr:nvSpPr>
                <xdr:spPr>
                  <a:xfrm>
                    <a:off x="20857211" y="17175995"/>
                    <a:ext cx="2540000" cy="203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12323.0,&quot;Percentage&quot;:0.010801585833732889}" id="469" name="Shape 469"/>
                  <xdr:cNvSpPr/>
                </xdr:nvSpPr>
                <xdr:spPr>
                  <a:xfrm>
                    <a:off x="20857211" y="17176200"/>
                    <a:ext cx="2540000" cy="4115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69572.0,&quot;Percentage&quot;:0.060982547238859409}" id="470" name="Shape 470"/>
                  <xdr:cNvSpPr/>
                </xdr:nvSpPr>
                <xdr:spPr>
                  <a:xfrm>
                    <a:off x="20857211" y="17217355"/>
                    <a:ext cx="2540000" cy="23234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63792.0,&quot;Percentage&quot;:0.055916153818509166}" id="471" name="Shape 471"/>
                  <xdr:cNvSpPr/>
                </xdr:nvSpPr>
                <xdr:spPr>
                  <a:xfrm>
                    <a:off x="20857211" y="17449698"/>
                    <a:ext cx="2540000" cy="213041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12652.0,&quot;Percentage&quot;:0.011089967050911994}" id="472" name="Shape 472"/>
                  <xdr:cNvSpPr/>
                </xdr:nvSpPr>
                <xdr:spPr>
                  <a:xfrm>
                    <a:off x="20857211" y="17662739"/>
                    <a:ext cx="2540000" cy="42253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6665.0,&quot;Percentage&quot;:0.0058421301291755011}" id="473" name="Shape 473"/>
                  <xdr:cNvSpPr/>
                </xdr:nvSpPr>
                <xdr:spPr>
                  <a:xfrm>
                    <a:off x="20857211" y="17831992"/>
                    <a:ext cx="2540000" cy="22259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E403E87-ED8F-471E-BB66-6D176B1616CE&quot;,&quot;Value&quot;:82.0,&quot;Percentage&quot;:7.1876169631266486E-05}" id="474" name="Shape 474"/>
                  <xdr:cNvSpPr/>
                </xdr:nvSpPr>
                <xdr:spPr>
                  <a:xfrm>
                    <a:off x="20857211" y="17854252"/>
                    <a:ext cx="2540000" cy="2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697.0,&quot;Percentage&quot;:0.00061094744186576515}" id="475" name="Shape 475"/>
                  <xdr:cNvSpPr/>
                </xdr:nvSpPr>
                <xdr:spPr>
                  <a:xfrm>
                    <a:off x="20857211" y="17854527"/>
                    <a:ext cx="2540000" cy="232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4273.0,&quot;Percentage&quot;:0.0037454496687122159}" id="476" name="Shape 476"/>
                  <xdr:cNvSpPr/>
                </xdr:nvSpPr>
                <xdr:spPr>
                  <a:xfrm>
                    <a:off x="20857211" y="17856853"/>
                    <a:ext cx="2540000" cy="1427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8279.0,&quot;Percentage&quot;:0.0072568635167957951}" id="477" name="Shape 477"/>
                  <xdr:cNvSpPr/>
                </xdr:nvSpPr>
                <xdr:spPr>
                  <a:xfrm>
                    <a:off x="20857211" y="17871123"/>
                    <a:ext cx="2540000" cy="2764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11507.0,&quot;Percentage&quot;:0.010086330292036384}" id="478" name="Shape 478"/>
                  <xdr:cNvSpPr/>
                </xdr:nvSpPr>
                <xdr:spPr>
                  <a:xfrm>
                    <a:off x="20857211" y="17898773"/>
                    <a:ext cx="2540000" cy="3842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C7CC21C-F789-4CBC-9E84-3B8404EF4D25&quot;,&quot;Value&quot;:11.0,&quot;Percentage&quot;:9.6419251944381867E-06}" id="479" name="Shape 479"/>
                  <xdr:cNvSpPr/>
                </xdr:nvSpPr>
                <xdr:spPr>
                  <a:xfrm>
                    <a:off x="20857211" y="17937202"/>
                    <a:ext cx="2540000" cy="3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11283.0,&quot;Percentage&quot;:0.00988998563353146}" id="480" name="Shape 480"/>
                  <xdr:cNvSpPr/>
                </xdr:nvSpPr>
                <xdr:spPr>
                  <a:xfrm>
                    <a:off x="20857211" y="17937238"/>
                    <a:ext cx="2540000" cy="37681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8901.0,&quot;Percentage&quot;:0.0078020705596085725}" id="481" name="Shape 481"/>
                  <xdr:cNvSpPr/>
                </xdr:nvSpPr>
                <xdr:spPr>
                  <a:xfrm>
                    <a:off x="20857211" y="17974917"/>
                    <a:ext cx="2540000" cy="29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223.0,&quot;Percentage&quot;:0.00019546811985088325}" id="482" name="Shape 482"/>
                  <xdr:cNvSpPr/>
                </xdr:nvSpPr>
                <xdr:spPr>
                  <a:xfrm>
                    <a:off x="20857211" y="18131644"/>
                    <a:ext cx="2540000" cy="74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127.0,&quot;Percentage&quot;:0.00011132040906305907}" id="483" name="Shape 483"/>
                  <xdr:cNvSpPr/>
                </xdr:nvSpPr>
                <xdr:spPr>
                  <a:xfrm>
                    <a:off x="20857211" y="18132388"/>
                    <a:ext cx="2540000" cy="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44944.0,&quot;Percentage&quot;:0.039395153267166354}" id="484" name="Shape 484"/>
                  <xdr:cNvSpPr/>
                </xdr:nvSpPr>
                <xdr:spPr>
                  <a:xfrm>
                    <a:off x="20857211" y="18132813"/>
                    <a:ext cx="2540000" cy="15009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29400.0,&quot;Percentage&quot;:0.025770236428771152}" id="485" name="Shape 485"/>
                  <xdr:cNvSpPr/>
                </xdr:nvSpPr>
                <xdr:spPr>
                  <a:xfrm>
                    <a:off x="20857211" y="18282906"/>
                    <a:ext cx="2540000" cy="9818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15100.0,&quot;Percentage&quot;:0.013235733676001511}" id="486" name="Shape 486"/>
                  <xdr:cNvSpPr/>
                </xdr:nvSpPr>
                <xdr:spPr>
                  <a:xfrm>
                    <a:off x="20857211" y="18508092"/>
                    <a:ext cx="2540000" cy="5042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2335.0,&quot;Percentage&quot;:0.0020467177571830151}" id="487" name="Shape 487"/>
                  <xdr:cNvSpPr/>
                </xdr:nvSpPr>
                <xdr:spPr>
                  <a:xfrm>
                    <a:off x="20857211" y="18558520"/>
                    <a:ext cx="2540000" cy="779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5021.0,&quot;Percentage&quot;:0.0044011005819340121}" id="488" name="Shape 488"/>
                  <xdr:cNvSpPr/>
                </xdr:nvSpPr>
                <xdr:spPr>
                  <a:xfrm>
                    <a:off x="20857211" y="18566319"/>
                    <a:ext cx="2540000" cy="1676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3909.0,&quot;Percentage&quot;:0.0034263895986417158}" id="489" name="Shape 489"/>
                  <xdr:cNvSpPr/>
                </xdr:nvSpPr>
                <xdr:spPr>
                  <a:xfrm>
                    <a:off x="20857211" y="18583086"/>
                    <a:ext cx="2540000" cy="1305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CC00BE6-581A-407F-9B33-575D7E9B68E4&quot;,&quot;Value&quot;:45757.0,&quot;Percentage&quot;:0.04010777919290074}" id="490" name="Shape 490"/>
                  <xdr:cNvSpPr/>
                </xdr:nvSpPr>
                <xdr:spPr>
                  <a:xfrm>
                    <a:off x="20857211" y="18596141"/>
                    <a:ext cx="2540000" cy="152811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20962.0,&quot;Percentage&quot;:0.018374003265983024}" id="491" name="Shape 491"/>
                  <xdr:cNvSpPr/>
                </xdr:nvSpPr>
                <xdr:spPr>
                  <a:xfrm>
                    <a:off x="20857211" y="18748950"/>
                    <a:ext cx="2540000" cy="7000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C7CC21C-F789-4CBC-9E84-3B8404EF4D25&quot;,&quot;Value&quot;:127.0,&quot;Percentage&quot;:0.00011132040906305907}" id="492" name="Shape 492"/>
                  <xdr:cNvSpPr/>
                </xdr:nvSpPr>
                <xdr:spPr>
                  <a:xfrm>
                    <a:off x="20857211" y="18818955"/>
                    <a:ext cx="2540000" cy="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3547.0,&quot;Percentage&quot;:0.0031090826058792955}" id="493" name="Shape 493"/>
                  <xdr:cNvSpPr/>
                </xdr:nvSpPr>
                <xdr:spPr>
                  <a:xfrm>
                    <a:off x="20857211" y="18819381"/>
                    <a:ext cx="2540000" cy="1184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34.0,&quot;Percentage&quot;:2.9802314237354396E-05}" id="494" name="Shape 494"/>
                  <xdr:cNvSpPr/>
                </xdr:nvSpPr>
                <xdr:spPr>
                  <a:xfrm>
                    <a:off x="20857211" y="18831227"/>
                    <a:ext cx="2540000" cy="113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112595.0,&quot;Percentage&quot;:0.098693869751615246}" id="495" name="Shape 495"/>
                  <xdr:cNvSpPr/>
                </xdr:nvSpPr>
                <xdr:spPr>
                  <a:xfrm>
                    <a:off x="20857211" y="18958341"/>
                    <a:ext cx="2540000" cy="37602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E403E87-ED8F-471E-BB66-6D176B1616CE&quot;,&quot;Value&quot;:5105.0,&quot;Percentage&quot;:0.0044747298288733582}" id="496" name="Shape 496"/>
                  <xdr:cNvSpPr/>
                </xdr:nvSpPr>
                <xdr:spPr>
                  <a:xfrm>
                    <a:off x="20857211" y="19334364"/>
                    <a:ext cx="2540000" cy="17049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38E7C54-C1D6-4426-9E3B-50ABA66E72CB&quot;,&quot;Value&quot;:104.0,&quot;Percentage&quot;:9.1160020020142853E-05}" id="497" name="Shape 497"/>
                  <xdr:cNvSpPr/>
                </xdr:nvSpPr>
                <xdr:spPr>
                  <a:xfrm>
                    <a:off x="20857211" y="19351413"/>
                    <a:ext cx="2540000" cy="34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25277.0,&quot;Percentage&quot;:0.022156267558164914}" id="498" name="Shape 498"/>
                  <xdr:cNvSpPr/>
                </xdr:nvSpPr>
                <xdr:spPr>
                  <a:xfrm>
                    <a:off x="20857211" y="19351759"/>
                    <a:ext cx="2540000" cy="8441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28128.0,&quot;Percentage&quot;:0.024655279260832483}" id="499" name="Shape 499"/>
                  <xdr:cNvSpPr/>
                </xdr:nvSpPr>
                <xdr:spPr>
                  <a:xfrm>
                    <a:off x="20857211" y="19436175"/>
                    <a:ext cx="2540000" cy="9393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33493.0,&quot;Percentage&quot;:0.0293579091397562}" id="500" name="Shape 500"/>
                  <xdr:cNvSpPr/>
                </xdr:nvSpPr>
                <xdr:spPr>
                  <a:xfrm>
                    <a:off x="20857211" y="19530113"/>
                    <a:ext cx="2540000" cy="11185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CC00BE6-581A-407F-9B33-575D7E9B68E4&quot;,&quot;Value&quot;:10471.0,&quot;Percentage&quot;:0.0091782362464511141}" id="501" name="Shape 501"/>
                  <xdr:cNvSpPr/>
                </xdr:nvSpPr>
                <xdr:spPr>
                  <a:xfrm>
                    <a:off x="20857211" y="19641966"/>
                    <a:ext cx="2540000" cy="34969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7520.0,&quot;Percentage&quot;:0.0065915706783795606}" id="502" name="Shape 502"/>
                  <xdr:cNvSpPr/>
                </xdr:nvSpPr>
                <xdr:spPr>
                  <a:xfrm>
                    <a:off x="20857211" y="19676931"/>
                    <a:ext cx="2540000" cy="25113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C7CC21C-F789-4CBC-9E84-3B8404EF4D25&quot;,&quot;Value&quot;:191.0,&quot;Percentage&quot;:0.00016741888292160851}" id="503" name="Shape 503"/>
                  <xdr:cNvSpPr/>
                </xdr:nvSpPr>
                <xdr:spPr>
                  <a:xfrm>
                    <a:off x="20857211" y="19702045"/>
                    <a:ext cx="2540000" cy="63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1154.0,&quot;Percentage&quot;:0.0010115256067619698}" id="504" name="Shape 504"/>
                  <xdr:cNvSpPr/>
                </xdr:nvSpPr>
                <xdr:spPr>
                  <a:xfrm>
                    <a:off x="20857211" y="19702683"/>
                    <a:ext cx="2540000" cy="385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3253.0,&quot;Percentage&quot;:0.0028513802415915837}" id="505" name="Shape 505"/>
                  <xdr:cNvSpPr/>
                </xdr:nvSpPr>
                <xdr:spPr>
                  <a:xfrm>
                    <a:off x="20857211" y="19706538"/>
                    <a:ext cx="2540000" cy="1086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6.0,&quot;Percentage&quot;:5.2592319242390113E-06}" id="506" name="Shape 506"/>
                  <xdr:cNvSpPr/>
                </xdr:nvSpPr>
                <xdr:spPr>
                  <a:xfrm>
                    <a:off x="20857211" y="19844405"/>
                    <a:ext cx="2540000" cy="2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9.0,&quot;Percentage&quot;:7.8888478863585169E-06}" id="507" name="Shape 507"/>
                  <xdr:cNvSpPr/>
                </xdr:nvSpPr>
                <xdr:spPr>
                  <a:xfrm>
                    <a:off x="20857211" y="19844423"/>
                    <a:ext cx="2540000" cy="3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274.0,&quot;Percentage&quot;:0.00024017159120691485}" id="508" name="Shape 508"/>
                  <xdr:cNvSpPr/>
                </xdr:nvSpPr>
                <xdr:spPr>
                  <a:xfrm>
                    <a:off x="20857211" y="19844455"/>
                    <a:ext cx="2540000" cy="91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322.0,&quot;Percentage&quot;:0.00028224544660082694}" id="509" name="Shape 509"/>
                  <xdr:cNvSpPr/>
                </xdr:nvSpPr>
                <xdr:spPr>
                  <a:xfrm>
                    <a:off x="20857211" y="19845369"/>
                    <a:ext cx="2540000" cy="10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56327.0,&quot;Percentage&quot;:0.0493727927661018}" id="510" name="Shape 510"/>
                  <xdr:cNvSpPr/>
                </xdr:nvSpPr>
                <xdr:spPr>
                  <a:xfrm>
                    <a:off x="20857211" y="19846444"/>
                    <a:ext cx="2540000" cy="188111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7853.0,&quot;Percentage&quot;:0.0068834580501748255}" id="511" name="Shape 511"/>
                  <xdr:cNvSpPr/>
                </xdr:nvSpPr>
                <xdr:spPr>
                  <a:xfrm>
                    <a:off x="20857211" y="20034555"/>
                    <a:ext cx="2540000" cy="2622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208.0,&quot;Percentage&quot;:0.00018232004004028571}" id="512" name="Shape 512"/>
                  <xdr:cNvSpPr/>
                </xdr:nvSpPr>
                <xdr:spPr>
                  <a:xfrm>
                    <a:off x="20857211" y="20060781"/>
                    <a:ext cx="2540000" cy="69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11569.0,&quot;Percentage&quot;:0.010140675688586853}" id="513" name="Shape 513"/>
                  <xdr:cNvSpPr/>
                </xdr:nvSpPr>
                <xdr:spPr>
                  <a:xfrm>
                    <a:off x="20857211" y="20188477"/>
                    <a:ext cx="2540000" cy="3863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E403E87-ED8F-471E-BB66-6D176B1616CE&quot;,&quot;Value&quot;:217.0,&quot;Percentage&quot;:0.00019020888792664424}" id="514" name="Shape 514"/>
                  <xdr:cNvSpPr/>
                </xdr:nvSpPr>
                <xdr:spPr>
                  <a:xfrm>
                    <a:off x="20857211" y="20227113"/>
                    <a:ext cx="2540000" cy="72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10587.0,&quot;Percentage&quot;:0.0092799147303197355}" id="515" name="Shape 515"/>
                  <xdr:cNvSpPr/>
                </xdr:nvSpPr>
                <xdr:spPr>
                  <a:xfrm>
                    <a:off x="20857211" y="20227838"/>
                    <a:ext cx="2540000" cy="3535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9423.0,&quot;Percentage&quot;:0.0082596237370173662}" id="516" name="Shape 516"/>
                  <xdr:cNvSpPr/>
                </xdr:nvSpPr>
                <xdr:spPr>
                  <a:xfrm>
                    <a:off x="20857211" y="20263194"/>
                    <a:ext cx="2540000" cy="31469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5401.0,&quot;Percentage&quot;:0.00473418527046915}" id="517" name="Shape 517"/>
                  <xdr:cNvSpPr/>
                </xdr:nvSpPr>
                <xdr:spPr>
                  <a:xfrm>
                    <a:off x="20857211" y="20294663"/>
                    <a:ext cx="2540000" cy="1803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CC00BE6-581A-407F-9B33-575D7E9B68E4&quot;,&quot;Value&quot;:128.0,&quot;Percentage&quot;:0.0001121969477170989}" id="518" name="Shape 518"/>
                  <xdr:cNvSpPr/>
                </xdr:nvSpPr>
                <xdr:spPr>
                  <a:xfrm>
                    <a:off x="20857211" y="20312700"/>
                    <a:ext cx="2540000" cy="42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3292.0,&quot;Percentage&quot;:0.0028855652490991372}" id="519" name="Shape 519"/>
                  <xdr:cNvSpPr/>
                </xdr:nvSpPr>
                <xdr:spPr>
                  <a:xfrm>
                    <a:off x="20857211" y="20313128"/>
                    <a:ext cx="2540000" cy="1099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39711.0,&quot;Percentage&quot;:0.0348082264905759}" id="520" name="Shape 520"/>
                  <xdr:cNvSpPr/>
                </xdr:nvSpPr>
                <xdr:spPr>
                  <a:xfrm>
                    <a:off x="20857211" y="20324122"/>
                    <a:ext cx="2540000" cy="13262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DC7CC21C-F789-4CBC-9E84-3B8404EF4D25&quot;,&quot;Value&quot;:2911.0,&quot;Percentage&quot;:0.0025516040219099602}" id="521" name="Shape 521"/>
                  <xdr:cNvSpPr/>
                </xdr:nvSpPr>
                <xdr:spPr>
                  <a:xfrm>
                    <a:off x="20857211" y="20456742"/>
                    <a:ext cx="2540000" cy="972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5658.0,&quot;Percentage&quot;:0.004959455704557387}" id="522" name="Shape 522"/>
                  <xdr:cNvSpPr/>
                </xdr:nvSpPr>
                <xdr:spPr>
                  <a:xfrm>
                    <a:off x="20857211" y="20466464"/>
                    <a:ext cx="2540000" cy="1889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A8472D2-ADB3-42E6-8D16-EEE9EA4D4E9C&quot;,&quot;Value&quot;:4560.0,&quot;Percentage&quot;:0.0039970162624216486}" id="523" name="Shape 523"/>
                  <xdr:cNvSpPr/>
                </xdr:nvSpPr>
                <xdr:spPr>
                  <a:xfrm>
                    <a:off x="20857211" y="20485359"/>
                    <a:ext cx="2540000" cy="1522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9878E9C9-866E-48E6-AD4C-0AA3EE378B33&quot;,&quot;Value&quot;:1417.0,&quot;Percentage&quot;:0.0012420552727744464}" id="524" name="Shape 524"/>
                  <xdr:cNvSpPr/>
                </xdr:nvSpPr>
                <xdr:spPr>
                  <a:xfrm>
                    <a:off x="20857211" y="20627586"/>
                    <a:ext cx="2540000" cy="4733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4E403E87-ED8F-471E-BB66-6D176B1616CE&quot;,&quot;Value&quot;:39.0,&quot;Percentage&quot;:3.4185007507553571E-05}" id="525" name="Shape 525"/>
                  <xdr:cNvSpPr/>
                </xdr:nvSpPr>
                <xdr:spPr>
                  <a:xfrm>
                    <a:off x="20857211" y="20632319"/>
                    <a:ext cx="2540000" cy="13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E38E7C54-C1D6-4426-9E3B-50ABA66E72CB&quot;,&quot;Value&quot;:15.0,&quot;Percentage&quot;:1.3148079810597528E-05}" id="526" name="Shape 526"/>
                  <xdr:cNvSpPr/>
                </xdr:nvSpPr>
                <xdr:spPr>
                  <a:xfrm>
                    <a:off x="20857211" y="20632452"/>
                    <a:ext cx="2540000" cy="49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3A432BC2-8F16-41BF-865F-5F2925009A1C&quot;,&quot;Value&quot;:1164.0,&quot;Percentage&quot;:0.0010202909933023682}" id="527" name="Shape 527"/>
                  <xdr:cNvSpPr/>
                </xdr:nvSpPr>
                <xdr:spPr>
                  <a:xfrm>
                    <a:off x="20857211" y="20632502"/>
                    <a:ext cx="2540000" cy="388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D420F5D-F213-40DB-AB7C-69CB7159E409&quot;,&quot;Value&quot;:2190.0,&quot;Percentage&quot;:0.001919619652347239}" id="528" name="Shape 528"/>
                  <xdr:cNvSpPr/>
                </xdr:nvSpPr>
                <xdr:spPr>
                  <a:xfrm>
                    <a:off x="20857211" y="20636388"/>
                    <a:ext cx="2540000" cy="731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689A6BF4-FC19-4848-99F6-1B31C4026CAB&quot;,&quot;Value&quot;:1125.0,&quot;Percentage&quot;:0.00098610598579481463}" id="529" name="Shape 529"/>
                  <xdr:cNvSpPr/>
                </xdr:nvSpPr>
                <xdr:spPr>
                  <a:xfrm>
                    <a:off x="20857211" y="20643703"/>
                    <a:ext cx="2540000" cy="375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7CC00BE6-581A-407F-9B33-575D7E9B68E4&quot;,&quot;Value&quot;:18.0,&quot;Percentage&quot;:1.5777695772717034E-05}" id="530" name="Shape 530"/>
                  <xdr:cNvSpPr/>
                </xdr:nvSpPr>
                <xdr:spPr>
                  <a:xfrm>
                    <a:off x="20857211" y="20647461"/>
                    <a:ext cx="2540000" cy="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F0A37514-61FB-45E0-A288-E130D16CA1DD&quot;,&quot;Value&quot;:4.0,&quot;Percentage&quot;:3.5061546161593406E-06}" id="531" name="Shape 531"/>
                  <xdr:cNvSpPr/>
                </xdr:nvSpPr>
                <xdr:spPr>
                  <a:xfrm>
                    <a:off x="20857211" y="20647520"/>
                    <a:ext cx="2540000" cy="1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127C2A76-CD13-4539-BB0C-1511C339EFC0&quot;,&quot;Value&quot;:18.0,&quot;Percentage&quot;:1.5777695772717034E-05}" id="532" name="Shape 532"/>
                  <xdr:cNvSpPr/>
                </xdr:nvSpPr>
                <xdr:spPr>
                  <a:xfrm>
                    <a:off x="20857211" y="20647533"/>
                    <a:ext cx="2540000" cy="61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  <xdr:sp>
                <xdr:nvSpPr>
                  <xdr:cNvPr descr="{&quot;Id&quot;:&quot;5B9FDE40-99B4-4832-A4A3-B5CFFB26AC95&quot;,&quot;Value&quot;:22.0,&quot;Percentage&quot;:1.9283850388876373E-05}" id="533" name="Shape 533"/>
                  <xdr:cNvSpPr/>
                </xdr:nvSpPr>
                <xdr:spPr>
                  <a:xfrm>
                    <a:off x="20857211" y="20647592"/>
                    <a:ext cx="2540000" cy="73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r">
                      <a:spcBef>
                        <a:spcPts val="0"/>
                      </a:spcBef>
                      <a:spcAft>
                        <a:spcPts val="0"/>
                      </a:spcAft>
                      <a:buSzPts val="1200"/>
                      <a:buFont typeface="Arial"/>
                      <a:buNone/>
                    </a:pPr>
                    <a:r>
                      <a:t/>
                    </a:r>
                    <a:endParaRPr b="1" i="0" sz="1200" u="none">
                      <a:solidFill>
                        <a:schemeClr val="dk1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33</xdr:col>
      <xdr:colOff>180975</xdr:colOff>
      <xdr:row>65</xdr:row>
      <xdr:rowOff>0</xdr:rowOff>
    </xdr:from>
    <xdr:ext cx="4171950" cy="2724150"/>
    <xdr:sp>
      <xdr:nvSpPr>
        <xdr:cNvPr id="534" name="Shape 534"/>
        <xdr:cNvSpPr/>
      </xdr:nvSpPr>
      <xdr:spPr>
        <a:xfrm>
          <a:off x="3264788" y="2422688"/>
          <a:ext cx="4162425" cy="27146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8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Este gráfico não está disponível na sua versão de Excel.</a:t>
          </a:r>
          <a:br>
            <a:rPr lang="en-US" sz="1100"/>
          </a:br>
          <a:br>
            <a:rPr lang="en-US" sz="1100"/>
          </a:br>
          <a:r>
            <a:rPr lang="en-US" sz="1100"/>
            <a:t>Editar esta forma ou salvar esta pasta de trabalho em um formato de arquivo diferente quebrará o gráfico permanentemente.</a:t>
          </a:r>
          <a:endParaRPr sz="1400"/>
        </a:p>
      </xdr:txBody>
    </xdr:sp>
    <xdr:clientData fLocksWithSheet="0"/>
  </xdr:oneCellAnchor>
  <xdr:oneCellAnchor>
    <xdr:from>
      <xdr:col>33</xdr:col>
      <xdr:colOff>85725</xdr:colOff>
      <xdr:row>1</xdr:row>
      <xdr:rowOff>0</xdr:rowOff>
    </xdr:from>
    <xdr:ext cx="4171950" cy="2714625"/>
    <xdr:sp>
      <xdr:nvSpPr>
        <xdr:cNvPr id="535" name="Shape 535"/>
        <xdr:cNvSpPr/>
      </xdr:nvSpPr>
      <xdr:spPr>
        <a:xfrm>
          <a:off x="3264788" y="2427450"/>
          <a:ext cx="4162425" cy="27051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8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Este gráfico não está disponível na sua versão de Excel.</a:t>
          </a:r>
          <a:br>
            <a:rPr lang="en-US" sz="1100"/>
          </a:br>
          <a:br>
            <a:rPr lang="en-US" sz="1100"/>
          </a:br>
          <a:r>
            <a:rPr lang="en-US" sz="1100"/>
            <a:t>Editar esta forma ou salvar esta pasta de trabalho em um formato de arquivo diferente quebrará o gráfico permanentemente.</a:t>
          </a:r>
          <a:endParaRPr sz="1400"/>
        </a:p>
      </xdr:txBody>
    </xdr:sp>
    <xdr:clientData fLocksWithSheet="0"/>
  </xdr:oneCellAnchor>
  <xdr:oneCellAnchor>
    <xdr:from>
      <xdr:col>33</xdr:col>
      <xdr:colOff>123825</xdr:colOff>
      <xdr:row>17</xdr:row>
      <xdr:rowOff>0</xdr:rowOff>
    </xdr:from>
    <xdr:ext cx="4171950" cy="2714625"/>
    <xdr:sp>
      <xdr:nvSpPr>
        <xdr:cNvPr id="536" name="Shape 536"/>
        <xdr:cNvSpPr/>
      </xdr:nvSpPr>
      <xdr:spPr>
        <a:xfrm>
          <a:off x="3264788" y="2427450"/>
          <a:ext cx="4162425" cy="27051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8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Este gráfico não está disponível na sua versão de Excel.</a:t>
          </a:r>
          <a:br>
            <a:rPr lang="en-US" sz="1100"/>
          </a:br>
          <a:br>
            <a:rPr lang="en-US" sz="1100"/>
          </a:br>
          <a:r>
            <a:rPr lang="en-US" sz="1100"/>
            <a:t>Editar esta forma ou salvar esta pasta de trabalho em um formato de arquivo diferente quebrará o gráfico permanentemente.</a:t>
          </a:r>
          <a:endParaRPr sz="1400"/>
        </a:p>
      </xdr:txBody>
    </xdr:sp>
    <xdr:clientData fLocksWithSheet="0"/>
  </xdr:oneCellAnchor>
  <xdr:oneCellAnchor>
    <xdr:from>
      <xdr:col>33</xdr:col>
      <xdr:colOff>142875</xdr:colOff>
      <xdr:row>33</xdr:row>
      <xdr:rowOff>0</xdr:rowOff>
    </xdr:from>
    <xdr:ext cx="4171950" cy="2714625"/>
    <xdr:sp>
      <xdr:nvSpPr>
        <xdr:cNvPr id="537" name="Shape 537"/>
        <xdr:cNvSpPr/>
      </xdr:nvSpPr>
      <xdr:spPr>
        <a:xfrm>
          <a:off x="3264788" y="2427450"/>
          <a:ext cx="4162425" cy="27051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8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Este gráfico não está disponível na sua versão de Excel.</a:t>
          </a:r>
          <a:br>
            <a:rPr lang="en-US" sz="1100"/>
          </a:br>
          <a:br>
            <a:rPr lang="en-US" sz="1100"/>
          </a:br>
          <a:r>
            <a:rPr lang="en-US" sz="1100"/>
            <a:t>Editar esta forma ou salvar esta pasta de trabalho em um formato de arquivo diferente quebrará o gráfico permanentemente.</a:t>
          </a:r>
          <a:endParaRPr sz="1400"/>
        </a:p>
      </xdr:txBody>
    </xdr:sp>
    <xdr:clientData fLocksWithSheet="0"/>
  </xdr:oneCellAnchor>
  <xdr:oneCellAnchor>
    <xdr:from>
      <xdr:col>33</xdr:col>
      <xdr:colOff>133350</xdr:colOff>
      <xdr:row>49</xdr:row>
      <xdr:rowOff>0</xdr:rowOff>
    </xdr:from>
    <xdr:ext cx="4171950" cy="2714625"/>
    <xdr:sp>
      <xdr:nvSpPr>
        <xdr:cNvPr id="538" name="Shape 538"/>
        <xdr:cNvSpPr/>
      </xdr:nvSpPr>
      <xdr:spPr>
        <a:xfrm>
          <a:off x="3264788" y="2427450"/>
          <a:ext cx="4162425" cy="27051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8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Este gráfico não está disponível na sua versão de Excel.</a:t>
          </a:r>
          <a:br>
            <a:rPr lang="en-US" sz="1100"/>
          </a:br>
          <a:br>
            <a:rPr lang="en-US" sz="1100"/>
          </a:br>
          <a:r>
            <a:rPr lang="en-US" sz="1100"/>
            <a:t>Editar esta forma ou salvar esta pasta de trabalho em um formato de arquivo diferente quebrará o gráfico permanentemente.</a:t>
          </a:r>
          <a:endParaRPr sz="1400"/>
        </a:p>
      </xdr:txBody>
    </xdr:sp>
    <xdr:clientData fLocksWithSheet="0"/>
  </xdr:oneCellAnchor>
  <xdr:oneCellAnchor>
    <xdr:from>
      <xdr:col>33</xdr:col>
      <xdr:colOff>180975</xdr:colOff>
      <xdr:row>81</xdr:row>
      <xdr:rowOff>0</xdr:rowOff>
    </xdr:from>
    <xdr:ext cx="4171950" cy="2714625"/>
    <xdr:sp>
      <xdr:nvSpPr>
        <xdr:cNvPr id="539" name="Shape 539"/>
        <xdr:cNvSpPr/>
      </xdr:nvSpPr>
      <xdr:spPr>
        <a:xfrm>
          <a:off x="3264788" y="2427450"/>
          <a:ext cx="4162425" cy="27051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8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Este gráfico não está disponível na sua versão de Excel.</a:t>
          </a:r>
          <a:br>
            <a:rPr lang="en-US" sz="1100"/>
          </a:br>
          <a:br>
            <a:rPr lang="en-US" sz="1100"/>
          </a:br>
          <a:r>
            <a:rPr lang="en-US" sz="1100"/>
            <a:t>Editar esta forma ou salvar esta pasta de trabalho em um formato de arquivo diferente quebrará o gráfico permanentemente.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628650</xdr:colOff>
      <xdr:row>1</xdr:row>
      <xdr:rowOff>180975</xdr:rowOff>
    </xdr:from>
    <xdr:ext cx="4105275" cy="2714625"/>
    <xdr:graphicFrame>
      <xdr:nvGraphicFramePr>
        <xdr:cNvPr id="206737468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28</xdr:row>
      <xdr:rowOff>0</xdr:rowOff>
    </xdr:from>
    <xdr:ext cx="2028825" cy="1619250"/>
    <xdr:sp>
      <xdr:nvSpPr>
        <xdr:cNvPr id="540" name="Shape 540"/>
        <xdr:cNvSpPr txBox="1"/>
      </xdr:nvSpPr>
      <xdr:spPr>
        <a:xfrm>
          <a:off x="4336350" y="2975138"/>
          <a:ext cx="2019300" cy="1609725"/>
        </a:xfrm>
        <a:prstGeom prst="rect">
          <a:avLst/>
        </a:prstGeom>
        <a:solidFill>
          <a:srgbClr val="FFFF99"/>
        </a:solidFill>
        <a:ln>
          <a:noFill/>
        </a:ln>
      </xdr:spPr>
      <xdr:txBody>
        <a:bodyPr anchorCtr="0" anchor="ctr" bIns="45700" lIns="54850" spcFirstLastPara="1" rIns="54850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b="1" i="0" lang="en-US" sz="11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A DISTÂNCIA ENTRE DUAS CIDADES É MEDIDA DE CENTRO A CENTRO,    OS CAMINHOS SÃO MAIS  CURTOS PELAS AS RODOVIAS ALFALTADAS</a:t>
          </a:r>
          <a:endParaRPr sz="1400"/>
        </a:p>
      </xdr:txBody>
    </xdr:sp>
    <xdr:clientData fLocksWithSheet="0"/>
  </xdr:oneCellAnchor>
  <xdr:oneCellAnchor>
    <xdr:from>
      <xdr:col>28</xdr:col>
      <xdr:colOff>9525</xdr:colOff>
      <xdr:row>28</xdr:row>
      <xdr:rowOff>0</xdr:rowOff>
    </xdr:from>
    <xdr:ext cx="2028825" cy="1619250"/>
    <xdr:sp>
      <xdr:nvSpPr>
        <xdr:cNvPr id="541" name="Shape 541"/>
        <xdr:cNvSpPr txBox="1"/>
      </xdr:nvSpPr>
      <xdr:spPr>
        <a:xfrm>
          <a:off x="4336350" y="2975138"/>
          <a:ext cx="2019300" cy="1609725"/>
        </a:xfrm>
        <a:prstGeom prst="rect">
          <a:avLst/>
        </a:prstGeom>
        <a:solidFill>
          <a:srgbClr val="FFFF99"/>
        </a:solidFill>
        <a:ln>
          <a:noFill/>
        </a:ln>
      </xdr:spPr>
      <xdr:txBody>
        <a:bodyPr anchorCtr="0" anchor="ctr" bIns="50275" lIns="54850" spcFirstLastPara="1" rIns="54850" wrap="square" tIns="50275">
          <a:noAutofit/>
        </a:bodyPr>
        <a:lstStyle/>
        <a:p>
          <a:pPr indent="0" lvl="0" marL="0" rtl="0" algn="ctr">
            <a:lnSpc>
              <a:spcPct val="10909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b="1" i="0" lang="en-US" sz="11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MENOR DISTÂNCIA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b="1" i="0" lang="en-US" sz="11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PAVIMENTADA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b="1" i="0" lang="en-US" sz="11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USANDO RODOVIAS</a:t>
          </a:r>
          <a:endParaRPr sz="1400"/>
        </a:p>
        <a:p>
          <a:pPr indent="0" lvl="0" marL="0" rtl="0" algn="ctr">
            <a:lnSpc>
              <a:spcPct val="10909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b="1" i="0" lang="en-US" sz="11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FEDERAIS, ESTADUAIS OU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b="1" i="0" lang="en-US" sz="11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MUNICIPAIS</a:t>
          </a:r>
          <a:endParaRPr sz="1400"/>
        </a:p>
      </xdr:txBody>
    </xdr:sp>
    <xdr:clientData fLocksWithSheet="0"/>
  </xdr:oneCellAnchor>
  <xdr:oneCellAnchor>
    <xdr:from>
      <xdr:col>28</xdr:col>
      <xdr:colOff>0</xdr:colOff>
      <xdr:row>1</xdr:row>
      <xdr:rowOff>0</xdr:rowOff>
    </xdr:from>
    <xdr:ext cx="2047875" cy="1638300"/>
    <xdr:sp>
      <xdr:nvSpPr>
        <xdr:cNvPr id="542" name="Shape 542"/>
        <xdr:cNvSpPr txBox="1"/>
      </xdr:nvSpPr>
      <xdr:spPr>
        <a:xfrm>
          <a:off x="4326825" y="2965613"/>
          <a:ext cx="2038350" cy="1628775"/>
        </a:xfrm>
        <a:prstGeom prst="rect">
          <a:avLst/>
        </a:prstGeom>
        <a:solidFill>
          <a:srgbClr val="FFFF99"/>
        </a:solidFill>
        <a:ln>
          <a:noFill/>
        </a:ln>
      </xdr:spPr>
      <xdr:txBody>
        <a:bodyPr anchorCtr="0" anchor="ctr" bIns="36575" lIns="45700" spcFirstLastPara="1" rIns="45700" wrap="square" tIns="365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b="1" i="0" lang="en-US" sz="11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MENOR DISTÂNCIA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b="1" i="0" lang="en-US" sz="11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PAVIMENTADA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b="1" i="0" lang="en-US" sz="11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USANDO RODOVIAS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b="1" i="0" lang="en-US" sz="11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FEDERAIS, ESTADUAIS OU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b="1" i="0" lang="en-US" sz="11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MUNICIPAIS</a:t>
          </a:r>
          <a:endParaRPr sz="1400"/>
        </a:p>
      </xdr:txBody>
    </xdr:sp>
    <xdr:clientData fLocksWithSheet="0"/>
  </xdr:oneCellAnchor>
  <xdr:oneCellAnchor>
    <xdr:from>
      <xdr:col>0</xdr:col>
      <xdr:colOff>304800</xdr:colOff>
      <xdr:row>1</xdr:row>
      <xdr:rowOff>485775</xdr:rowOff>
    </xdr:from>
    <xdr:ext cx="1466850" cy="66675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342900</xdr:colOff>
      <xdr:row>2</xdr:row>
      <xdr:rowOff>0</xdr:rowOff>
    </xdr:from>
    <xdr:ext cx="4200525" cy="3162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G5374" sheet="ANTAQ 2022 Container"/>
  </cacheSource>
  <cacheFields>
    <cacheField name="Month" numFmtId="0">
      <sharedItems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Type" numFmtId="0">
      <sharedItems>
        <s v="40HC"/>
        <s v="20DC"/>
        <s v="40RH"/>
        <s v="20RF"/>
      </sharedItems>
    </cacheField>
    <cacheField name="UF Origin" numFmtId="0">
      <sharedItems>
        <s v="SP"/>
        <s v="RJ"/>
        <s v="PE"/>
        <s v="AM"/>
        <s v="ES"/>
        <s v="CE"/>
        <s v="SC"/>
        <s v="RS"/>
        <s v="BA"/>
        <s v="PA"/>
        <s v="PR"/>
        <s v="MA"/>
        <s v="AP"/>
      </sharedItems>
    </cacheField>
    <cacheField name="UF Destination" numFmtId="0">
      <sharedItems>
        <s v="PE"/>
        <s v="ES"/>
        <s v="PR"/>
        <s v="AM"/>
        <s v="SP"/>
        <s v="CE"/>
        <s v="RJ"/>
        <s v="SC"/>
        <s v="BA"/>
        <s v="RS"/>
        <s v="MA"/>
        <s v="PA"/>
        <s v="RN"/>
      </sharedItems>
    </cacheField>
    <cacheField name=" TEU" numFmtId="164">
      <sharedItems containsSemiMixedTypes="0" containsString="0" containsNumber="1" containsInteger="1">
        <n v="3468.0"/>
        <n v="3400.0"/>
        <n v="3106.0"/>
        <n v="2858.0"/>
        <n v="2776.0"/>
        <n v="2770.0"/>
        <n v="2714.0"/>
        <n v="2414.0"/>
        <n v="2364.0"/>
        <n v="2297.0"/>
        <n v="1802.0"/>
        <n v="1628.0"/>
        <n v="1328.0"/>
        <n v="1318.0"/>
        <n v="1316.0"/>
        <n v="1214.0"/>
        <n v="1208.0"/>
        <n v="1002.0"/>
        <n v="970.0"/>
        <n v="910.0"/>
        <n v="878.0"/>
        <n v="840.0"/>
        <n v="812.0"/>
        <n v="764.0"/>
        <n v="726.0"/>
        <n v="720.0"/>
        <n v="702.0"/>
        <n v="674.0"/>
        <n v="668.0"/>
        <n v="651.0"/>
        <n v="648.0"/>
        <n v="646.0"/>
        <n v="631.0"/>
        <n v="630.0"/>
        <n v="604.0"/>
        <n v="586.0"/>
        <n v="560.0"/>
        <n v="532.0"/>
        <n v="528.0"/>
        <n v="520.0"/>
        <n v="480.0"/>
        <n v="479.0"/>
        <n v="476.0"/>
        <n v="466.0"/>
        <n v="464.0"/>
        <n v="462.0"/>
        <n v="452.0"/>
        <n v="449.0"/>
        <n v="448.0"/>
        <n v="444.0"/>
        <n v="434.0"/>
        <n v="433.0"/>
        <n v="432.0"/>
        <n v="420.0"/>
        <n v="408.0"/>
        <n v="402.0"/>
        <n v="384.0"/>
        <n v="374.0"/>
        <n v="370.0"/>
        <n v="354.0"/>
        <n v="353.0"/>
        <n v="348.0"/>
        <n v="332.0"/>
        <n v="324.0"/>
        <n v="320.0"/>
        <n v="318.0"/>
        <n v="316.0"/>
        <n v="306.0"/>
        <n v="298.0"/>
        <n v="290.0"/>
        <n v="286.0"/>
        <n v="284.0"/>
        <n v="275.0"/>
        <n v="272.0"/>
        <n v="271.0"/>
        <n v="269.0"/>
        <n v="268.0"/>
        <n v="264.0"/>
        <n v="262.0"/>
        <n v="260.0"/>
        <n v="258.0"/>
        <n v="236.0"/>
        <n v="226.0"/>
        <n v="210.0"/>
        <n v="198.0"/>
        <n v="185.0"/>
        <n v="182.0"/>
        <n v="177.0"/>
        <n v="176.0"/>
        <n v="172.0"/>
        <n v="167.0"/>
        <n v="166.0"/>
        <n v="164.0"/>
        <n v="158.0"/>
        <n v="156.0"/>
        <n v="155.0"/>
        <n v="154.0"/>
        <n v="145.0"/>
        <n v="140.0"/>
        <n v="136.0"/>
        <n v="134.0"/>
        <n v="126.0"/>
        <n v="124.0"/>
        <n v="120.0"/>
        <n v="115.0"/>
        <n v="114.0"/>
        <n v="109.0"/>
        <n v="106.0"/>
        <n v="103.0"/>
        <n v="102.0"/>
        <n v="99.0"/>
        <n v="97.0"/>
        <n v="88.0"/>
        <n v="86.0"/>
        <n v="85.0"/>
        <n v="84.0"/>
        <n v="80.0"/>
        <n v="78.0"/>
        <n v="77.0"/>
        <n v="74.0"/>
        <n v="70.0"/>
        <n v="66.0"/>
        <n v="64.0"/>
        <n v="63.0"/>
        <n v="61.0"/>
        <n v="58.0"/>
        <n v="57.0"/>
        <n v="56.0"/>
        <n v="54.0"/>
        <n v="52.0"/>
        <n v="51.0"/>
        <n v="50.0"/>
        <n v="48.0"/>
        <n v="46.0"/>
        <n v="45.0"/>
        <n v="44.0"/>
        <n v="43.0"/>
        <n v="42.0"/>
        <n v="40.0"/>
        <n v="39.0"/>
        <n v="38.0"/>
        <n v="37.0"/>
        <n v="36.0"/>
        <n v="35.0"/>
        <n v="34.0"/>
        <n v="33.0"/>
        <n v="31.0"/>
        <n v="30.0"/>
        <n v="28.0"/>
        <n v="27.0"/>
        <n v="26.0"/>
        <n v="24.0"/>
        <n v="23.0"/>
        <n v="21.0"/>
        <n v="20.0"/>
        <n v="18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n v="3.0"/>
        <n v="2.0"/>
        <n v="1.0"/>
        <n v="5560.0"/>
        <n v="4188.0"/>
        <n v="3964.0"/>
        <n v="3470.0"/>
        <n v="2569.0"/>
        <n v="2328.0"/>
        <n v="2292.0"/>
        <n v="2176.0"/>
        <n v="2064.0"/>
        <n v="1532.0"/>
        <n v="1480.0"/>
        <n v="1434.0"/>
        <n v="1398.0"/>
        <n v="1206.0"/>
        <n v="1200.0"/>
        <n v="1052.0"/>
        <n v="1030.0"/>
        <n v="1006.0"/>
        <n v="948.0"/>
        <n v="876.0"/>
        <n v="872.0"/>
        <n v="858.0"/>
        <n v="832.0"/>
        <n v="798.0"/>
        <n v="790.0"/>
        <n v="775.0"/>
        <n v="766.0"/>
        <n v="716.0"/>
        <n v="682.0"/>
        <n v="680.0"/>
        <n v="628.0"/>
        <n v="614.0"/>
        <n v="590.0"/>
        <n v="584.0"/>
        <n v="578.0"/>
        <n v="576.0"/>
        <n v="568.0"/>
        <n v="530.0"/>
        <n v="526.0"/>
        <n v="522.0"/>
        <n v="516.0"/>
        <n v="504.0"/>
        <n v="490.0"/>
        <n v="488.0"/>
        <n v="468.0"/>
        <n v="418.0"/>
        <n v="393.0"/>
        <n v="391.0"/>
        <n v="388.0"/>
        <n v="382.0"/>
        <n v="380.0"/>
        <n v="344.0"/>
        <n v="340.0"/>
        <n v="330.0"/>
        <n v="326.0"/>
        <n v="322.0"/>
        <n v="314.0"/>
        <n v="310.0"/>
        <n v="308.0"/>
        <n v="302.0"/>
        <n v="297.0"/>
        <n v="292.0"/>
        <n v="282.0"/>
        <n v="279.0"/>
        <n v="276.0"/>
        <n v="270.0"/>
        <n v="261.0"/>
        <n v="252.0"/>
        <n v="248.0"/>
        <n v="242.0"/>
        <n v="239.0"/>
        <n v="230.0"/>
        <n v="228.0"/>
        <n v="214.0"/>
        <n v="212.0"/>
        <n v="204.0"/>
        <n v="202.0"/>
        <n v="193.0"/>
        <n v="191.0"/>
        <n v="188.0"/>
        <n v="183.0"/>
        <n v="180.0"/>
        <n v="174.0"/>
        <n v="170.0"/>
        <n v="157.0"/>
        <n v="150.0"/>
        <n v="138.0"/>
        <n v="118.0"/>
        <n v="117.0"/>
        <n v="116.0"/>
        <n v="108.0"/>
        <n v="100.0"/>
        <n v="98.0"/>
        <n v="96.0"/>
        <n v="90.0"/>
        <n v="82.0"/>
        <n v="79.0"/>
        <n v="73.0"/>
        <n v="72.0"/>
        <n v="71.0"/>
        <n v="68.0"/>
        <n v="67.0"/>
        <n v="62.0"/>
        <n v="60.0"/>
        <n v="59.0"/>
        <n v="53.0"/>
        <n v="32.0"/>
        <n v="29.0"/>
        <n v="25.0"/>
        <n v="22.0"/>
        <n v="17.0"/>
        <n v="5872.0"/>
        <n v="4938.0"/>
        <n v="4790.0"/>
        <n v="4150.0"/>
        <n v="3730.0"/>
        <n v="3044.0"/>
        <n v="2924.0"/>
        <n v="2620.0"/>
        <n v="2556.0"/>
        <n v="2078.0"/>
        <n v="1868.0"/>
        <n v="1738.0"/>
        <n v="1636.0"/>
        <n v="1572.0"/>
        <n v="1320.0"/>
        <n v="1176.0"/>
        <n v="1054.0"/>
        <n v="1026.0"/>
        <n v="1012.0"/>
        <n v="1005.0"/>
        <n v="932.0"/>
        <n v="877.0"/>
        <n v="870.0"/>
        <n v="862.0"/>
        <n v="856.0"/>
        <n v="830.0"/>
        <n v="826.0"/>
        <n v="762.0"/>
        <n v="760.0"/>
        <n v="744.0"/>
        <n v="736.0"/>
        <n v="734.0"/>
        <n v="662.0"/>
        <n v="658.0"/>
        <n v="652.0"/>
        <n v="644.0"/>
        <n v="638.0"/>
        <n v="632.0"/>
        <n v="625.0"/>
        <n v="606.0"/>
        <n v="596.0"/>
        <n v="592.0"/>
        <n v="554.0"/>
        <n v="552.0"/>
        <n v="545.0"/>
        <n v="508.0"/>
        <n v="492.0"/>
        <n v="482.0"/>
        <n v="460.0"/>
        <n v="442.0"/>
        <n v="440.0"/>
        <n v="436.0"/>
        <n v="424.0"/>
        <n v="422.0"/>
        <n v="414.0"/>
        <n v="392.0"/>
        <n v="386.0"/>
        <n v="378.0"/>
        <n v="371.0"/>
        <n v="356.0"/>
        <n v="352.0"/>
        <n v="351.0"/>
        <n v="334.0"/>
        <n v="315.0"/>
        <n v="300.0"/>
        <n v="288.0"/>
        <n v="250.0"/>
        <n v="237.0"/>
        <n v="234.0"/>
        <n v="232.0"/>
        <n v="222.0"/>
        <n v="216.0"/>
        <n v="215.0"/>
        <n v="199.0"/>
        <n v="192.0"/>
        <n v="173.0"/>
        <n v="162.0"/>
        <n v="160.0"/>
        <n v="146.0"/>
        <n v="142.0"/>
        <n v="137.0"/>
        <n v="133.0"/>
        <n v="132.0"/>
        <n v="131.0"/>
        <n v="130.0"/>
        <n v="129.0"/>
        <n v="122.0"/>
        <n v="121.0"/>
        <n v="111.0"/>
        <n v="104.0"/>
        <n v="95.0"/>
        <n v="94.0"/>
        <n v="87.0"/>
        <n v="81.0"/>
        <n v="76.0"/>
        <n v="75.0"/>
        <n v="47.0"/>
        <n v="41.0"/>
        <n v="4530.0"/>
        <n v="4094.0"/>
        <n v="4046.0"/>
        <n v="3311.0"/>
        <n v="3232.0"/>
        <n v="2786.0"/>
        <n v="2666.0"/>
        <n v="2392.0"/>
        <n v="2274.0"/>
        <n v="2136.0"/>
        <n v="2116.0"/>
        <n v="1614.0"/>
        <n v="1560.0"/>
        <n v="1456.0"/>
        <n v="1284.0"/>
        <n v="1218.0"/>
        <n v="1096.0"/>
        <n v="1072.0"/>
        <n v="1068.0"/>
        <n v="1034.0"/>
        <n v="978.0"/>
        <n v="950.0"/>
        <n v="936.0"/>
        <n v="918.0"/>
        <n v="888.0"/>
        <n v="882.0"/>
        <n v="834.0"/>
        <n v="810.0"/>
        <n v="776.0"/>
        <n v="722.0"/>
        <n v="690.0"/>
        <n v="686.0"/>
        <n v="666.0"/>
        <n v="626.0"/>
        <n v="622.0"/>
        <n v="616.0"/>
        <n v="550.0"/>
        <n v="534.0"/>
        <n v="524.0"/>
        <n v="486.0"/>
        <n v="458.0"/>
        <n v="456.0"/>
        <n v="428.0"/>
        <n v="416.0"/>
        <n v="412.0"/>
        <n v="403.0"/>
        <n v="358.0"/>
        <n v="338.0"/>
        <n v="321.0"/>
        <n v="309.0"/>
        <n v="296.0"/>
        <n v="281.0"/>
        <n v="225.0"/>
        <n v="219.0"/>
        <n v="206.0"/>
        <n v="190.0"/>
        <n v="187.0"/>
        <n v="186.0"/>
        <n v="178.0"/>
        <n v="152.0"/>
        <n v="151.0"/>
        <n v="144.0"/>
        <n v="128.0"/>
        <n v="127.0"/>
        <n v="119.0"/>
        <n v="112.0"/>
        <n v="49.0"/>
        <n v="19.0"/>
        <n v="5186.0"/>
        <n v="4856.0"/>
        <n v="4482.0"/>
        <n v="4164.0"/>
        <n v="4120.0"/>
        <n v="3458.0"/>
        <n v="3204.0"/>
        <n v="3180.0"/>
        <n v="3166.0"/>
        <n v="2022.0"/>
        <n v="1986.0"/>
        <n v="1980.0"/>
        <n v="1724.0"/>
        <n v="1578.0"/>
        <n v="1440.0"/>
        <n v="1374.0"/>
        <n v="1352.0"/>
        <n v="1260.0"/>
        <n v="1256.0"/>
        <n v="1182.0"/>
        <n v="1070.0"/>
        <n v="972.0"/>
        <n v="921.0"/>
        <n v="874.0"/>
        <n v="864.0"/>
        <n v="842.0"/>
        <n v="770.0"/>
        <n v="751.0"/>
        <n v="740.0"/>
        <n v="672.0"/>
        <n v="608.0"/>
        <n v="588.0"/>
        <n v="569.0"/>
        <n v="566.0"/>
        <n v="546.0"/>
        <n v="542.0"/>
        <n v="496.0"/>
        <n v="478.0"/>
        <n v="470.0"/>
        <n v="406.0"/>
        <n v="396.0"/>
        <n v="376.0"/>
        <n v="372.0"/>
        <n v="362.0"/>
        <n v="359.0"/>
        <n v="350.0"/>
        <n v="341.0"/>
        <n v="336.0"/>
        <n v="311.0"/>
        <n v="266.0"/>
        <n v="240.0"/>
        <n v="229.0"/>
        <n v="207.0"/>
        <n v="197.0"/>
        <n v="196.0"/>
        <n v="141.0"/>
        <n v="125.0"/>
        <n v="123.0"/>
        <n v="110.0"/>
        <n v="107.0"/>
        <n v="105.0"/>
        <n v="5172.0"/>
        <n v="4632.0"/>
        <n v="3578.0"/>
        <n v="3448.0"/>
        <n v="2978.0"/>
        <n v="2872.0"/>
        <n v="2622.0"/>
        <n v="2608.0"/>
        <n v="2162.0"/>
        <n v="1860.0"/>
        <n v="1850.0"/>
        <n v="1764.0"/>
        <n v="1718.0"/>
        <n v="1694.0"/>
        <n v="1534.0"/>
        <n v="1448.0"/>
        <n v="1164.0"/>
        <n v="1105.0"/>
        <n v="1078.0"/>
        <n v="934.0"/>
        <n v="922.0"/>
        <n v="814.0"/>
        <n v="808.0"/>
        <n v="782.0"/>
        <n v="748.0"/>
        <n v="718.0"/>
        <n v="671.0"/>
        <n v="642.0"/>
        <n v="624.0"/>
        <n v="594.0"/>
        <n v="544.0"/>
        <n v="525.0"/>
        <n v="514.0"/>
        <n v="502.0"/>
        <n v="491.0"/>
        <n v="477.0"/>
        <n v="446.0"/>
        <n v="438.0"/>
        <n v="398.0"/>
        <n v="390.0"/>
        <n v="335.0"/>
        <n v="294.0"/>
        <n v="256.0"/>
        <n v="245.0"/>
        <n v="218.0"/>
        <n v="205.0"/>
        <n v="203.0"/>
        <n v="194.0"/>
        <n v="189.0"/>
        <n v="169.0"/>
        <n v="168.0"/>
        <n v="159.0"/>
        <n v="148.0"/>
        <n v="113.0"/>
        <n v="93.0"/>
        <n v="92.0"/>
        <n v="83.0"/>
        <n v="5994.0"/>
        <n v="4256.0"/>
        <n v="4084.0"/>
        <n v="4074.0"/>
        <n v="3970.0"/>
        <n v="3208.0"/>
        <n v="3138.0"/>
        <n v="3022.0"/>
        <n v="2238.0"/>
        <n v="2038.0"/>
        <n v="1886.0"/>
        <n v="1786.0"/>
        <n v="1672.0"/>
        <n v="1648.0"/>
        <n v="1526.0"/>
        <n v="1412.0"/>
        <n v="1396.0"/>
        <n v="1124.0"/>
        <n v="1060.0"/>
        <n v="1051.0"/>
        <n v="1044.0"/>
        <n v="1010.0"/>
        <n v="974.0"/>
        <n v="908.0"/>
        <n v="894.0"/>
        <n v="892.0"/>
        <n v="846.0"/>
        <n v="824.0"/>
        <n v="728.0"/>
        <n v="724.0"/>
        <n v="688.0"/>
        <n v="676.0"/>
        <n v="670.0"/>
        <n v="562.0"/>
        <n v="510.0"/>
        <n v="430.0"/>
        <n v="399.0"/>
        <n v="364.0"/>
        <n v="360.0"/>
        <n v="349.0"/>
        <n v="331.0"/>
        <n v="317.0"/>
        <n v="278.0"/>
        <n v="267.0"/>
        <n v="244.0"/>
        <n v="243.0"/>
        <n v="209.0"/>
        <n v="101.0"/>
        <n v="89.0"/>
        <n v="69.0"/>
        <n v="4892.0"/>
        <n v="4710.0"/>
        <n v="4694.0"/>
        <n v="4386.0"/>
        <n v="2910.0"/>
        <n v="2744.0"/>
        <n v="2742.0"/>
        <n v="2614.0"/>
        <n v="2544.0"/>
        <n v="2314.0"/>
        <n v="1658.0"/>
        <n v="1651.0"/>
        <n v="1634.0"/>
        <n v="1458.0"/>
        <n v="1432.0"/>
        <n v="1356.0"/>
        <n v="1248.0"/>
        <n v="1212.0"/>
        <n v="1140.0"/>
        <n v="1046.0"/>
        <n v="1040.0"/>
        <n v="1014.0"/>
        <n v="980.0"/>
        <n v="906.0"/>
        <n v="886.0"/>
        <n v="884.0"/>
        <n v="778.0"/>
        <n v="698.0"/>
        <n v="696.0"/>
        <n v="669.0"/>
        <n v="641.0"/>
        <n v="574.0"/>
        <n v="564.0"/>
        <n v="549.0"/>
        <n v="540.0"/>
        <n v="512.0"/>
        <n v="489.0"/>
        <n v="450.0"/>
        <n v="410.0"/>
        <n v="363.0"/>
        <n v="333.0"/>
        <n v="328.0"/>
        <n v="285.0"/>
        <n v="274.0"/>
        <n v="254.0"/>
        <n v="247.0"/>
        <n v="231.0"/>
        <n v="208.0"/>
        <n v="200.0"/>
        <n v="184.0"/>
        <n v="163.0"/>
        <n v="65.0"/>
        <n v="6070.0"/>
        <n v="5328.0"/>
        <n v="3746.0"/>
        <n v="3624.0"/>
        <n v="3365.0"/>
        <n v="3042.0"/>
        <n v="2838.0"/>
        <n v="2330.0"/>
        <n v="2286.0"/>
        <n v="2264.0"/>
        <n v="2236.0"/>
        <n v="2096.0"/>
        <n v="2032.0"/>
        <n v="1642.0"/>
        <n v="1348.0"/>
        <n v="1246.0"/>
        <n v="1239.0"/>
        <n v="1174.0"/>
        <n v="1156.0"/>
        <n v="1146.0"/>
        <n v="1064.0"/>
        <n v="1038.0"/>
        <n v="940.0"/>
        <n v="913.0"/>
        <n v="838.0"/>
        <n v="741.0"/>
        <n v="684.0"/>
        <n v="623.0"/>
        <n v="373.0"/>
        <n v="368.0"/>
        <n v="346.0"/>
        <n v="342.0"/>
        <n v="304.0"/>
        <n v="291.0"/>
        <n v="255.0"/>
        <n v="227.0"/>
        <n v="224.0"/>
        <n v="213.0"/>
        <n v="195.0"/>
        <n v="147.0"/>
        <n v="139.0"/>
        <n v="55.0"/>
        <n v="6324.0"/>
        <n v="5746.0"/>
        <n v="4210.0"/>
        <n v="3568.0"/>
        <n v="3336.0"/>
        <n v="3294.0"/>
        <n v="3170.0"/>
        <n v="2484.0"/>
        <n v="2456.0"/>
        <n v="1928.0"/>
        <n v="1912.0"/>
        <n v="1530.0"/>
        <n v="1464.0"/>
        <n v="1252.0"/>
        <n v="1238.0"/>
        <n v="1184.0"/>
        <n v="1114.0"/>
        <n v="898.0"/>
        <n v="880.0"/>
        <n v="857.0"/>
        <n v="845.0"/>
        <n v="746.0"/>
        <n v="704.0"/>
        <n v="636.0"/>
        <n v="618.0"/>
        <n v="602.0"/>
        <n v="593.0"/>
        <n v="559.0"/>
        <n v="556.0"/>
        <n v="507.0"/>
        <n v="506.0"/>
        <n v="484.0"/>
        <n v="474.0"/>
        <n v="426.0"/>
        <n v="312.0"/>
        <n v="259.0"/>
        <n v="246.0"/>
        <n v="238.0"/>
        <n v="217.0"/>
        <n v="4988.0"/>
        <n v="4472.0"/>
        <n v="4122.0"/>
        <n v="4048.0"/>
        <n v="3742.0"/>
        <n v="2504.0"/>
        <n v="2488.0"/>
        <n v="2140.0"/>
        <n v="1990.0"/>
        <n v="1744.0"/>
        <n v="1742.0"/>
        <n v="1492.0"/>
        <n v="1490.0"/>
        <n v="1488.0"/>
        <n v="1192.0"/>
        <n v="1090.0"/>
        <n v="1082.0"/>
        <n v="811.0"/>
        <n v="796.0"/>
        <n v="792.0"/>
        <n v="700.0"/>
        <n v="664.0"/>
        <n v="656.0"/>
        <n v="640.0"/>
        <n v="553.0"/>
        <n v="548.0"/>
        <n v="536.0"/>
        <n v="511.0"/>
        <n v="500.0"/>
        <n v="472.0"/>
        <n v="415.0"/>
        <n v="409.0"/>
        <n v="404.0"/>
        <n v="394.0"/>
        <n v="366.0"/>
        <n v="337.0"/>
        <n v="280.0"/>
        <n v="251.0"/>
        <n v="175.0"/>
        <n v="165.0"/>
        <n v="149.0"/>
        <n v="7188.0"/>
        <n v="5744.0"/>
        <n v="3388.0"/>
        <n v="3025.0"/>
        <n v="2534.0"/>
        <n v="2268.0"/>
        <n v="2036.0"/>
        <n v="1944.0"/>
        <n v="1756.0"/>
        <n v="1680.0"/>
        <n v="1622.0"/>
        <n v="1566.0"/>
        <n v="1310.0"/>
        <n v="1292.0"/>
        <n v="1240.0"/>
        <n v="1219.0"/>
        <n v="1204.0"/>
        <n v="1118.0"/>
        <n v="1058.0"/>
        <n v="1048.0"/>
        <n v="1000.0"/>
        <n v="772.0"/>
        <n v="768.0"/>
        <n v="610.0"/>
        <n v="598.0"/>
        <n v="580.0"/>
        <n v="523.0"/>
        <n v="469.0"/>
        <n v="459.0"/>
        <n v="423.0"/>
        <n v="421.0"/>
        <n v="365.0"/>
        <n v="293.0"/>
        <n v="283.0"/>
        <n v="233.0"/>
        <n v="220.0"/>
        <n v="135.0"/>
      </sharedItems>
    </cacheField>
    <cacheField name="Unit" numFmtId="0">
      <sharedItems containsSemiMixedTypes="0" containsString="0" containsNumber="1" containsInteger="1">
        <n v="1734.0"/>
        <n v="1700.0"/>
        <n v="1553.0"/>
        <n v="1429.0"/>
        <n v="1388.0"/>
        <n v="1385.0"/>
        <n v="1357.0"/>
        <n v="1207.0"/>
        <n v="1182.0"/>
        <n v="2297.0"/>
        <n v="901.0"/>
        <n v="814.0"/>
        <n v="664.0"/>
        <n v="659.0"/>
        <n v="658.0"/>
        <n v="607.0"/>
        <n v="604.0"/>
        <n v="1002.0"/>
        <n v="485.0"/>
        <n v="455.0"/>
        <n v="439.0"/>
        <n v="420.0"/>
        <n v="406.0"/>
        <n v="382.0"/>
        <n v="363.0"/>
        <n v="360.0"/>
        <n v="351.0"/>
        <n v="337.0"/>
        <n v="668.0"/>
        <n v="651.0"/>
        <n v="324.0"/>
        <n v="323.0"/>
        <n v="631.0"/>
        <n v="315.0"/>
        <n v="302.0"/>
        <n v="293.0"/>
        <n v="280.0"/>
        <n v="266.0"/>
        <n v="264.0"/>
        <n v="520.0"/>
        <n v="240.0"/>
        <n v="479.0"/>
        <n v="238.0"/>
        <n v="233.0"/>
        <n v="232.0"/>
        <n v="231.0"/>
        <n v="226.0"/>
        <n v="449.0"/>
        <n v="224.0"/>
        <n v="222.0"/>
        <n v="217.0"/>
        <n v="433.0"/>
        <n v="216.0"/>
        <n v="204.0"/>
        <n v="201.0"/>
        <n v="192.0"/>
        <n v="187.0"/>
        <n v="185.0"/>
        <n v="354.0"/>
        <n v="353.0"/>
        <n v="174.0"/>
        <n v="166.0"/>
        <n v="162.0"/>
        <n v="160.0"/>
        <n v="159.0"/>
        <n v="158.0"/>
        <n v="153.0"/>
        <n v="149.0"/>
        <n v="145.0"/>
        <n v="143.0"/>
        <n v="142.0"/>
        <n v="275.0"/>
        <n v="136.0"/>
        <n v="271.0"/>
        <n v="269.0"/>
        <n v="134.0"/>
        <n v="132.0"/>
        <n v="262.0"/>
        <n v="130.0"/>
        <n v="129.0"/>
        <n v="236.0"/>
        <n v="210.0"/>
        <n v="99.0"/>
        <n v="91.0"/>
        <n v="177.0"/>
        <n v="176.0"/>
        <n v="88.0"/>
        <n v="86.0"/>
        <n v="167.0"/>
        <n v="82.0"/>
        <n v="79.0"/>
        <n v="78.0"/>
        <n v="155.0"/>
        <n v="77.0"/>
        <n v="70.0"/>
        <n v="140.0"/>
        <n v="63.0"/>
        <n v="62.0"/>
        <n v="60.0"/>
        <n v="115.0"/>
        <n v="57.0"/>
        <n v="109.0"/>
        <n v="106.0"/>
        <n v="103.0"/>
        <n v="51.0"/>
        <n v="97.0"/>
        <n v="44.0"/>
        <n v="43.0"/>
        <n v="85.0"/>
        <n v="42.0"/>
        <n v="80.0"/>
        <n v="39.0"/>
        <n v="74.0"/>
        <n v="35.0"/>
        <n v="33.0"/>
        <n v="66.0"/>
        <n v="32.0"/>
        <n v="64.0"/>
        <n v="61.0"/>
        <n v="29.0"/>
        <n v="56.0"/>
        <n v="27.0"/>
        <n v="54.0"/>
        <n v="26.0"/>
        <n v="25.0"/>
        <n v="24.0"/>
        <n v="23.0"/>
        <n v="46.0"/>
        <n v="45.0"/>
        <n v="22.0"/>
        <n v="21.0"/>
        <n v="20.0"/>
        <n v="19.0"/>
        <n v="37.0"/>
        <n v="36.0"/>
        <n v="18.0"/>
        <n v="17.0"/>
        <n v="34.0"/>
        <n v="31.0"/>
        <n v="30.0"/>
        <n v="28.0"/>
        <n v="14.0"/>
        <n v="13.0"/>
        <n v="12.0"/>
        <n v="10.0"/>
        <n v="9.0"/>
        <n v="16.0"/>
        <n v="8.0"/>
        <n v="15.0"/>
        <n v="7.0"/>
        <n v="6.0"/>
        <n v="11.0"/>
        <n v="5.0"/>
        <n v="4.0"/>
        <n v="3.0"/>
        <n v="2.0"/>
        <n v="1.0"/>
        <n v="2780.0"/>
        <n v="2094.0"/>
        <n v="1982.0"/>
        <n v="1735.0"/>
        <n v="2569.0"/>
        <n v="1164.0"/>
        <n v="1146.0"/>
        <n v="1088.0"/>
        <n v="1032.0"/>
        <n v="766.0"/>
        <n v="740.0"/>
        <n v="717.0"/>
        <n v="699.0"/>
        <n v="603.0"/>
        <n v="600.0"/>
        <n v="526.0"/>
        <n v="515.0"/>
        <n v="503.0"/>
        <n v="474.0"/>
        <n v="438.0"/>
        <n v="436.0"/>
        <n v="858.0"/>
        <n v="416.0"/>
        <n v="399.0"/>
        <n v="395.0"/>
        <n v="775.0"/>
        <n v="383.0"/>
        <n v="358.0"/>
        <n v="341.0"/>
        <n v="680.0"/>
        <n v="314.0"/>
        <n v="307.0"/>
        <n v="295.0"/>
        <n v="584.0"/>
        <n v="578.0"/>
        <n v="288.0"/>
        <n v="284.0"/>
        <n v="265.0"/>
        <n v="263.0"/>
        <n v="261.0"/>
        <n v="258.0"/>
        <n v="252.0"/>
        <n v="245.0"/>
        <n v="488.0"/>
        <n v="468.0"/>
        <n v="209.0"/>
        <n v="393.0"/>
        <n v="391.0"/>
        <n v="194.0"/>
        <n v="191.0"/>
        <n v="190.0"/>
        <n v="172.0"/>
        <n v="344.0"/>
        <n v="340.0"/>
        <n v="170.0"/>
        <n v="165.0"/>
        <n v="330.0"/>
        <n v="163.0"/>
        <n v="322.0"/>
        <n v="157.0"/>
        <n v="154.0"/>
        <n v="151.0"/>
        <n v="297.0"/>
        <n v="146.0"/>
        <n v="141.0"/>
        <n v="279.0"/>
        <n v="138.0"/>
        <n v="272.0"/>
        <n v="135.0"/>
        <n v="126.0"/>
        <n v="124.0"/>
        <n v="121.0"/>
        <n v="239.0"/>
        <n v="118.0"/>
        <n v="114.0"/>
        <n v="113.0"/>
        <n v="107.0"/>
        <n v="212.0"/>
        <n v="102.0"/>
        <n v="101.0"/>
        <n v="193.0"/>
        <n v="94.0"/>
        <n v="183.0"/>
        <n v="90.0"/>
        <n v="87.0"/>
        <n v="75.0"/>
        <n v="67.0"/>
        <n v="117.0"/>
        <n v="58.0"/>
        <n v="53.0"/>
        <n v="50.0"/>
        <n v="49.0"/>
        <n v="48.0"/>
        <n v="84.0"/>
        <n v="41.0"/>
        <n v="73.0"/>
        <n v="71.0"/>
        <n v="59.0"/>
        <n v="52.0"/>
        <n v="38.0"/>
        <n v="2936.0"/>
        <n v="2469.0"/>
        <n v="2395.0"/>
        <n v="2075.0"/>
        <n v="1865.0"/>
        <n v="1522.0"/>
        <n v="2924.0"/>
        <n v="1310.0"/>
        <n v="1278.0"/>
        <n v="1039.0"/>
        <n v="934.0"/>
        <n v="869.0"/>
        <n v="818.0"/>
        <n v="786.0"/>
        <n v="660.0"/>
        <n v="1206.0"/>
        <n v="588.0"/>
        <n v="1054.0"/>
        <n v="513.0"/>
        <n v="1012.0"/>
        <n v="1005.0"/>
        <n v="466.0"/>
        <n v="877.0"/>
        <n v="435.0"/>
        <n v="431.0"/>
        <n v="428.0"/>
        <n v="415.0"/>
        <n v="413.0"/>
        <n v="381.0"/>
        <n v="380.0"/>
        <n v="372.0"/>
        <n v="368.0"/>
        <n v="367.0"/>
        <n v="331.0"/>
        <n v="329.0"/>
        <n v="652.0"/>
        <n v="319.0"/>
        <n v="316.0"/>
        <n v="625.0"/>
        <n v="303.0"/>
        <n v="298.0"/>
        <n v="296.0"/>
        <n v="289.0"/>
        <n v="277.0"/>
        <n v="276.0"/>
        <n v="545.0"/>
        <n v="254.0"/>
        <n v="246.0"/>
        <n v="482.0"/>
        <n v="230.0"/>
        <n v="442.0"/>
        <n v="220.0"/>
        <n v="218.0"/>
        <n v="211.0"/>
        <n v="207.0"/>
        <n v="196.0"/>
        <n v="189.0"/>
        <n v="371.0"/>
        <n v="178.0"/>
        <n v="334.0"/>
        <n v="150.0"/>
        <n v="292.0"/>
        <n v="144.0"/>
        <n v="131.0"/>
        <n v="250.0"/>
        <n v="237.0"/>
        <n v="116.0"/>
        <n v="215.0"/>
        <n v="199.0"/>
        <n v="96.0"/>
        <n v="173.0"/>
        <n v="164.0"/>
        <n v="81.0"/>
        <n v="137.0"/>
        <n v="133.0"/>
        <n v="122.0"/>
        <n v="120.0"/>
        <n v="111.0"/>
        <n v="104.0"/>
        <n v="95.0"/>
        <n v="47.0"/>
        <n v="40.0"/>
        <n v="2265.0"/>
        <n v="2047.0"/>
        <n v="2023.0"/>
        <n v="3311.0"/>
        <n v="1616.0"/>
        <n v="1393.0"/>
        <n v="1333.0"/>
        <n v="1196.0"/>
        <n v="1137.0"/>
        <n v="1068.0"/>
        <n v="1058.0"/>
        <n v="807.0"/>
        <n v="780.0"/>
        <n v="728.0"/>
        <n v="642.0"/>
        <n v="609.0"/>
        <n v="548.0"/>
        <n v="536.0"/>
        <n v="517.0"/>
        <n v="489.0"/>
        <n v="950.0"/>
        <n v="936.0"/>
        <n v="459.0"/>
        <n v="888.0"/>
        <n v="441.0"/>
        <n v="417.0"/>
        <n v="405.0"/>
        <n v="388.0"/>
        <n v="722.0"/>
        <n v="345.0"/>
        <n v="343.0"/>
        <n v="333.0"/>
        <n v="313.0"/>
        <n v="311.0"/>
        <n v="308.0"/>
        <n v="586.0"/>
        <n v="267.0"/>
        <n v="243.0"/>
        <n v="234.0"/>
        <n v="458.0"/>
        <n v="228.0"/>
        <n v="208.0"/>
        <n v="206.0"/>
        <n v="403.0"/>
        <n v="179.0"/>
        <n v="338.0"/>
        <n v="321.0"/>
        <n v="309.0"/>
        <n v="281.0"/>
        <n v="225.0"/>
        <n v="219.0"/>
        <n v="186.0"/>
        <n v="89.0"/>
        <n v="152.0"/>
        <n v="76.0"/>
        <n v="72.0"/>
        <n v="68.0"/>
        <n v="128.0"/>
        <n v="127.0"/>
        <n v="119.0"/>
        <n v="2593.0"/>
        <n v="2428.0"/>
        <n v="2241.0"/>
        <n v="2082.0"/>
        <n v="4120.0"/>
        <n v="1729.0"/>
        <n v="1602.0"/>
        <n v="1590.0"/>
        <n v="1583.0"/>
        <n v="1011.0"/>
        <n v="993.0"/>
        <n v="990.0"/>
        <n v="862.0"/>
        <n v="789.0"/>
        <n v="720.0"/>
        <n v="687.0"/>
        <n v="676.0"/>
        <n v="630.0"/>
        <n v="628.0"/>
        <n v="591.0"/>
        <n v="535.0"/>
        <n v="501.0"/>
        <n v="972.0"/>
        <n v="921.0"/>
        <n v="444.0"/>
        <n v="437.0"/>
        <n v="864.0"/>
        <n v="421.0"/>
        <n v="840.0"/>
        <n v="385.0"/>
        <n v="751.0"/>
        <n v="370.0"/>
        <n v="336.0"/>
        <n v="622.0"/>
        <n v="304.0"/>
        <n v="294.0"/>
        <n v="569.0"/>
        <n v="283.0"/>
        <n v="273.0"/>
        <n v="542.0"/>
        <n v="528.0"/>
        <n v="516.0"/>
        <n v="248.0"/>
        <n v="235.0"/>
        <n v="434.0"/>
        <n v="203.0"/>
        <n v="402.0"/>
        <n v="198.0"/>
        <n v="188.0"/>
        <n v="181.0"/>
        <n v="359.0"/>
        <n v="175.0"/>
        <n v="169.0"/>
        <n v="168.0"/>
        <n v="229.0"/>
        <n v="108.0"/>
        <n v="105.0"/>
        <n v="197.0"/>
        <n v="83.0"/>
        <n v="125.0"/>
        <n v="123.0"/>
        <n v="55.0"/>
        <n v="100.0"/>
        <n v="2586.0"/>
        <n v="2316.0"/>
        <n v="1789.0"/>
        <n v="3448.0"/>
        <n v="1489.0"/>
        <n v="1436.0"/>
        <n v="1311.0"/>
        <n v="1304.0"/>
        <n v="1081.0"/>
        <n v="930.0"/>
        <n v="925.0"/>
        <n v="882.0"/>
        <n v="859.0"/>
        <n v="847.0"/>
        <n v="767.0"/>
        <n v="724.0"/>
        <n v="582.0"/>
        <n v="1105.0"/>
        <n v="539.0"/>
        <n v="486.0"/>
        <n v="467.0"/>
        <n v="461.0"/>
        <n v="429.0"/>
        <n v="407.0"/>
        <n v="404.0"/>
        <n v="782.0"/>
        <n v="374.0"/>
        <n v="671.0"/>
        <n v="312.0"/>
        <n v="525.0"/>
        <n v="257.0"/>
        <n v="514.0"/>
        <n v="502.0"/>
        <n v="491.0"/>
        <n v="477.0"/>
        <n v="462.0"/>
        <n v="456.0"/>
        <n v="223.0"/>
        <n v="422.0"/>
        <n v="398.0"/>
        <n v="195.0"/>
        <n v="335.0"/>
        <n v="148.0"/>
        <n v="147.0"/>
        <n v="205.0"/>
        <n v="65.0"/>
        <n v="112.0"/>
        <n v="93.0"/>
        <n v="92.0"/>
        <n v="2997.0"/>
        <n v="4256.0"/>
        <n v="2042.0"/>
        <n v="2037.0"/>
        <n v="1985.0"/>
        <n v="1604.0"/>
        <n v="1569.0"/>
        <n v="1511.0"/>
        <n v="1119.0"/>
        <n v="1019.0"/>
        <n v="943.0"/>
        <n v="893.0"/>
        <n v="836.0"/>
        <n v="824.0"/>
        <n v="763.0"/>
        <n v="706.0"/>
        <n v="698.0"/>
        <n v="1124.0"/>
        <n v="530.0"/>
        <n v="1051.0"/>
        <n v="522.0"/>
        <n v="505.0"/>
        <n v="974.0"/>
        <n v="454.0"/>
        <n v="447.0"/>
        <n v="446.0"/>
        <n v="423.0"/>
        <n v="412.0"/>
        <n v="770.0"/>
        <n v="748.0"/>
        <n v="364.0"/>
        <n v="362.0"/>
        <n v="255.0"/>
        <n v="251.0"/>
        <n v="241.0"/>
        <n v="448.0"/>
        <n v="182.0"/>
        <n v="180.0"/>
        <n v="349.0"/>
        <n v="317.0"/>
        <n v="278.0"/>
        <n v="244.0"/>
        <n v="156.0"/>
        <n v="69.0"/>
        <n v="2446.0"/>
        <n v="2355.0"/>
        <n v="2347.0"/>
        <n v="2193.0"/>
        <n v="2910.0"/>
        <n v="1455.0"/>
        <n v="1372.0"/>
        <n v="1371.0"/>
        <n v="1307.0"/>
        <n v="1272.0"/>
        <n v="1157.0"/>
        <n v="829.0"/>
        <n v="1651.0"/>
        <n v="817.0"/>
        <n v="729.0"/>
        <n v="716.0"/>
        <n v="678.0"/>
        <n v="624.0"/>
        <n v="606.0"/>
        <n v="570.0"/>
        <n v="1046.0"/>
        <n v="507.0"/>
        <n v="490.0"/>
        <n v="453.0"/>
        <n v="443.0"/>
        <n v="389.0"/>
        <n v="348.0"/>
        <n v="669.0"/>
        <n v="666.0"/>
        <n v="641.0"/>
        <n v="287.0"/>
        <n v="282.0"/>
        <n v="549.0"/>
        <n v="270.0"/>
        <n v="256.0"/>
        <n v="432.0"/>
        <n v="356.0"/>
        <n v="161.0"/>
        <n v="285.0"/>
        <n v="247.0"/>
        <n v="3035.0"/>
        <n v="2664.0"/>
        <n v="1873.0"/>
        <n v="1812.0"/>
        <n v="3365.0"/>
        <n v="1521.0"/>
        <n v="1419.0"/>
        <n v="1165.0"/>
        <n v="1143.0"/>
        <n v="1132.0"/>
        <n v="1118.0"/>
        <n v="1048.0"/>
        <n v="1016.0"/>
        <n v="821.0"/>
        <n v="674.0"/>
        <n v="623.0"/>
        <n v="1239.0"/>
        <n v="587.0"/>
        <n v="573.0"/>
        <n v="532.0"/>
        <n v="519.0"/>
        <n v="470.0"/>
        <n v="913.0"/>
        <n v="838.0"/>
        <n v="741.0"/>
        <n v="342.0"/>
        <n v="568.0"/>
        <n v="562.0"/>
        <n v="552.0"/>
        <n v="373.0"/>
        <n v="184.0"/>
        <n v="171.0"/>
        <n v="291.0"/>
        <n v="260.0"/>
        <n v="227.0"/>
        <n v="213.0"/>
        <n v="98.0"/>
        <n v="139.0"/>
        <n v="3162.0"/>
        <n v="2873.0"/>
        <n v="2105.0"/>
        <n v="1784.0"/>
        <n v="3336.0"/>
        <n v="1647.0"/>
        <n v="1585.0"/>
        <n v="1242.0"/>
        <n v="1228.0"/>
        <n v="964.0"/>
        <n v="956.0"/>
        <n v="765.0"/>
        <n v="732.0"/>
        <n v="626.0"/>
        <n v="619.0"/>
        <n v="592.0"/>
        <n v="557.0"/>
        <n v="506.0"/>
        <n v="487.0"/>
        <n v="440.0"/>
        <n v="857.0"/>
        <n v="845.0"/>
        <n v="419.0"/>
        <n v="352.0"/>
        <n v="318.0"/>
        <n v="301.0"/>
        <n v="594.0"/>
        <n v="593.0"/>
        <n v="559.0"/>
        <n v="253.0"/>
        <n v="242.0"/>
        <n v="221.0"/>
        <n v="414.0"/>
        <n v="378.0"/>
        <n v="259.0"/>
        <n v="2494.0"/>
        <n v="2236.0"/>
        <n v="2061.0"/>
        <n v="2024.0"/>
        <n v="1871.0"/>
        <n v="1252.0"/>
        <n v="1244.0"/>
        <n v="2140.0"/>
        <n v="995.0"/>
        <n v="872.0"/>
        <n v="871.0"/>
        <n v="746.0"/>
        <n v="745.0"/>
        <n v="744.0"/>
        <n v="596.0"/>
        <n v="1090.0"/>
        <n v="541.0"/>
        <n v="811.0"/>
        <n v="396.0"/>
        <n v="350.0"/>
        <n v="332.0"/>
        <n v="328.0"/>
        <n v="320.0"/>
        <n v="553.0"/>
        <n v="268.0"/>
        <n v="511.0"/>
        <n v="452.0"/>
        <n v="409.0"/>
        <n v="202.0"/>
        <n v="390.0"/>
        <n v="286.0"/>
        <n v="3594.0"/>
        <n v="2872.0"/>
        <n v="1694.0"/>
        <n v="3025.0"/>
        <n v="1267.0"/>
        <n v="1134.0"/>
        <n v="1018.0"/>
        <n v="878.0"/>
        <n v="783.0"/>
        <n v="655.0"/>
        <n v="646.0"/>
        <n v="620.0"/>
        <n v="1219.0"/>
        <n v="602.0"/>
        <n v="529.0"/>
        <n v="524.0"/>
        <n v="500.0"/>
        <n v="386.0"/>
        <n v="384.0"/>
        <n v="305.0"/>
        <n v="299.0"/>
        <n v="580.0"/>
        <n v="550.0"/>
        <n v="523.0"/>
        <n v="469.0"/>
        <n v="464.0"/>
        <n v="376.0"/>
        <n v="365.0"/>
        <n v="11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TAQ 2022 Container" cacheId="0" dataCaption="" compact="0" compactData="0">
  <location ref="J3:V5" firstHeaderRow="0" firstDataRow="0" firstDataCol="1" rowPageCount="1" colPageCount="1"/>
  <pivotFields>
    <pivotField name="Month" axis="axisCol" compact="0" outline="0" multipleItemSelectionAllowed="1" showAll="0" sortType="ascending">
      <items>
        <item x="3"/>
        <item x="7"/>
        <item x="11"/>
        <item x="1"/>
        <item x="0"/>
        <item x="6"/>
        <item x="5"/>
        <item x="4"/>
        <item x="2"/>
        <item x="10"/>
        <item x="9"/>
        <item x="8"/>
        <item t="default"/>
      </items>
    </pivotField>
    <pivotField name="Type" axis="axisPage" compact="0" outline="0" multipleItemSelectionAllowed="1" showAll="0">
      <items>
        <item x="0"/>
        <item x="1"/>
        <item x="2"/>
        <item x="3"/>
        <item t="default"/>
      </items>
    </pivotField>
    <pivotField name="UF Ori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UF Dest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 TEU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t="default"/>
      </items>
    </pivotField>
    <pivotField name="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t="default"/>
      </items>
    </pivotField>
  </pivotFields>
  <colFields>
    <field x="0"/>
  </colFields>
  <pageFields>
    <pageField fld="1"/>
  </pageFields>
</pivotTableDefinition>
</file>

<file path=xl/pivotTables/pivotTable2.xml><?xml version="1.0" encoding="utf-8"?>
<pivotTableDefinition xmlns="http://schemas.openxmlformats.org/spreadsheetml/2006/main" name="Pivot Container" cacheId="0" dataCaption="" compact="0" compactData="0">
  <location ref="A3:M16" firstHeaderRow="0" firstDataRow="1" firstDataCol="1" rowPageCount="1" colPageCount="1"/>
  <pivotFields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ype" axis="axisPage" compact="0" outline="0" multipleItemSelectionAllowed="1" showAll="0">
      <items>
        <item h="1" x="0"/>
        <item h="1" x="1"/>
        <item x="2"/>
        <item h="1" x="3"/>
        <item t="default"/>
      </items>
    </pivotField>
    <pivotField name="UF Origin" axis="axisRow" compact="0" outline="0" multipleItemSelectionAllowed="1" showAll="0" sortType="ascending">
      <items>
        <item x="3"/>
        <item h="1" x="12"/>
        <item x="8"/>
        <item x="5"/>
        <item x="4"/>
        <item x="11"/>
        <item x="9"/>
        <item x="2"/>
        <item x="10"/>
        <item x="1"/>
        <item x="7"/>
        <item x="6"/>
        <item x="0"/>
        <item t="default"/>
      </items>
    </pivotField>
    <pivotField name="UF Destination" axis="axisCol" compact="0" outline="0" multipleItemSelectionAllowed="1" showAll="0" sortType="ascending">
      <items>
        <item x="3"/>
        <item x="8"/>
        <item x="5"/>
        <item x="1"/>
        <item x="10"/>
        <item x="11"/>
        <item x="0"/>
        <item x="2"/>
        <item x="6"/>
        <item h="1" x="12"/>
        <item x="9"/>
        <item x="7"/>
        <item x="4"/>
        <item t="default"/>
      </items>
    </pivotField>
    <pivotField name=" TEU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t="default"/>
      </items>
    </pivotField>
    <pivotField name="Un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t="default"/>
      </items>
    </pivotField>
  </pivotFields>
  <rowFields>
    <field x="2"/>
  </rowFields>
  <colFields>
    <field x="3"/>
  </colFields>
  <pageFields>
    <pageField fld="1"/>
  </pageFields>
  <dataFields>
    <dataField name="Soma de Unit" fld="5" baseField="0"/>
  </dataFields>
</pivotTableDefinition>
</file>

<file path=xl/tables/table1.xml><?xml version="1.0" encoding="utf-8"?>
<table xmlns="http://schemas.openxmlformats.org/spreadsheetml/2006/main" ref="A1:F79" displayName="Table_1" id="1">
  <tableColumns count="6">
    <tableColumn name="Month" id="1"/>
    <tableColumn name="Type" id="2"/>
    <tableColumn name="UF Origin" id="3"/>
    <tableColumn name="UF Destination" id="4"/>
    <tableColumn name="TEU" id="5"/>
    <tableColumn name="Unit" id="6"/>
  </tableColumns>
  <tableStyleInfo name="Detalhe1-A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5.71"/>
    <col customWidth="1" min="3" max="3" width="28.86"/>
    <col customWidth="1" min="4" max="6" width="15.71"/>
    <col customWidth="1" min="7" max="7" width="9.43"/>
    <col customWidth="1" min="8" max="9" width="8.71"/>
    <col customWidth="1" min="10" max="10" width="11.14"/>
    <col customWidth="1" min="11" max="11" width="17.71"/>
    <col customWidth="1" min="12" max="12" width="7.43"/>
    <col customWidth="1" min="13" max="13" width="8.43"/>
    <col customWidth="1" min="14" max="14" width="7.43"/>
    <col customWidth="1" min="15" max="15" width="8.43"/>
    <col customWidth="1" min="16" max="16" width="7.43"/>
    <col customWidth="1" min="17" max="18" width="8.43"/>
    <col customWidth="1" min="19" max="22" width="7.43"/>
    <col customWidth="1" min="23" max="23" width="9.86"/>
  </cols>
  <sheetData>
    <row r="1" ht="14.25" customHeight="1">
      <c r="B1" s="1"/>
      <c r="C1" s="1"/>
      <c r="D1" s="1"/>
      <c r="E1" s="1"/>
      <c r="F1" s="2"/>
      <c r="J1" s="3"/>
      <c r="K1" s="3"/>
    </row>
    <row r="2" ht="14.25" customHeight="1">
      <c r="B2" s="4" t="s">
        <v>0</v>
      </c>
      <c r="C2" s="4" t="s">
        <v>1</v>
      </c>
      <c r="D2" s="4" t="s">
        <v>2</v>
      </c>
      <c r="E2" s="4" t="s">
        <v>3</v>
      </c>
      <c r="F2" s="5" t="s">
        <v>4</v>
      </c>
      <c r="G2" s="6" t="s">
        <v>5</v>
      </c>
    </row>
    <row r="3" ht="14.25" hidden="1" customHeight="1">
      <c r="B3" s="7" t="s">
        <v>6</v>
      </c>
      <c r="C3" s="7" t="s">
        <v>7</v>
      </c>
      <c r="D3" s="7" t="s">
        <v>8</v>
      </c>
      <c r="E3" s="7" t="s">
        <v>9</v>
      </c>
      <c r="F3" s="8">
        <v>3468.0</v>
      </c>
      <c r="G3" s="9">
        <v>1734.0</v>
      </c>
    </row>
    <row r="4" ht="14.25" hidden="1" customHeight="1">
      <c r="B4" s="7" t="s">
        <v>6</v>
      </c>
      <c r="C4" s="7" t="s">
        <v>7</v>
      </c>
      <c r="D4" s="7" t="s">
        <v>10</v>
      </c>
      <c r="E4" s="7" t="s">
        <v>11</v>
      </c>
      <c r="F4" s="8">
        <v>3400.0</v>
      </c>
      <c r="G4" s="9">
        <v>1700.0</v>
      </c>
    </row>
    <row r="5" ht="14.25" hidden="1" customHeight="1">
      <c r="B5" s="7" t="s">
        <v>6</v>
      </c>
      <c r="C5" s="7" t="s">
        <v>7</v>
      </c>
      <c r="D5" s="7" t="s">
        <v>8</v>
      </c>
      <c r="E5" s="7" t="s">
        <v>24</v>
      </c>
      <c r="F5" s="8">
        <v>3106.0</v>
      </c>
      <c r="G5" s="9">
        <v>1553.0</v>
      </c>
    </row>
    <row r="6" ht="14.25" hidden="1" customHeight="1">
      <c r="B6" s="7" t="s">
        <v>6</v>
      </c>
      <c r="C6" s="7" t="s">
        <v>7</v>
      </c>
      <c r="D6" s="7" t="s">
        <v>8</v>
      </c>
      <c r="E6" s="7" t="s">
        <v>11</v>
      </c>
      <c r="F6" s="8">
        <v>2858.0</v>
      </c>
      <c r="G6" s="9">
        <v>1429.0</v>
      </c>
    </row>
    <row r="7" ht="14.25" hidden="1" customHeight="1">
      <c r="B7" s="7" t="s">
        <v>6</v>
      </c>
      <c r="C7" s="7" t="s">
        <v>7</v>
      </c>
      <c r="D7" s="7" t="s">
        <v>8</v>
      </c>
      <c r="E7" s="7" t="s">
        <v>25</v>
      </c>
      <c r="F7" s="8">
        <v>2776.0</v>
      </c>
      <c r="G7" s="9">
        <v>1388.0</v>
      </c>
    </row>
    <row r="8" ht="14.25" hidden="1" customHeight="1">
      <c r="B8" s="7" t="s">
        <v>6</v>
      </c>
      <c r="C8" s="7" t="s">
        <v>7</v>
      </c>
      <c r="D8" s="7" t="s">
        <v>9</v>
      </c>
      <c r="E8" s="7" t="s">
        <v>25</v>
      </c>
      <c r="F8" s="8">
        <v>2770.0</v>
      </c>
      <c r="G8" s="9">
        <v>1385.0</v>
      </c>
      <c r="J8" s="16" t="s">
        <v>26</v>
      </c>
      <c r="K8" s="16" t="s">
        <v>6</v>
      </c>
      <c r="L8" s="16" t="s">
        <v>15</v>
      </c>
      <c r="M8" s="16" t="s">
        <v>19</v>
      </c>
      <c r="N8" s="16" t="s">
        <v>12</v>
      </c>
      <c r="O8" s="16" t="s">
        <v>18</v>
      </c>
      <c r="P8" s="16" t="s">
        <v>17</v>
      </c>
      <c r="Q8" s="16" t="s">
        <v>16</v>
      </c>
      <c r="R8" s="16" t="s">
        <v>13</v>
      </c>
      <c r="S8" s="16" t="s">
        <v>22</v>
      </c>
      <c r="T8" s="16" t="s">
        <v>21</v>
      </c>
      <c r="U8" s="16" t="s">
        <v>20</v>
      </c>
      <c r="V8" s="16" t="s">
        <v>14</v>
      </c>
      <c r="W8" s="16" t="s">
        <v>27</v>
      </c>
    </row>
    <row r="9" ht="14.25" hidden="1" customHeight="1">
      <c r="B9" s="7" t="s">
        <v>6</v>
      </c>
      <c r="C9" s="7" t="s">
        <v>7</v>
      </c>
      <c r="D9" s="7" t="s">
        <v>25</v>
      </c>
      <c r="E9" s="7" t="s">
        <v>8</v>
      </c>
      <c r="F9" s="8">
        <v>2714.0</v>
      </c>
      <c r="G9" s="9">
        <v>1357.0</v>
      </c>
      <c r="J9" s="17" t="s">
        <v>4</v>
      </c>
      <c r="K9" s="18">
        <v>81649.0</v>
      </c>
      <c r="L9" s="18">
        <v>83841.0</v>
      </c>
      <c r="M9" s="18">
        <v>102020.0</v>
      </c>
      <c r="N9" s="18">
        <v>91011.0</v>
      </c>
      <c r="O9" s="18">
        <v>104467.0</v>
      </c>
      <c r="P9" s="18">
        <v>97384.0</v>
      </c>
      <c r="Q9" s="18">
        <v>105192.0</v>
      </c>
      <c r="R9" s="18">
        <v>100343.0</v>
      </c>
      <c r="S9" s="18">
        <v>99251.0</v>
      </c>
      <c r="T9" s="18">
        <v>99655.0</v>
      </c>
      <c r="U9" s="18">
        <v>86179.0</v>
      </c>
      <c r="V9" s="18">
        <v>87708.0</v>
      </c>
      <c r="W9" s="18">
        <v>1138700.0</v>
      </c>
    </row>
    <row r="10" ht="14.25" hidden="1" customHeight="1">
      <c r="B10" s="7" t="s">
        <v>6</v>
      </c>
      <c r="C10" s="7" t="s">
        <v>7</v>
      </c>
      <c r="D10" s="7" t="s">
        <v>25</v>
      </c>
      <c r="E10" s="7" t="s">
        <v>8</v>
      </c>
      <c r="F10" s="8">
        <v>2414.0</v>
      </c>
      <c r="G10" s="9">
        <v>1207.0</v>
      </c>
    </row>
    <row r="11" ht="14.25" hidden="1" customHeight="1">
      <c r="B11" s="7" t="s">
        <v>6</v>
      </c>
      <c r="C11" s="7" t="s">
        <v>7</v>
      </c>
      <c r="D11" s="7" t="s">
        <v>8</v>
      </c>
      <c r="E11" s="7" t="s">
        <v>28</v>
      </c>
      <c r="F11" s="8">
        <v>2364.0</v>
      </c>
      <c r="G11" s="9">
        <v>1182.0</v>
      </c>
    </row>
    <row r="12" ht="14.25" hidden="1" customHeight="1">
      <c r="B12" s="7" t="s">
        <v>6</v>
      </c>
      <c r="C12" s="7" t="s">
        <v>29</v>
      </c>
      <c r="D12" s="7" t="s">
        <v>11</v>
      </c>
      <c r="E12" s="7" t="s">
        <v>10</v>
      </c>
      <c r="F12" s="8">
        <v>2297.0</v>
      </c>
      <c r="G12" s="9">
        <v>2297.0</v>
      </c>
    </row>
    <row r="13" ht="14.25" hidden="1" customHeight="1">
      <c r="B13" s="7" t="s">
        <v>6</v>
      </c>
      <c r="C13" s="7" t="s">
        <v>7</v>
      </c>
      <c r="D13" s="7" t="s">
        <v>25</v>
      </c>
      <c r="E13" s="7" t="s">
        <v>9</v>
      </c>
      <c r="F13" s="8">
        <v>1802.0</v>
      </c>
      <c r="G13" s="9">
        <v>901.0</v>
      </c>
    </row>
    <row r="14" ht="14.25" hidden="1" customHeight="1">
      <c r="B14" s="7" t="s">
        <v>6</v>
      </c>
      <c r="C14" s="7" t="s">
        <v>7</v>
      </c>
      <c r="D14" s="7" t="s">
        <v>28</v>
      </c>
      <c r="E14" s="7" t="s">
        <v>25</v>
      </c>
      <c r="F14" s="8">
        <v>1628.0</v>
      </c>
      <c r="G14" s="9">
        <v>814.0</v>
      </c>
    </row>
    <row r="15" ht="14.25" hidden="1" customHeight="1">
      <c r="B15" s="7" t="s">
        <v>6</v>
      </c>
      <c r="C15" s="7" t="s">
        <v>30</v>
      </c>
      <c r="D15" s="7" t="s">
        <v>31</v>
      </c>
      <c r="E15" s="7" t="s">
        <v>25</v>
      </c>
      <c r="F15" s="8">
        <v>1328.0</v>
      </c>
      <c r="G15" s="9">
        <v>664.0</v>
      </c>
    </row>
    <row r="16" ht="14.25" hidden="1" customHeight="1">
      <c r="B16" s="7" t="s">
        <v>6</v>
      </c>
      <c r="C16" s="7" t="s">
        <v>7</v>
      </c>
      <c r="D16" s="7" t="s">
        <v>31</v>
      </c>
      <c r="E16" s="7" t="s">
        <v>28</v>
      </c>
      <c r="F16" s="8">
        <v>1318.0</v>
      </c>
      <c r="G16" s="9">
        <v>659.0</v>
      </c>
    </row>
    <row r="17" ht="14.25" hidden="1" customHeight="1">
      <c r="B17" s="7" t="s">
        <v>6</v>
      </c>
      <c r="C17" s="7" t="s">
        <v>7</v>
      </c>
      <c r="D17" s="7" t="s">
        <v>31</v>
      </c>
      <c r="E17" s="7" t="s">
        <v>25</v>
      </c>
      <c r="F17" s="8">
        <v>1316.0</v>
      </c>
      <c r="G17" s="9">
        <v>658.0</v>
      </c>
    </row>
    <row r="18" ht="14.25" hidden="1" customHeight="1">
      <c r="B18" s="7" t="s">
        <v>6</v>
      </c>
      <c r="C18" s="7" t="s">
        <v>7</v>
      </c>
      <c r="D18" s="7" t="s">
        <v>31</v>
      </c>
      <c r="E18" s="7" t="s">
        <v>9</v>
      </c>
      <c r="F18" s="8">
        <v>1214.0</v>
      </c>
      <c r="G18" s="9">
        <v>607.0</v>
      </c>
    </row>
    <row r="19" ht="14.25" hidden="1" customHeight="1">
      <c r="B19" s="7" t="s">
        <v>6</v>
      </c>
      <c r="C19" s="7" t="s">
        <v>7</v>
      </c>
      <c r="D19" s="7" t="s">
        <v>9</v>
      </c>
      <c r="E19" s="7" t="s">
        <v>8</v>
      </c>
      <c r="F19" s="8">
        <v>1208.0</v>
      </c>
      <c r="G19" s="9">
        <v>604.0</v>
      </c>
    </row>
    <row r="20" ht="14.25" hidden="1" customHeight="1">
      <c r="B20" s="7" t="s">
        <v>6</v>
      </c>
      <c r="C20" s="7" t="s">
        <v>29</v>
      </c>
      <c r="D20" s="7" t="s">
        <v>8</v>
      </c>
      <c r="E20" s="7" t="s">
        <v>24</v>
      </c>
      <c r="F20" s="8">
        <v>1002.0</v>
      </c>
      <c r="G20" s="9">
        <v>1002.0</v>
      </c>
    </row>
    <row r="21" ht="14.25" hidden="1" customHeight="1">
      <c r="B21" s="7" t="s">
        <v>6</v>
      </c>
      <c r="C21" s="7" t="s">
        <v>7</v>
      </c>
      <c r="D21" s="7" t="s">
        <v>9</v>
      </c>
      <c r="E21" s="7" t="s">
        <v>10</v>
      </c>
      <c r="F21" s="8">
        <v>970.0</v>
      </c>
      <c r="G21" s="9">
        <v>485.0</v>
      </c>
    </row>
    <row r="22" ht="14.25" customHeight="1">
      <c r="B22" s="7" t="s">
        <v>6</v>
      </c>
      <c r="C22" s="7" t="s">
        <v>7</v>
      </c>
      <c r="D22" s="7" t="s">
        <v>8</v>
      </c>
      <c r="E22" s="7" t="s">
        <v>31</v>
      </c>
      <c r="F22" s="8">
        <v>910.0</v>
      </c>
      <c r="G22" s="9">
        <v>455.0</v>
      </c>
    </row>
    <row r="23" ht="14.25" hidden="1" customHeight="1">
      <c r="B23" s="7" t="s">
        <v>6</v>
      </c>
      <c r="C23" s="7" t="s">
        <v>7</v>
      </c>
      <c r="D23" s="7" t="s">
        <v>31</v>
      </c>
      <c r="E23" s="7" t="s">
        <v>9</v>
      </c>
      <c r="F23" s="8">
        <v>878.0</v>
      </c>
      <c r="G23" s="9">
        <v>439.0</v>
      </c>
    </row>
    <row r="24" ht="14.25" hidden="1" customHeight="1">
      <c r="B24" s="7" t="s">
        <v>6</v>
      </c>
      <c r="C24" s="7" t="s">
        <v>30</v>
      </c>
      <c r="D24" s="7" t="s">
        <v>31</v>
      </c>
      <c r="E24" s="7" t="s">
        <v>9</v>
      </c>
      <c r="F24" s="8">
        <v>840.0</v>
      </c>
      <c r="G24" s="9">
        <v>420.0</v>
      </c>
    </row>
    <row r="25" ht="14.25" hidden="1" customHeight="1">
      <c r="B25" s="7" t="s">
        <v>6</v>
      </c>
      <c r="C25" s="7" t="s">
        <v>7</v>
      </c>
      <c r="D25" s="7" t="s">
        <v>10</v>
      </c>
      <c r="E25" s="7" t="s">
        <v>8</v>
      </c>
      <c r="F25" s="8">
        <v>812.0</v>
      </c>
      <c r="G25" s="9">
        <v>406.0</v>
      </c>
    </row>
    <row r="26" ht="14.25" hidden="1" customHeight="1">
      <c r="B26" s="7" t="s">
        <v>6</v>
      </c>
      <c r="C26" s="7" t="s">
        <v>7</v>
      </c>
      <c r="D26" s="7" t="s">
        <v>25</v>
      </c>
      <c r="E26" s="7" t="s">
        <v>10</v>
      </c>
      <c r="F26" s="8">
        <v>764.0</v>
      </c>
      <c r="G26" s="9">
        <v>382.0</v>
      </c>
    </row>
    <row r="27" ht="14.25" hidden="1" customHeight="1">
      <c r="B27" s="7" t="s">
        <v>6</v>
      </c>
      <c r="C27" s="7" t="s">
        <v>30</v>
      </c>
      <c r="D27" s="7" t="s">
        <v>8</v>
      </c>
      <c r="E27" s="7" t="s">
        <v>24</v>
      </c>
      <c r="F27" s="8">
        <v>726.0</v>
      </c>
      <c r="G27" s="9">
        <v>363.0</v>
      </c>
    </row>
    <row r="28" ht="14.25" hidden="1" customHeight="1">
      <c r="B28" s="7" t="s">
        <v>6</v>
      </c>
      <c r="C28" s="7" t="s">
        <v>7</v>
      </c>
      <c r="D28" s="7" t="s">
        <v>8</v>
      </c>
      <c r="E28" s="7" t="s">
        <v>10</v>
      </c>
      <c r="F28" s="8">
        <v>720.0</v>
      </c>
      <c r="G28" s="9">
        <v>360.0</v>
      </c>
    </row>
    <row r="29" ht="14.25" hidden="1" customHeight="1">
      <c r="B29" s="7" t="s">
        <v>6</v>
      </c>
      <c r="C29" s="7" t="s">
        <v>7</v>
      </c>
      <c r="D29" s="7" t="s">
        <v>25</v>
      </c>
      <c r="E29" s="7" t="s">
        <v>28</v>
      </c>
      <c r="F29" s="8">
        <v>702.0</v>
      </c>
      <c r="G29" s="9">
        <v>351.0</v>
      </c>
    </row>
    <row r="30" ht="14.25" hidden="1" customHeight="1">
      <c r="B30" s="7" t="s">
        <v>6</v>
      </c>
      <c r="C30" s="7" t="s">
        <v>7</v>
      </c>
      <c r="D30" s="7" t="s">
        <v>8</v>
      </c>
      <c r="E30" s="7" t="s">
        <v>10</v>
      </c>
      <c r="F30" s="8">
        <v>674.0</v>
      </c>
      <c r="G30" s="9">
        <v>337.0</v>
      </c>
    </row>
    <row r="31" ht="14.25" hidden="1" customHeight="1">
      <c r="B31" s="7" t="s">
        <v>6</v>
      </c>
      <c r="C31" s="7" t="s">
        <v>29</v>
      </c>
      <c r="D31" s="7" t="s">
        <v>32</v>
      </c>
      <c r="E31" s="7" t="s">
        <v>28</v>
      </c>
      <c r="F31" s="8">
        <v>668.0</v>
      </c>
      <c r="G31" s="9">
        <v>668.0</v>
      </c>
    </row>
    <row r="32" ht="14.25" hidden="1" customHeight="1">
      <c r="B32" s="7" t="s">
        <v>6</v>
      </c>
      <c r="C32" s="7" t="s">
        <v>29</v>
      </c>
      <c r="D32" s="7" t="s">
        <v>10</v>
      </c>
      <c r="E32" s="7" t="s">
        <v>11</v>
      </c>
      <c r="F32" s="8">
        <v>651.0</v>
      </c>
      <c r="G32" s="9">
        <v>651.0</v>
      </c>
    </row>
    <row r="33" ht="14.25" hidden="1" customHeight="1">
      <c r="B33" s="7" t="s">
        <v>6</v>
      </c>
      <c r="C33" s="7" t="s">
        <v>7</v>
      </c>
      <c r="D33" s="7" t="s">
        <v>8</v>
      </c>
      <c r="E33" s="7" t="s">
        <v>33</v>
      </c>
      <c r="F33" s="8">
        <v>648.0</v>
      </c>
      <c r="G33" s="9">
        <v>324.0</v>
      </c>
    </row>
    <row r="34" ht="14.25" hidden="1" customHeight="1">
      <c r="B34" s="7" t="s">
        <v>6</v>
      </c>
      <c r="C34" s="7" t="s">
        <v>7</v>
      </c>
      <c r="D34" s="7" t="s">
        <v>9</v>
      </c>
      <c r="E34" s="7" t="s">
        <v>8</v>
      </c>
      <c r="F34" s="8">
        <v>646.0</v>
      </c>
      <c r="G34" s="9">
        <v>323.0</v>
      </c>
    </row>
    <row r="35" ht="14.25" hidden="1" customHeight="1">
      <c r="B35" s="7" t="s">
        <v>6</v>
      </c>
      <c r="C35" s="7" t="s">
        <v>29</v>
      </c>
      <c r="D35" s="7" t="s">
        <v>31</v>
      </c>
      <c r="E35" s="7" t="s">
        <v>28</v>
      </c>
      <c r="F35" s="8">
        <v>631.0</v>
      </c>
      <c r="G35" s="9">
        <v>631.0</v>
      </c>
    </row>
    <row r="36" ht="14.25" hidden="1" customHeight="1">
      <c r="B36" s="7" t="s">
        <v>6</v>
      </c>
      <c r="C36" s="7" t="s">
        <v>7</v>
      </c>
      <c r="D36" s="7" t="s">
        <v>25</v>
      </c>
      <c r="E36" s="7" t="s">
        <v>31</v>
      </c>
      <c r="F36" s="8">
        <v>630.0</v>
      </c>
      <c r="G36" s="9">
        <v>315.0</v>
      </c>
    </row>
    <row r="37" ht="14.25" customHeight="1">
      <c r="B37" s="7" t="s">
        <v>6</v>
      </c>
      <c r="C37" s="7" t="s">
        <v>7</v>
      </c>
      <c r="D37" s="7" t="s">
        <v>8</v>
      </c>
      <c r="E37" s="7" t="s">
        <v>31</v>
      </c>
      <c r="F37" s="8">
        <v>604.0</v>
      </c>
      <c r="G37" s="9">
        <v>302.0</v>
      </c>
    </row>
    <row r="38" ht="14.25" hidden="1" customHeight="1">
      <c r="B38" s="7" t="s">
        <v>6</v>
      </c>
      <c r="C38" s="7" t="s">
        <v>7</v>
      </c>
      <c r="D38" s="7" t="s">
        <v>10</v>
      </c>
      <c r="E38" s="7" t="s">
        <v>9</v>
      </c>
      <c r="F38" s="8">
        <v>586.0</v>
      </c>
      <c r="G38" s="9">
        <v>293.0</v>
      </c>
    </row>
    <row r="39" ht="14.25" hidden="1" customHeight="1">
      <c r="B39" s="7" t="s">
        <v>6</v>
      </c>
      <c r="C39" s="7" t="s">
        <v>7</v>
      </c>
      <c r="D39" s="7" t="s">
        <v>33</v>
      </c>
      <c r="E39" s="7" t="s">
        <v>8</v>
      </c>
      <c r="F39" s="8">
        <v>560.0</v>
      </c>
      <c r="G39" s="9">
        <v>280.0</v>
      </c>
    </row>
    <row r="40" ht="14.25" hidden="1" customHeight="1">
      <c r="B40" s="7" t="s">
        <v>6</v>
      </c>
      <c r="C40" s="7" t="s">
        <v>7</v>
      </c>
      <c r="D40" s="7" t="s">
        <v>31</v>
      </c>
      <c r="E40" s="7" t="s">
        <v>24</v>
      </c>
      <c r="F40" s="8">
        <v>532.0</v>
      </c>
      <c r="G40" s="9">
        <v>266.0</v>
      </c>
    </row>
    <row r="41" ht="14.25" hidden="1" customHeight="1">
      <c r="B41" s="7" t="s">
        <v>6</v>
      </c>
      <c r="C41" s="7" t="s">
        <v>7</v>
      </c>
      <c r="D41" s="7" t="s">
        <v>10</v>
      </c>
      <c r="E41" s="7" t="s">
        <v>8</v>
      </c>
      <c r="F41" s="8">
        <v>528.0</v>
      </c>
      <c r="G41" s="9">
        <v>264.0</v>
      </c>
    </row>
    <row r="42" ht="14.25" hidden="1" customHeight="1">
      <c r="B42" s="7" t="s">
        <v>6</v>
      </c>
      <c r="C42" s="7" t="s">
        <v>29</v>
      </c>
      <c r="D42" s="7" t="s">
        <v>31</v>
      </c>
      <c r="E42" s="7" t="s">
        <v>9</v>
      </c>
      <c r="F42" s="8">
        <v>520.0</v>
      </c>
      <c r="G42" s="9">
        <v>520.0</v>
      </c>
    </row>
    <row r="43" ht="14.25" hidden="1" customHeight="1">
      <c r="B43" s="7" t="s">
        <v>6</v>
      </c>
      <c r="C43" s="7" t="s">
        <v>7</v>
      </c>
      <c r="D43" s="7" t="s">
        <v>10</v>
      </c>
      <c r="E43" s="7" t="s">
        <v>33</v>
      </c>
      <c r="F43" s="8">
        <v>480.0</v>
      </c>
      <c r="G43" s="9">
        <v>240.0</v>
      </c>
    </row>
    <row r="44" ht="14.25" hidden="1" customHeight="1">
      <c r="B44" s="7" t="s">
        <v>6</v>
      </c>
      <c r="C44" s="7" t="s">
        <v>29</v>
      </c>
      <c r="D44" s="7" t="s">
        <v>28</v>
      </c>
      <c r="E44" s="7" t="s">
        <v>8</v>
      </c>
      <c r="F44" s="8">
        <v>479.0</v>
      </c>
      <c r="G44" s="9">
        <v>479.0</v>
      </c>
    </row>
    <row r="45" ht="14.25" hidden="1" customHeight="1">
      <c r="B45" s="7" t="s">
        <v>6</v>
      </c>
      <c r="C45" s="7" t="s">
        <v>30</v>
      </c>
      <c r="D45" s="7" t="s">
        <v>31</v>
      </c>
      <c r="E45" s="7" t="s">
        <v>10</v>
      </c>
      <c r="F45" s="8">
        <v>476.0</v>
      </c>
      <c r="G45" s="9">
        <v>238.0</v>
      </c>
    </row>
    <row r="46" ht="14.25" customHeight="1">
      <c r="B46" s="7" t="s">
        <v>6</v>
      </c>
      <c r="C46" s="7" t="s">
        <v>7</v>
      </c>
      <c r="D46" s="7" t="s">
        <v>8</v>
      </c>
      <c r="E46" s="7" t="s">
        <v>31</v>
      </c>
      <c r="F46" s="8">
        <v>466.0</v>
      </c>
      <c r="G46" s="9">
        <v>233.0</v>
      </c>
    </row>
    <row r="47" ht="14.25" hidden="1" customHeight="1">
      <c r="B47" s="7" t="s">
        <v>6</v>
      </c>
      <c r="C47" s="7" t="s">
        <v>7</v>
      </c>
      <c r="D47" s="7" t="s">
        <v>33</v>
      </c>
      <c r="E47" s="7" t="s">
        <v>10</v>
      </c>
      <c r="F47" s="8">
        <v>464.0</v>
      </c>
      <c r="G47" s="9">
        <v>232.0</v>
      </c>
    </row>
    <row r="48" ht="14.25" hidden="1" customHeight="1">
      <c r="B48" s="7" t="s">
        <v>6</v>
      </c>
      <c r="C48" s="7" t="s">
        <v>7</v>
      </c>
      <c r="D48" s="7" t="s">
        <v>32</v>
      </c>
      <c r="E48" s="7" t="s">
        <v>28</v>
      </c>
      <c r="F48" s="8">
        <v>462.0</v>
      </c>
      <c r="G48" s="9">
        <v>231.0</v>
      </c>
    </row>
    <row r="49" ht="14.25" hidden="1" customHeight="1">
      <c r="B49" s="7" t="s">
        <v>6</v>
      </c>
      <c r="C49" s="7" t="s">
        <v>7</v>
      </c>
      <c r="D49" s="7" t="s">
        <v>11</v>
      </c>
      <c r="E49" s="7" t="s">
        <v>10</v>
      </c>
      <c r="F49" s="8">
        <v>452.0</v>
      </c>
      <c r="G49" s="9">
        <v>226.0</v>
      </c>
    </row>
    <row r="50" ht="14.25" hidden="1" customHeight="1">
      <c r="B50" s="7" t="s">
        <v>6</v>
      </c>
      <c r="C50" s="7" t="s">
        <v>29</v>
      </c>
      <c r="D50" s="7" t="s">
        <v>8</v>
      </c>
      <c r="E50" s="7" t="s">
        <v>11</v>
      </c>
      <c r="F50" s="8">
        <v>449.0</v>
      </c>
      <c r="G50" s="9">
        <v>449.0</v>
      </c>
    </row>
    <row r="51" ht="14.25" hidden="1" customHeight="1">
      <c r="B51" s="7" t="s">
        <v>6</v>
      </c>
      <c r="C51" s="7" t="s">
        <v>7</v>
      </c>
      <c r="D51" s="7" t="s">
        <v>33</v>
      </c>
      <c r="E51" s="7" t="s">
        <v>25</v>
      </c>
      <c r="F51" s="8">
        <v>448.0</v>
      </c>
      <c r="G51" s="9">
        <v>224.0</v>
      </c>
    </row>
    <row r="52" ht="14.25" hidden="1" customHeight="1">
      <c r="B52" s="7" t="s">
        <v>6</v>
      </c>
      <c r="C52" s="7" t="s">
        <v>30</v>
      </c>
      <c r="D52" s="7" t="s">
        <v>31</v>
      </c>
      <c r="E52" s="7" t="s">
        <v>28</v>
      </c>
      <c r="F52" s="8">
        <v>444.0</v>
      </c>
      <c r="G52" s="9">
        <v>222.0</v>
      </c>
    </row>
    <row r="53" ht="14.25" hidden="1" customHeight="1">
      <c r="B53" s="7" t="s">
        <v>6</v>
      </c>
      <c r="C53" s="7" t="s">
        <v>7</v>
      </c>
      <c r="D53" s="7" t="s">
        <v>9</v>
      </c>
      <c r="E53" s="7" t="s">
        <v>25</v>
      </c>
      <c r="F53" s="8">
        <v>434.0</v>
      </c>
      <c r="G53" s="9">
        <v>217.0</v>
      </c>
    </row>
    <row r="54" ht="14.25" hidden="1" customHeight="1">
      <c r="B54" s="7" t="s">
        <v>6</v>
      </c>
      <c r="C54" s="7" t="s">
        <v>29</v>
      </c>
      <c r="D54" s="7" t="s">
        <v>9</v>
      </c>
      <c r="E54" s="7" t="s">
        <v>8</v>
      </c>
      <c r="F54" s="8">
        <v>433.0</v>
      </c>
      <c r="G54" s="9">
        <v>433.0</v>
      </c>
    </row>
    <row r="55" ht="14.25" hidden="1" customHeight="1">
      <c r="B55" s="7" t="s">
        <v>6</v>
      </c>
      <c r="C55" s="7" t="s">
        <v>7</v>
      </c>
      <c r="D55" s="7" t="s">
        <v>10</v>
      </c>
      <c r="E55" s="7" t="s">
        <v>25</v>
      </c>
      <c r="F55" s="8">
        <v>432.0</v>
      </c>
      <c r="G55" s="9">
        <v>216.0</v>
      </c>
    </row>
    <row r="56" ht="14.25" hidden="1" customHeight="1">
      <c r="B56" s="7" t="s">
        <v>6</v>
      </c>
      <c r="C56" s="7" t="s">
        <v>29</v>
      </c>
      <c r="D56" s="7" t="s">
        <v>8</v>
      </c>
      <c r="E56" s="7" t="s">
        <v>9</v>
      </c>
      <c r="F56" s="8">
        <v>420.0</v>
      </c>
      <c r="G56" s="9">
        <v>420.0</v>
      </c>
    </row>
    <row r="57" ht="14.25" hidden="1" customHeight="1">
      <c r="B57" s="7" t="s">
        <v>6</v>
      </c>
      <c r="C57" s="7" t="s">
        <v>7</v>
      </c>
      <c r="D57" s="7" t="s">
        <v>31</v>
      </c>
      <c r="E57" s="7" t="s">
        <v>10</v>
      </c>
      <c r="F57" s="8">
        <v>408.0</v>
      </c>
      <c r="G57" s="9">
        <v>204.0</v>
      </c>
    </row>
    <row r="58" ht="14.25" hidden="1" customHeight="1">
      <c r="B58" s="7" t="s">
        <v>6</v>
      </c>
      <c r="C58" s="7" t="s">
        <v>7</v>
      </c>
      <c r="D58" s="7" t="s">
        <v>28</v>
      </c>
      <c r="E58" s="7" t="s">
        <v>9</v>
      </c>
      <c r="F58" s="8">
        <v>402.0</v>
      </c>
      <c r="G58" s="9">
        <v>201.0</v>
      </c>
    </row>
    <row r="59" ht="14.25" hidden="1" customHeight="1">
      <c r="B59" s="7" t="s">
        <v>6</v>
      </c>
      <c r="C59" s="7" t="s">
        <v>7</v>
      </c>
      <c r="D59" s="7" t="s">
        <v>28</v>
      </c>
      <c r="E59" s="7" t="s">
        <v>25</v>
      </c>
      <c r="F59" s="8">
        <v>384.0</v>
      </c>
      <c r="G59" s="9">
        <v>192.0</v>
      </c>
    </row>
    <row r="60" ht="14.25" hidden="1" customHeight="1">
      <c r="B60" s="7" t="s">
        <v>6</v>
      </c>
      <c r="C60" s="7" t="s">
        <v>7</v>
      </c>
      <c r="D60" s="7" t="s">
        <v>32</v>
      </c>
      <c r="E60" s="7" t="s">
        <v>33</v>
      </c>
      <c r="F60" s="8">
        <v>374.0</v>
      </c>
      <c r="G60" s="9">
        <v>187.0</v>
      </c>
    </row>
    <row r="61" ht="14.25" hidden="1" customHeight="1">
      <c r="B61" s="7" t="s">
        <v>6</v>
      </c>
      <c r="C61" s="7" t="s">
        <v>7</v>
      </c>
      <c r="D61" s="7" t="s">
        <v>8</v>
      </c>
      <c r="E61" s="7" t="s">
        <v>28</v>
      </c>
      <c r="F61" s="8">
        <v>370.0</v>
      </c>
      <c r="G61" s="9">
        <v>185.0</v>
      </c>
    </row>
    <row r="62" ht="14.25" hidden="1" customHeight="1">
      <c r="B62" s="7" t="s">
        <v>6</v>
      </c>
      <c r="C62" s="7" t="s">
        <v>29</v>
      </c>
      <c r="D62" s="7" t="s">
        <v>32</v>
      </c>
      <c r="E62" s="7" t="s">
        <v>9</v>
      </c>
      <c r="F62" s="8">
        <v>354.0</v>
      </c>
      <c r="G62" s="9">
        <v>354.0</v>
      </c>
    </row>
    <row r="63" ht="14.25" hidden="1" customHeight="1">
      <c r="B63" s="7" t="s">
        <v>6</v>
      </c>
      <c r="C63" s="7" t="s">
        <v>29</v>
      </c>
      <c r="D63" s="7" t="s">
        <v>34</v>
      </c>
      <c r="E63" s="7" t="s">
        <v>28</v>
      </c>
      <c r="F63" s="8">
        <v>353.0</v>
      </c>
      <c r="G63" s="9">
        <v>353.0</v>
      </c>
    </row>
    <row r="64" ht="14.25" hidden="1" customHeight="1">
      <c r="B64" s="7" t="s">
        <v>6</v>
      </c>
      <c r="C64" s="7" t="s">
        <v>7</v>
      </c>
      <c r="D64" s="7" t="s">
        <v>28</v>
      </c>
      <c r="E64" s="7" t="s">
        <v>8</v>
      </c>
      <c r="F64" s="8">
        <v>348.0</v>
      </c>
      <c r="G64" s="9">
        <v>174.0</v>
      </c>
    </row>
    <row r="65" ht="14.25" hidden="1" customHeight="1">
      <c r="B65" s="7" t="s">
        <v>6</v>
      </c>
      <c r="C65" s="7" t="s">
        <v>7</v>
      </c>
      <c r="D65" s="7" t="s">
        <v>31</v>
      </c>
      <c r="E65" s="7" t="s">
        <v>33</v>
      </c>
      <c r="F65" s="8">
        <v>332.0</v>
      </c>
      <c r="G65" s="9">
        <v>166.0</v>
      </c>
    </row>
    <row r="66" ht="14.25" hidden="1" customHeight="1">
      <c r="B66" s="7" t="s">
        <v>6</v>
      </c>
      <c r="C66" s="7" t="s">
        <v>30</v>
      </c>
      <c r="D66" s="7" t="s">
        <v>8</v>
      </c>
      <c r="E66" s="7" t="s">
        <v>25</v>
      </c>
      <c r="F66" s="8">
        <v>332.0</v>
      </c>
      <c r="G66" s="9">
        <v>166.0</v>
      </c>
    </row>
    <row r="67" ht="14.25" hidden="1" customHeight="1">
      <c r="B67" s="7" t="s">
        <v>6</v>
      </c>
      <c r="C67" s="7" t="s">
        <v>29</v>
      </c>
      <c r="D67" s="7" t="s">
        <v>33</v>
      </c>
      <c r="E67" s="7" t="s">
        <v>8</v>
      </c>
      <c r="F67" s="8">
        <v>324.0</v>
      </c>
      <c r="G67" s="9">
        <v>324.0</v>
      </c>
    </row>
    <row r="68" ht="14.25" hidden="1" customHeight="1">
      <c r="B68" s="7" t="s">
        <v>6</v>
      </c>
      <c r="C68" s="7" t="s">
        <v>7</v>
      </c>
      <c r="D68" s="7" t="s">
        <v>28</v>
      </c>
      <c r="E68" s="7" t="s">
        <v>31</v>
      </c>
      <c r="F68" s="8">
        <v>324.0</v>
      </c>
      <c r="G68" s="9">
        <v>162.0</v>
      </c>
    </row>
    <row r="69" ht="14.25" hidden="1" customHeight="1">
      <c r="B69" s="7" t="s">
        <v>6</v>
      </c>
      <c r="C69" s="7" t="s">
        <v>30</v>
      </c>
      <c r="D69" s="7" t="s">
        <v>9</v>
      </c>
      <c r="E69" s="7" t="s">
        <v>25</v>
      </c>
      <c r="F69" s="8">
        <v>320.0</v>
      </c>
      <c r="G69" s="9">
        <v>160.0</v>
      </c>
    </row>
    <row r="70" ht="14.25" hidden="1" customHeight="1">
      <c r="B70" s="7" t="s">
        <v>6</v>
      </c>
      <c r="C70" s="7" t="s">
        <v>7</v>
      </c>
      <c r="D70" s="7" t="s">
        <v>25</v>
      </c>
      <c r="E70" s="7" t="s">
        <v>33</v>
      </c>
      <c r="F70" s="8">
        <v>318.0</v>
      </c>
      <c r="G70" s="9">
        <v>159.0</v>
      </c>
    </row>
    <row r="71" ht="14.25" hidden="1" customHeight="1">
      <c r="B71" s="7" t="s">
        <v>6</v>
      </c>
      <c r="C71" s="7" t="s">
        <v>7</v>
      </c>
      <c r="D71" s="7" t="s">
        <v>34</v>
      </c>
      <c r="E71" s="7" t="s">
        <v>28</v>
      </c>
      <c r="F71" s="8">
        <v>316.0</v>
      </c>
      <c r="G71" s="9">
        <v>158.0</v>
      </c>
    </row>
    <row r="72" ht="14.25" hidden="1" customHeight="1">
      <c r="B72" s="7" t="s">
        <v>6</v>
      </c>
      <c r="C72" s="7" t="s">
        <v>7</v>
      </c>
      <c r="D72" s="7" t="s">
        <v>32</v>
      </c>
      <c r="E72" s="7" t="s">
        <v>9</v>
      </c>
      <c r="F72" s="8">
        <v>306.0</v>
      </c>
      <c r="G72" s="9">
        <v>153.0</v>
      </c>
    </row>
    <row r="73" ht="14.25" hidden="1" customHeight="1">
      <c r="B73" s="7" t="s">
        <v>6</v>
      </c>
      <c r="C73" s="7" t="s">
        <v>30</v>
      </c>
      <c r="D73" s="7" t="s">
        <v>31</v>
      </c>
      <c r="E73" s="7" t="s">
        <v>33</v>
      </c>
      <c r="F73" s="8">
        <v>306.0</v>
      </c>
      <c r="G73" s="9">
        <v>153.0</v>
      </c>
    </row>
    <row r="74" ht="14.25" hidden="1" customHeight="1">
      <c r="B74" s="7" t="s">
        <v>6</v>
      </c>
      <c r="C74" s="7" t="s">
        <v>7</v>
      </c>
      <c r="D74" s="7" t="s">
        <v>9</v>
      </c>
      <c r="E74" s="7" t="s">
        <v>28</v>
      </c>
      <c r="F74" s="8">
        <v>298.0</v>
      </c>
      <c r="G74" s="9">
        <v>149.0</v>
      </c>
    </row>
    <row r="75" ht="14.25" hidden="1" customHeight="1">
      <c r="B75" s="7" t="s">
        <v>6</v>
      </c>
      <c r="C75" s="7" t="s">
        <v>7</v>
      </c>
      <c r="D75" s="7" t="s">
        <v>9</v>
      </c>
      <c r="E75" s="7" t="s">
        <v>31</v>
      </c>
      <c r="F75" s="8">
        <v>290.0</v>
      </c>
      <c r="G75" s="9">
        <v>145.0</v>
      </c>
    </row>
    <row r="76" ht="14.25" hidden="1" customHeight="1">
      <c r="B76" s="7" t="s">
        <v>6</v>
      </c>
      <c r="C76" s="7" t="s">
        <v>7</v>
      </c>
      <c r="D76" s="7" t="s">
        <v>28</v>
      </c>
      <c r="E76" s="7" t="s">
        <v>8</v>
      </c>
      <c r="F76" s="8">
        <v>286.0</v>
      </c>
      <c r="G76" s="9">
        <v>143.0</v>
      </c>
    </row>
    <row r="77" ht="14.25" hidden="1" customHeight="1">
      <c r="B77" s="7" t="s">
        <v>6</v>
      </c>
      <c r="C77" s="7" t="s">
        <v>30</v>
      </c>
      <c r="D77" s="7" t="s">
        <v>8</v>
      </c>
      <c r="E77" s="7" t="s">
        <v>9</v>
      </c>
      <c r="F77" s="8">
        <v>286.0</v>
      </c>
      <c r="G77" s="9">
        <v>143.0</v>
      </c>
    </row>
    <row r="78" ht="14.25" hidden="1" customHeight="1">
      <c r="B78" s="7" t="s">
        <v>6</v>
      </c>
      <c r="C78" s="7" t="s">
        <v>30</v>
      </c>
      <c r="D78" s="7" t="s">
        <v>8</v>
      </c>
      <c r="E78" s="7" t="s">
        <v>28</v>
      </c>
      <c r="F78" s="8">
        <v>284.0</v>
      </c>
      <c r="G78" s="9">
        <v>142.0</v>
      </c>
    </row>
    <row r="79" ht="14.25" hidden="1" customHeight="1">
      <c r="B79" s="7" t="s">
        <v>6</v>
      </c>
      <c r="C79" s="7" t="s">
        <v>29</v>
      </c>
      <c r="D79" s="7" t="s">
        <v>32</v>
      </c>
      <c r="E79" s="7" t="s">
        <v>33</v>
      </c>
      <c r="F79" s="8">
        <v>275.0</v>
      </c>
      <c r="G79" s="9">
        <v>275.0</v>
      </c>
    </row>
    <row r="80" ht="14.25" hidden="1" customHeight="1">
      <c r="B80" s="7" t="s">
        <v>6</v>
      </c>
      <c r="C80" s="7" t="s">
        <v>7</v>
      </c>
      <c r="D80" s="7" t="s">
        <v>8</v>
      </c>
      <c r="E80" s="7" t="s">
        <v>25</v>
      </c>
      <c r="F80" s="8">
        <v>272.0</v>
      </c>
      <c r="G80" s="9">
        <v>136.0</v>
      </c>
    </row>
    <row r="81" ht="14.25" hidden="1" customHeight="1">
      <c r="B81" s="7" t="s">
        <v>6</v>
      </c>
      <c r="C81" s="7" t="s">
        <v>29</v>
      </c>
      <c r="D81" s="7" t="s">
        <v>31</v>
      </c>
      <c r="E81" s="7" t="s">
        <v>33</v>
      </c>
      <c r="F81" s="8">
        <v>271.0</v>
      </c>
      <c r="G81" s="9">
        <v>271.0</v>
      </c>
    </row>
    <row r="82" ht="14.25" hidden="1" customHeight="1">
      <c r="B82" s="7" t="s">
        <v>6</v>
      </c>
      <c r="C82" s="7" t="s">
        <v>29</v>
      </c>
      <c r="D82" s="7" t="s">
        <v>34</v>
      </c>
      <c r="E82" s="7" t="s">
        <v>8</v>
      </c>
      <c r="F82" s="8">
        <v>269.0</v>
      </c>
      <c r="G82" s="9">
        <v>269.0</v>
      </c>
    </row>
    <row r="83" ht="14.25" hidden="1" customHeight="1">
      <c r="B83" s="7" t="s">
        <v>6</v>
      </c>
      <c r="C83" s="7" t="s">
        <v>7</v>
      </c>
      <c r="D83" s="7" t="s">
        <v>31</v>
      </c>
      <c r="E83" s="7" t="s">
        <v>25</v>
      </c>
      <c r="F83" s="8">
        <v>268.0</v>
      </c>
      <c r="G83" s="9">
        <v>134.0</v>
      </c>
    </row>
    <row r="84" ht="14.25" hidden="1" customHeight="1">
      <c r="B84" s="7" t="s">
        <v>6</v>
      </c>
      <c r="C84" s="7" t="s">
        <v>7</v>
      </c>
      <c r="D84" s="7" t="s">
        <v>33</v>
      </c>
      <c r="E84" s="7" t="s">
        <v>31</v>
      </c>
      <c r="F84" s="8">
        <v>264.0</v>
      </c>
      <c r="G84" s="9">
        <v>132.0</v>
      </c>
    </row>
    <row r="85" ht="14.25" hidden="1" customHeight="1">
      <c r="B85" s="7" t="s">
        <v>6</v>
      </c>
      <c r="C85" s="7" t="s">
        <v>29</v>
      </c>
      <c r="D85" s="7" t="s">
        <v>9</v>
      </c>
      <c r="E85" s="7" t="s">
        <v>33</v>
      </c>
      <c r="F85" s="8">
        <v>262.0</v>
      </c>
      <c r="G85" s="9">
        <v>262.0</v>
      </c>
    </row>
    <row r="86" ht="14.25" hidden="1" customHeight="1">
      <c r="B86" s="7" t="s">
        <v>6</v>
      </c>
      <c r="C86" s="7" t="s">
        <v>7</v>
      </c>
      <c r="D86" s="7" t="s">
        <v>33</v>
      </c>
      <c r="E86" s="7" t="s">
        <v>8</v>
      </c>
      <c r="F86" s="8">
        <v>260.0</v>
      </c>
      <c r="G86" s="9">
        <v>130.0</v>
      </c>
    </row>
    <row r="87" ht="14.25" hidden="1" customHeight="1">
      <c r="B87" s="7" t="s">
        <v>6</v>
      </c>
      <c r="C87" s="7" t="s">
        <v>7</v>
      </c>
      <c r="D87" s="7" t="s">
        <v>31</v>
      </c>
      <c r="E87" s="7" t="s">
        <v>28</v>
      </c>
      <c r="F87" s="8">
        <v>258.0</v>
      </c>
      <c r="G87" s="9">
        <v>129.0</v>
      </c>
    </row>
    <row r="88" ht="14.25" hidden="1" customHeight="1">
      <c r="B88" s="7" t="s">
        <v>6</v>
      </c>
      <c r="C88" s="7" t="s">
        <v>29</v>
      </c>
      <c r="D88" s="7" t="s">
        <v>9</v>
      </c>
      <c r="E88" s="7" t="s">
        <v>10</v>
      </c>
      <c r="F88" s="8">
        <v>236.0</v>
      </c>
      <c r="G88" s="9">
        <v>236.0</v>
      </c>
    </row>
    <row r="89" ht="14.25" hidden="1" customHeight="1">
      <c r="B89" s="7" t="s">
        <v>6</v>
      </c>
      <c r="C89" s="7" t="s">
        <v>29</v>
      </c>
      <c r="D89" s="7" t="s">
        <v>8</v>
      </c>
      <c r="E89" s="7" t="s">
        <v>28</v>
      </c>
      <c r="F89" s="8">
        <v>226.0</v>
      </c>
      <c r="G89" s="9">
        <v>226.0</v>
      </c>
    </row>
    <row r="90" ht="14.25" hidden="1" customHeight="1">
      <c r="B90" s="7" t="s">
        <v>6</v>
      </c>
      <c r="C90" s="7" t="s">
        <v>29</v>
      </c>
      <c r="D90" s="7" t="s">
        <v>28</v>
      </c>
      <c r="E90" s="7" t="s">
        <v>31</v>
      </c>
      <c r="F90" s="8">
        <v>210.0</v>
      </c>
      <c r="G90" s="9">
        <v>210.0</v>
      </c>
    </row>
    <row r="91" ht="14.25" hidden="1" customHeight="1">
      <c r="B91" s="7" t="s">
        <v>6</v>
      </c>
      <c r="C91" s="7" t="s">
        <v>30</v>
      </c>
      <c r="D91" s="7" t="s">
        <v>8</v>
      </c>
      <c r="E91" s="7" t="s">
        <v>10</v>
      </c>
      <c r="F91" s="8">
        <v>198.0</v>
      </c>
      <c r="G91" s="9">
        <v>99.0</v>
      </c>
    </row>
    <row r="92" ht="14.25" hidden="1" customHeight="1">
      <c r="B92" s="7" t="s">
        <v>6</v>
      </c>
      <c r="C92" s="7" t="s">
        <v>29</v>
      </c>
      <c r="D92" s="7" t="s">
        <v>33</v>
      </c>
      <c r="E92" s="7" t="s">
        <v>8</v>
      </c>
      <c r="F92" s="8">
        <v>185.0</v>
      </c>
      <c r="G92" s="9">
        <v>185.0</v>
      </c>
    </row>
    <row r="93" ht="14.25" hidden="1" customHeight="1">
      <c r="B93" s="7" t="s">
        <v>6</v>
      </c>
      <c r="C93" s="7" t="s">
        <v>7</v>
      </c>
      <c r="D93" s="7" t="s">
        <v>8</v>
      </c>
      <c r="E93" s="7" t="s">
        <v>9</v>
      </c>
      <c r="F93" s="8">
        <v>182.0</v>
      </c>
      <c r="G93" s="9">
        <v>91.0</v>
      </c>
    </row>
    <row r="94" ht="14.25" customHeight="1">
      <c r="B94" s="7" t="s">
        <v>6</v>
      </c>
      <c r="C94" s="7" t="s">
        <v>30</v>
      </c>
      <c r="D94" s="7" t="s">
        <v>8</v>
      </c>
      <c r="E94" s="7" t="s">
        <v>31</v>
      </c>
      <c r="F94" s="8">
        <v>182.0</v>
      </c>
      <c r="G94" s="9">
        <v>91.0</v>
      </c>
    </row>
    <row r="95" ht="14.25" hidden="1" customHeight="1">
      <c r="B95" s="7" t="s">
        <v>6</v>
      </c>
      <c r="C95" s="7" t="s">
        <v>29</v>
      </c>
      <c r="D95" s="7" t="s">
        <v>8</v>
      </c>
      <c r="E95" s="7" t="s">
        <v>25</v>
      </c>
      <c r="F95" s="8">
        <v>177.0</v>
      </c>
      <c r="G95" s="9">
        <v>177.0</v>
      </c>
    </row>
    <row r="96" ht="14.25" hidden="1" customHeight="1">
      <c r="B96" s="7" t="s">
        <v>6</v>
      </c>
      <c r="C96" s="7" t="s">
        <v>29</v>
      </c>
      <c r="D96" s="7" t="s">
        <v>28</v>
      </c>
      <c r="E96" s="7" t="s">
        <v>25</v>
      </c>
      <c r="F96" s="8">
        <v>176.0</v>
      </c>
      <c r="G96" s="9">
        <v>176.0</v>
      </c>
    </row>
    <row r="97" ht="14.25" hidden="1" customHeight="1">
      <c r="B97" s="7" t="s">
        <v>6</v>
      </c>
      <c r="C97" s="7" t="s">
        <v>7</v>
      </c>
      <c r="D97" s="7" t="s">
        <v>31</v>
      </c>
      <c r="E97" s="7" t="s">
        <v>8</v>
      </c>
      <c r="F97" s="8">
        <v>176.0</v>
      </c>
      <c r="G97" s="9">
        <v>88.0</v>
      </c>
    </row>
    <row r="98" ht="14.25" hidden="1" customHeight="1">
      <c r="B98" s="7" t="s">
        <v>6</v>
      </c>
      <c r="C98" s="7" t="s">
        <v>7</v>
      </c>
      <c r="D98" s="7" t="s">
        <v>32</v>
      </c>
      <c r="E98" s="7" t="s">
        <v>25</v>
      </c>
      <c r="F98" s="8">
        <v>172.0</v>
      </c>
      <c r="G98" s="9">
        <v>86.0</v>
      </c>
    </row>
    <row r="99" ht="14.25" hidden="1" customHeight="1">
      <c r="B99" s="7" t="s">
        <v>6</v>
      </c>
      <c r="C99" s="7" t="s">
        <v>29</v>
      </c>
      <c r="D99" s="7" t="s">
        <v>11</v>
      </c>
      <c r="E99" s="7" t="s">
        <v>8</v>
      </c>
      <c r="F99" s="8">
        <v>167.0</v>
      </c>
      <c r="G99" s="9">
        <v>167.0</v>
      </c>
    </row>
    <row r="100" ht="14.25" hidden="1" customHeight="1">
      <c r="B100" s="7" t="s">
        <v>6</v>
      </c>
      <c r="C100" s="7" t="s">
        <v>29</v>
      </c>
      <c r="D100" s="7" t="s">
        <v>31</v>
      </c>
      <c r="E100" s="7" t="s">
        <v>9</v>
      </c>
      <c r="F100" s="8">
        <v>166.0</v>
      </c>
      <c r="G100" s="9">
        <v>166.0</v>
      </c>
    </row>
    <row r="101" ht="14.25" hidden="1" customHeight="1">
      <c r="B101" s="7" t="s">
        <v>6</v>
      </c>
      <c r="C101" s="7" t="s">
        <v>7</v>
      </c>
      <c r="D101" s="7" t="s">
        <v>25</v>
      </c>
      <c r="E101" s="7" t="s">
        <v>32</v>
      </c>
      <c r="F101" s="8">
        <v>164.0</v>
      </c>
      <c r="G101" s="9">
        <v>82.0</v>
      </c>
    </row>
    <row r="102" ht="14.25" hidden="1" customHeight="1">
      <c r="B102" s="7" t="s">
        <v>6</v>
      </c>
      <c r="C102" s="7" t="s">
        <v>7</v>
      </c>
      <c r="D102" s="7" t="s">
        <v>28</v>
      </c>
      <c r="E102" s="7" t="s">
        <v>8</v>
      </c>
      <c r="F102" s="8">
        <v>158.0</v>
      </c>
      <c r="G102" s="9">
        <v>79.0</v>
      </c>
    </row>
    <row r="103" ht="14.25" hidden="1" customHeight="1">
      <c r="B103" s="7" t="s">
        <v>6</v>
      </c>
      <c r="C103" s="7" t="s">
        <v>7</v>
      </c>
      <c r="D103" s="7" t="s">
        <v>31</v>
      </c>
      <c r="E103" s="7" t="s">
        <v>31</v>
      </c>
      <c r="F103" s="8">
        <v>156.0</v>
      </c>
      <c r="G103" s="9">
        <v>78.0</v>
      </c>
    </row>
    <row r="104" ht="14.25" hidden="1" customHeight="1">
      <c r="B104" s="7" t="s">
        <v>6</v>
      </c>
      <c r="C104" s="7" t="s">
        <v>29</v>
      </c>
      <c r="D104" s="7" t="s">
        <v>8</v>
      </c>
      <c r="E104" s="7" t="s">
        <v>33</v>
      </c>
      <c r="F104" s="8">
        <v>155.0</v>
      </c>
      <c r="G104" s="9">
        <v>155.0</v>
      </c>
    </row>
    <row r="105" ht="14.25" hidden="1" customHeight="1">
      <c r="B105" s="7" t="s">
        <v>6</v>
      </c>
      <c r="C105" s="7" t="s">
        <v>7</v>
      </c>
      <c r="D105" s="7" t="s">
        <v>11</v>
      </c>
      <c r="E105" s="7" t="s">
        <v>8</v>
      </c>
      <c r="F105" s="8">
        <v>154.0</v>
      </c>
      <c r="G105" s="9">
        <v>77.0</v>
      </c>
    </row>
    <row r="106" ht="14.25" hidden="1" customHeight="1">
      <c r="B106" s="7" t="s">
        <v>6</v>
      </c>
      <c r="C106" s="7" t="s">
        <v>29</v>
      </c>
      <c r="D106" s="7" t="s">
        <v>31</v>
      </c>
      <c r="E106" s="7" t="s">
        <v>24</v>
      </c>
      <c r="F106" s="8">
        <v>145.0</v>
      </c>
      <c r="G106" s="9">
        <v>145.0</v>
      </c>
    </row>
    <row r="107" ht="14.25" hidden="1" customHeight="1">
      <c r="B107" s="7" t="s">
        <v>6</v>
      </c>
      <c r="C107" s="7" t="s">
        <v>7</v>
      </c>
      <c r="D107" s="7" t="s">
        <v>33</v>
      </c>
      <c r="E107" s="7" t="s">
        <v>32</v>
      </c>
      <c r="F107" s="8">
        <v>140.0</v>
      </c>
      <c r="G107" s="9">
        <v>70.0</v>
      </c>
    </row>
    <row r="108" ht="14.25" hidden="1" customHeight="1">
      <c r="B108" s="7" t="s">
        <v>6</v>
      </c>
      <c r="C108" s="7" t="s">
        <v>29</v>
      </c>
      <c r="D108" s="7" t="s">
        <v>8</v>
      </c>
      <c r="E108" s="7" t="s">
        <v>10</v>
      </c>
      <c r="F108" s="8">
        <v>140.0</v>
      </c>
      <c r="G108" s="9">
        <v>140.0</v>
      </c>
    </row>
    <row r="109" ht="14.25" hidden="1" customHeight="1">
      <c r="B109" s="7" t="s">
        <v>6</v>
      </c>
      <c r="C109" s="7" t="s">
        <v>29</v>
      </c>
      <c r="D109" s="7" t="s">
        <v>33</v>
      </c>
      <c r="E109" s="7" t="s">
        <v>8</v>
      </c>
      <c r="F109" s="8">
        <v>136.0</v>
      </c>
      <c r="G109" s="9">
        <v>136.0</v>
      </c>
    </row>
    <row r="110" ht="14.25" hidden="1" customHeight="1">
      <c r="B110" s="7" t="s">
        <v>6</v>
      </c>
      <c r="C110" s="7" t="s">
        <v>29</v>
      </c>
      <c r="D110" s="7" t="s">
        <v>28</v>
      </c>
      <c r="E110" s="7" t="s">
        <v>8</v>
      </c>
      <c r="F110" s="8">
        <v>134.0</v>
      </c>
      <c r="G110" s="9">
        <v>134.0</v>
      </c>
    </row>
    <row r="111" ht="14.25" hidden="1" customHeight="1">
      <c r="B111" s="7" t="s">
        <v>6</v>
      </c>
      <c r="C111" s="7" t="s">
        <v>7</v>
      </c>
      <c r="D111" s="7" t="s">
        <v>25</v>
      </c>
      <c r="E111" s="7" t="s">
        <v>31</v>
      </c>
      <c r="F111" s="8">
        <v>126.0</v>
      </c>
      <c r="G111" s="9">
        <v>63.0</v>
      </c>
    </row>
    <row r="112" ht="14.25" hidden="1" customHeight="1">
      <c r="B112" s="7" t="s">
        <v>6</v>
      </c>
      <c r="C112" s="7" t="s">
        <v>7</v>
      </c>
      <c r="D112" s="7" t="s">
        <v>11</v>
      </c>
      <c r="E112" s="7" t="s">
        <v>25</v>
      </c>
      <c r="F112" s="8">
        <v>124.0</v>
      </c>
      <c r="G112" s="9">
        <v>62.0</v>
      </c>
    </row>
    <row r="113" ht="14.25" hidden="1" customHeight="1">
      <c r="B113" s="7" t="s">
        <v>6</v>
      </c>
      <c r="C113" s="7" t="s">
        <v>7</v>
      </c>
      <c r="D113" s="7" t="s">
        <v>31</v>
      </c>
      <c r="E113" s="7" t="s">
        <v>35</v>
      </c>
      <c r="F113" s="8">
        <v>120.0</v>
      </c>
      <c r="G113" s="9">
        <v>60.0</v>
      </c>
    </row>
    <row r="114" ht="14.25" customHeight="1">
      <c r="B114" s="7" t="s">
        <v>6</v>
      </c>
      <c r="C114" s="7" t="s">
        <v>29</v>
      </c>
      <c r="D114" s="7" t="s">
        <v>8</v>
      </c>
      <c r="E114" s="7" t="s">
        <v>31</v>
      </c>
      <c r="F114" s="8">
        <v>115.0</v>
      </c>
      <c r="G114" s="9">
        <v>115.0</v>
      </c>
    </row>
    <row r="115" ht="14.25" hidden="1" customHeight="1">
      <c r="B115" s="7" t="s">
        <v>6</v>
      </c>
      <c r="C115" s="7" t="s">
        <v>7</v>
      </c>
      <c r="D115" s="7" t="s">
        <v>33</v>
      </c>
      <c r="E115" s="7" t="s">
        <v>9</v>
      </c>
      <c r="F115" s="8">
        <v>114.0</v>
      </c>
      <c r="G115" s="9">
        <v>57.0</v>
      </c>
    </row>
    <row r="116" ht="14.25" hidden="1" customHeight="1">
      <c r="B116" s="7" t="s">
        <v>6</v>
      </c>
      <c r="C116" s="7" t="s">
        <v>29</v>
      </c>
      <c r="D116" s="7" t="s">
        <v>8</v>
      </c>
      <c r="E116" s="7" t="s">
        <v>10</v>
      </c>
      <c r="F116" s="8">
        <v>109.0</v>
      </c>
      <c r="G116" s="9">
        <v>109.0</v>
      </c>
    </row>
    <row r="117" ht="14.25" hidden="1" customHeight="1">
      <c r="B117" s="7" t="s">
        <v>6</v>
      </c>
      <c r="C117" s="7" t="s">
        <v>29</v>
      </c>
      <c r="D117" s="7" t="s">
        <v>31</v>
      </c>
      <c r="E117" s="7" t="s">
        <v>10</v>
      </c>
      <c r="F117" s="8">
        <v>106.0</v>
      </c>
      <c r="G117" s="9">
        <v>106.0</v>
      </c>
    </row>
    <row r="118" ht="14.25" customHeight="1">
      <c r="B118" s="7" t="s">
        <v>6</v>
      </c>
      <c r="C118" s="7" t="s">
        <v>29</v>
      </c>
      <c r="D118" s="7" t="s">
        <v>8</v>
      </c>
      <c r="E118" s="7" t="s">
        <v>31</v>
      </c>
      <c r="F118" s="8">
        <v>106.0</v>
      </c>
      <c r="G118" s="9">
        <v>106.0</v>
      </c>
    </row>
    <row r="119" ht="14.25" hidden="1" customHeight="1">
      <c r="B119" s="7" t="s">
        <v>6</v>
      </c>
      <c r="C119" s="7" t="s">
        <v>29</v>
      </c>
      <c r="D119" s="7" t="s">
        <v>9</v>
      </c>
      <c r="E119" s="7" t="s">
        <v>25</v>
      </c>
      <c r="F119" s="8">
        <v>103.0</v>
      </c>
      <c r="G119" s="9">
        <v>103.0</v>
      </c>
    </row>
    <row r="120" ht="14.25" hidden="1" customHeight="1">
      <c r="B120" s="7" t="s">
        <v>6</v>
      </c>
      <c r="C120" s="7" t="s">
        <v>7</v>
      </c>
      <c r="D120" s="7" t="s">
        <v>10</v>
      </c>
      <c r="E120" s="7" t="s">
        <v>31</v>
      </c>
      <c r="F120" s="8">
        <v>102.0</v>
      </c>
      <c r="G120" s="9">
        <v>51.0</v>
      </c>
    </row>
    <row r="121" ht="14.25" hidden="1" customHeight="1">
      <c r="B121" s="7" t="s">
        <v>6</v>
      </c>
      <c r="C121" s="7" t="s">
        <v>29</v>
      </c>
      <c r="D121" s="7" t="s">
        <v>31</v>
      </c>
      <c r="E121" s="7" t="s">
        <v>25</v>
      </c>
      <c r="F121" s="8">
        <v>99.0</v>
      </c>
      <c r="G121" s="9">
        <v>99.0</v>
      </c>
    </row>
    <row r="122" ht="14.25" hidden="1" customHeight="1">
      <c r="B122" s="7" t="s">
        <v>6</v>
      </c>
      <c r="C122" s="7" t="s">
        <v>29</v>
      </c>
      <c r="D122" s="7" t="s">
        <v>28</v>
      </c>
      <c r="E122" s="7" t="s">
        <v>31</v>
      </c>
      <c r="F122" s="8">
        <v>97.0</v>
      </c>
      <c r="G122" s="9">
        <v>97.0</v>
      </c>
    </row>
    <row r="123" ht="14.25" hidden="1" customHeight="1">
      <c r="B123" s="7" t="s">
        <v>6</v>
      </c>
      <c r="C123" s="7" t="s">
        <v>7</v>
      </c>
      <c r="D123" s="7" t="s">
        <v>31</v>
      </c>
      <c r="E123" s="7" t="s">
        <v>10</v>
      </c>
      <c r="F123" s="8">
        <v>88.0</v>
      </c>
      <c r="G123" s="9">
        <v>44.0</v>
      </c>
    </row>
    <row r="124" ht="14.25" hidden="1" customHeight="1">
      <c r="B124" s="7" t="s">
        <v>6</v>
      </c>
      <c r="C124" s="7" t="s">
        <v>29</v>
      </c>
      <c r="D124" s="7" t="s">
        <v>8</v>
      </c>
      <c r="E124" s="7" t="s">
        <v>25</v>
      </c>
      <c r="F124" s="8">
        <v>88.0</v>
      </c>
      <c r="G124" s="9">
        <v>88.0</v>
      </c>
    </row>
    <row r="125" ht="14.25" hidden="1" customHeight="1">
      <c r="B125" s="7" t="s">
        <v>6</v>
      </c>
      <c r="C125" s="7" t="s">
        <v>7</v>
      </c>
      <c r="D125" s="7" t="s">
        <v>10</v>
      </c>
      <c r="E125" s="7" t="s">
        <v>28</v>
      </c>
      <c r="F125" s="8">
        <v>86.0</v>
      </c>
      <c r="G125" s="9">
        <v>43.0</v>
      </c>
    </row>
    <row r="126" ht="14.25" hidden="1" customHeight="1">
      <c r="B126" s="7" t="s">
        <v>6</v>
      </c>
      <c r="C126" s="7" t="s">
        <v>7</v>
      </c>
      <c r="D126" s="7" t="s">
        <v>10</v>
      </c>
      <c r="E126" s="7" t="s">
        <v>8</v>
      </c>
      <c r="F126" s="8">
        <v>86.0</v>
      </c>
      <c r="G126" s="9">
        <v>43.0</v>
      </c>
    </row>
    <row r="127" ht="14.25" customHeight="1">
      <c r="B127" s="7" t="s">
        <v>6</v>
      </c>
      <c r="C127" s="7" t="s">
        <v>7</v>
      </c>
      <c r="D127" s="7" t="s">
        <v>8</v>
      </c>
      <c r="E127" s="7" t="s">
        <v>31</v>
      </c>
      <c r="F127" s="8">
        <v>86.0</v>
      </c>
      <c r="G127" s="9">
        <v>43.0</v>
      </c>
    </row>
    <row r="128" ht="14.25" hidden="1" customHeight="1">
      <c r="B128" s="7" t="s">
        <v>6</v>
      </c>
      <c r="C128" s="7" t="s">
        <v>29</v>
      </c>
      <c r="D128" s="7" t="s">
        <v>25</v>
      </c>
      <c r="E128" s="7" t="s">
        <v>31</v>
      </c>
      <c r="F128" s="8">
        <v>85.0</v>
      </c>
      <c r="G128" s="9">
        <v>85.0</v>
      </c>
    </row>
    <row r="129" ht="14.25" hidden="1" customHeight="1">
      <c r="B129" s="7" t="s">
        <v>6</v>
      </c>
      <c r="C129" s="7" t="s">
        <v>7</v>
      </c>
      <c r="D129" s="7" t="s">
        <v>28</v>
      </c>
      <c r="E129" s="7" t="s">
        <v>31</v>
      </c>
      <c r="F129" s="8">
        <v>84.0</v>
      </c>
      <c r="G129" s="9">
        <v>42.0</v>
      </c>
    </row>
    <row r="130" ht="14.25" hidden="1" customHeight="1">
      <c r="B130" s="7" t="s">
        <v>6</v>
      </c>
      <c r="C130" s="7" t="s">
        <v>7</v>
      </c>
      <c r="D130" s="7" t="s">
        <v>9</v>
      </c>
      <c r="E130" s="7" t="s">
        <v>32</v>
      </c>
      <c r="F130" s="8">
        <v>84.0</v>
      </c>
      <c r="G130" s="9">
        <v>42.0</v>
      </c>
    </row>
    <row r="131" ht="14.25" hidden="1" customHeight="1">
      <c r="B131" s="7" t="s">
        <v>6</v>
      </c>
      <c r="C131" s="7" t="s">
        <v>29</v>
      </c>
      <c r="D131" s="7" t="s">
        <v>10</v>
      </c>
      <c r="E131" s="7" t="s">
        <v>25</v>
      </c>
      <c r="F131" s="8">
        <v>80.0</v>
      </c>
      <c r="G131" s="9">
        <v>80.0</v>
      </c>
    </row>
    <row r="132" ht="14.25" hidden="1" customHeight="1">
      <c r="B132" s="7" t="s">
        <v>6</v>
      </c>
      <c r="C132" s="7" t="s">
        <v>7</v>
      </c>
      <c r="D132" s="7" t="s">
        <v>33</v>
      </c>
      <c r="E132" s="7" t="s">
        <v>25</v>
      </c>
      <c r="F132" s="8">
        <v>78.0</v>
      </c>
      <c r="G132" s="9">
        <v>39.0</v>
      </c>
    </row>
    <row r="133" ht="14.25" hidden="1" customHeight="1">
      <c r="B133" s="7" t="s">
        <v>6</v>
      </c>
      <c r="C133" s="7" t="s">
        <v>7</v>
      </c>
      <c r="D133" s="7" t="s">
        <v>32</v>
      </c>
      <c r="E133" s="7" t="s">
        <v>25</v>
      </c>
      <c r="F133" s="8">
        <v>78.0</v>
      </c>
      <c r="G133" s="9">
        <v>39.0</v>
      </c>
    </row>
    <row r="134" ht="14.25" hidden="1" customHeight="1">
      <c r="B134" s="7" t="s">
        <v>6</v>
      </c>
      <c r="C134" s="7" t="s">
        <v>7</v>
      </c>
      <c r="D134" s="7" t="s">
        <v>32</v>
      </c>
      <c r="E134" s="7" t="s">
        <v>28</v>
      </c>
      <c r="F134" s="8">
        <v>78.0</v>
      </c>
      <c r="G134" s="9">
        <v>39.0</v>
      </c>
    </row>
    <row r="135" ht="14.25" hidden="1" customHeight="1">
      <c r="B135" s="7" t="s">
        <v>6</v>
      </c>
      <c r="C135" s="7" t="s">
        <v>29</v>
      </c>
      <c r="D135" s="7" t="s">
        <v>25</v>
      </c>
      <c r="E135" s="7" t="s">
        <v>8</v>
      </c>
      <c r="F135" s="8">
        <v>77.0</v>
      </c>
      <c r="G135" s="9">
        <v>77.0</v>
      </c>
    </row>
    <row r="136" ht="14.25" hidden="1" customHeight="1">
      <c r="B136" s="7" t="s">
        <v>6</v>
      </c>
      <c r="C136" s="7" t="s">
        <v>29</v>
      </c>
      <c r="D136" s="7" t="s">
        <v>9</v>
      </c>
      <c r="E136" s="7" t="s">
        <v>8</v>
      </c>
      <c r="F136" s="8">
        <v>74.0</v>
      </c>
      <c r="G136" s="9">
        <v>74.0</v>
      </c>
    </row>
    <row r="137" ht="14.25" hidden="1" customHeight="1">
      <c r="B137" s="7" t="s">
        <v>6</v>
      </c>
      <c r="C137" s="7" t="s">
        <v>29</v>
      </c>
      <c r="D137" s="7" t="s">
        <v>33</v>
      </c>
      <c r="E137" s="7" t="s">
        <v>32</v>
      </c>
      <c r="F137" s="8">
        <v>70.0</v>
      </c>
      <c r="G137" s="9">
        <v>70.0</v>
      </c>
    </row>
    <row r="138" ht="14.25" hidden="1" customHeight="1">
      <c r="B138" s="7" t="s">
        <v>6</v>
      </c>
      <c r="C138" s="7" t="s">
        <v>29</v>
      </c>
      <c r="D138" s="7" t="s">
        <v>28</v>
      </c>
      <c r="E138" s="7" t="s">
        <v>10</v>
      </c>
      <c r="F138" s="8">
        <v>70.0</v>
      </c>
      <c r="G138" s="9">
        <v>70.0</v>
      </c>
    </row>
    <row r="139" ht="14.25" hidden="1" customHeight="1">
      <c r="B139" s="7" t="s">
        <v>6</v>
      </c>
      <c r="C139" s="7" t="s">
        <v>7</v>
      </c>
      <c r="D139" s="7" t="s">
        <v>9</v>
      </c>
      <c r="E139" s="7" t="s">
        <v>31</v>
      </c>
      <c r="F139" s="8">
        <v>70.0</v>
      </c>
      <c r="G139" s="9">
        <v>35.0</v>
      </c>
    </row>
    <row r="140" ht="14.25" hidden="1" customHeight="1">
      <c r="B140" s="7" t="s">
        <v>6</v>
      </c>
      <c r="C140" s="7" t="s">
        <v>7</v>
      </c>
      <c r="D140" s="7" t="s">
        <v>10</v>
      </c>
      <c r="E140" s="7" t="s">
        <v>25</v>
      </c>
      <c r="F140" s="8">
        <v>70.0</v>
      </c>
      <c r="G140" s="9">
        <v>35.0</v>
      </c>
    </row>
    <row r="141" ht="14.25" hidden="1" customHeight="1">
      <c r="B141" s="7" t="s">
        <v>6</v>
      </c>
      <c r="C141" s="7" t="s">
        <v>7</v>
      </c>
      <c r="D141" s="7" t="s">
        <v>33</v>
      </c>
      <c r="E141" s="7" t="s">
        <v>31</v>
      </c>
      <c r="F141" s="8">
        <v>66.0</v>
      </c>
      <c r="G141" s="9">
        <v>33.0</v>
      </c>
    </row>
    <row r="142" ht="14.25" hidden="1" customHeight="1">
      <c r="B142" s="7" t="s">
        <v>6</v>
      </c>
      <c r="C142" s="7" t="s">
        <v>29</v>
      </c>
      <c r="D142" s="7" t="s">
        <v>9</v>
      </c>
      <c r="E142" s="7" t="s">
        <v>25</v>
      </c>
      <c r="F142" s="8">
        <v>66.0</v>
      </c>
      <c r="G142" s="9">
        <v>66.0</v>
      </c>
    </row>
    <row r="143" ht="14.25" hidden="1" customHeight="1">
      <c r="B143" s="7" t="s">
        <v>6</v>
      </c>
      <c r="C143" s="7" t="s">
        <v>30</v>
      </c>
      <c r="D143" s="7" t="s">
        <v>31</v>
      </c>
      <c r="E143" s="7" t="s">
        <v>31</v>
      </c>
      <c r="F143" s="8">
        <v>66.0</v>
      </c>
      <c r="G143" s="9">
        <v>33.0</v>
      </c>
    </row>
    <row r="144" ht="14.25" hidden="1" customHeight="1">
      <c r="B144" s="7" t="s">
        <v>6</v>
      </c>
      <c r="C144" s="7" t="s">
        <v>7</v>
      </c>
      <c r="D144" s="7" t="s">
        <v>8</v>
      </c>
      <c r="E144" s="7" t="s">
        <v>35</v>
      </c>
      <c r="F144" s="8">
        <v>66.0</v>
      </c>
      <c r="G144" s="9">
        <v>33.0</v>
      </c>
    </row>
    <row r="145" ht="14.25" hidden="1" customHeight="1">
      <c r="B145" s="7" t="s">
        <v>6</v>
      </c>
      <c r="C145" s="7" t="s">
        <v>7</v>
      </c>
      <c r="D145" s="7" t="s">
        <v>8</v>
      </c>
      <c r="E145" s="7" t="s">
        <v>9</v>
      </c>
      <c r="F145" s="8">
        <v>66.0</v>
      </c>
      <c r="G145" s="9">
        <v>33.0</v>
      </c>
    </row>
    <row r="146" ht="14.25" hidden="1" customHeight="1">
      <c r="B146" s="7" t="s">
        <v>6</v>
      </c>
      <c r="C146" s="7" t="s">
        <v>7</v>
      </c>
      <c r="D146" s="7" t="s">
        <v>33</v>
      </c>
      <c r="E146" s="7" t="s">
        <v>28</v>
      </c>
      <c r="F146" s="8">
        <v>64.0</v>
      </c>
      <c r="G146" s="9">
        <v>32.0</v>
      </c>
    </row>
    <row r="147" ht="14.25" hidden="1" customHeight="1">
      <c r="B147" s="7" t="s">
        <v>6</v>
      </c>
      <c r="C147" s="7" t="s">
        <v>29</v>
      </c>
      <c r="D147" s="7" t="s">
        <v>8</v>
      </c>
      <c r="E147" s="7" t="s">
        <v>28</v>
      </c>
      <c r="F147" s="8">
        <v>64.0</v>
      </c>
      <c r="G147" s="9">
        <v>64.0</v>
      </c>
    </row>
    <row r="148" ht="14.25" hidden="1" customHeight="1">
      <c r="B148" s="7" t="s">
        <v>6</v>
      </c>
      <c r="C148" s="7" t="s">
        <v>29</v>
      </c>
      <c r="D148" s="7" t="s">
        <v>33</v>
      </c>
      <c r="E148" s="7" t="s">
        <v>10</v>
      </c>
      <c r="F148" s="8">
        <v>63.0</v>
      </c>
      <c r="G148" s="9">
        <v>63.0</v>
      </c>
    </row>
    <row r="149" ht="14.25" hidden="1" customHeight="1">
      <c r="B149" s="7" t="s">
        <v>6</v>
      </c>
      <c r="C149" s="7" t="s">
        <v>29</v>
      </c>
      <c r="D149" s="7" t="s">
        <v>10</v>
      </c>
      <c r="E149" s="7" t="s">
        <v>8</v>
      </c>
      <c r="F149" s="8">
        <v>61.0</v>
      </c>
      <c r="G149" s="9">
        <v>61.0</v>
      </c>
    </row>
    <row r="150" ht="14.25" hidden="1" customHeight="1">
      <c r="B150" s="7" t="s">
        <v>6</v>
      </c>
      <c r="C150" s="7" t="s">
        <v>7</v>
      </c>
      <c r="D150" s="7" t="s">
        <v>9</v>
      </c>
      <c r="E150" s="7" t="s">
        <v>35</v>
      </c>
      <c r="F150" s="8">
        <v>58.0</v>
      </c>
      <c r="G150" s="9">
        <v>29.0</v>
      </c>
    </row>
    <row r="151" ht="14.25" hidden="1" customHeight="1">
      <c r="B151" s="7" t="s">
        <v>6</v>
      </c>
      <c r="C151" s="7" t="s">
        <v>29</v>
      </c>
      <c r="D151" s="7" t="s">
        <v>9</v>
      </c>
      <c r="E151" s="7" t="s">
        <v>8</v>
      </c>
      <c r="F151" s="8">
        <v>57.0</v>
      </c>
      <c r="G151" s="9">
        <v>57.0</v>
      </c>
    </row>
    <row r="152" ht="14.25" hidden="1" customHeight="1">
      <c r="B152" s="7" t="s">
        <v>6</v>
      </c>
      <c r="C152" s="7" t="s">
        <v>29</v>
      </c>
      <c r="D152" s="7" t="s">
        <v>25</v>
      </c>
      <c r="E152" s="7" t="s">
        <v>8</v>
      </c>
      <c r="F152" s="8">
        <v>56.0</v>
      </c>
      <c r="G152" s="9">
        <v>56.0</v>
      </c>
    </row>
    <row r="153" ht="14.25" hidden="1" customHeight="1">
      <c r="B153" s="7" t="s">
        <v>6</v>
      </c>
      <c r="C153" s="7" t="s">
        <v>30</v>
      </c>
      <c r="D153" s="7" t="s">
        <v>10</v>
      </c>
      <c r="E153" s="7" t="s">
        <v>31</v>
      </c>
      <c r="F153" s="8">
        <v>54.0</v>
      </c>
      <c r="G153" s="9">
        <v>27.0</v>
      </c>
    </row>
    <row r="154" ht="14.25" hidden="1" customHeight="1">
      <c r="B154" s="7" t="s">
        <v>6</v>
      </c>
      <c r="C154" s="7" t="s">
        <v>29</v>
      </c>
      <c r="D154" s="7" t="s">
        <v>32</v>
      </c>
      <c r="E154" s="7" t="s">
        <v>35</v>
      </c>
      <c r="F154" s="8">
        <v>54.0</v>
      </c>
      <c r="G154" s="9">
        <v>54.0</v>
      </c>
    </row>
    <row r="155" ht="14.25" hidden="1" customHeight="1">
      <c r="B155" s="7" t="s">
        <v>6</v>
      </c>
      <c r="C155" s="7" t="s">
        <v>30</v>
      </c>
      <c r="D155" s="7" t="s">
        <v>33</v>
      </c>
      <c r="E155" s="7" t="s">
        <v>28</v>
      </c>
      <c r="F155" s="8">
        <v>52.0</v>
      </c>
      <c r="G155" s="9">
        <v>26.0</v>
      </c>
    </row>
    <row r="156" ht="14.25" hidden="1" customHeight="1">
      <c r="B156" s="7" t="s">
        <v>6</v>
      </c>
      <c r="C156" s="7" t="s">
        <v>7</v>
      </c>
      <c r="D156" s="7" t="s">
        <v>28</v>
      </c>
      <c r="E156" s="7" t="s">
        <v>33</v>
      </c>
      <c r="F156" s="8">
        <v>52.0</v>
      </c>
      <c r="G156" s="9">
        <v>26.0</v>
      </c>
    </row>
    <row r="157" ht="14.25" hidden="1" customHeight="1">
      <c r="B157" s="7" t="s">
        <v>6</v>
      </c>
      <c r="C157" s="7" t="s">
        <v>29</v>
      </c>
      <c r="D157" s="7" t="s">
        <v>33</v>
      </c>
      <c r="E157" s="7" t="s">
        <v>9</v>
      </c>
      <c r="F157" s="8">
        <v>51.0</v>
      </c>
      <c r="G157" s="9">
        <v>51.0</v>
      </c>
    </row>
    <row r="158" ht="14.25" hidden="1" customHeight="1">
      <c r="B158" s="7" t="s">
        <v>6</v>
      </c>
      <c r="C158" s="7" t="s">
        <v>29</v>
      </c>
      <c r="D158" s="7" t="s">
        <v>28</v>
      </c>
      <c r="E158" s="7" t="s">
        <v>25</v>
      </c>
      <c r="F158" s="8">
        <v>51.0</v>
      </c>
      <c r="G158" s="9">
        <v>51.0</v>
      </c>
    </row>
    <row r="159" ht="14.25" hidden="1" customHeight="1">
      <c r="B159" s="7" t="s">
        <v>6</v>
      </c>
      <c r="C159" s="7" t="s">
        <v>29</v>
      </c>
      <c r="D159" s="7" t="s">
        <v>10</v>
      </c>
      <c r="E159" s="7" t="s">
        <v>33</v>
      </c>
      <c r="F159" s="8">
        <v>51.0</v>
      </c>
      <c r="G159" s="9">
        <v>51.0</v>
      </c>
    </row>
    <row r="160" ht="14.25" hidden="1" customHeight="1">
      <c r="B160" s="7" t="s">
        <v>6</v>
      </c>
      <c r="C160" s="7" t="s">
        <v>7</v>
      </c>
      <c r="D160" s="7" t="s">
        <v>8</v>
      </c>
      <c r="E160" s="7" t="s">
        <v>28</v>
      </c>
      <c r="F160" s="8">
        <v>50.0</v>
      </c>
      <c r="G160" s="9">
        <v>25.0</v>
      </c>
    </row>
    <row r="161" ht="14.25" hidden="1" customHeight="1">
      <c r="B161" s="7" t="s">
        <v>6</v>
      </c>
      <c r="C161" s="7" t="s">
        <v>7</v>
      </c>
      <c r="D161" s="7" t="s">
        <v>11</v>
      </c>
      <c r="E161" s="7" t="s">
        <v>31</v>
      </c>
      <c r="F161" s="8">
        <v>48.0</v>
      </c>
      <c r="G161" s="9">
        <v>24.0</v>
      </c>
    </row>
    <row r="162" ht="14.25" hidden="1" customHeight="1">
      <c r="B162" s="7" t="s">
        <v>6</v>
      </c>
      <c r="C162" s="7" t="s">
        <v>30</v>
      </c>
      <c r="D162" s="7" t="s">
        <v>8</v>
      </c>
      <c r="E162" s="7" t="s">
        <v>33</v>
      </c>
      <c r="F162" s="8">
        <v>48.0</v>
      </c>
      <c r="G162" s="9">
        <v>24.0</v>
      </c>
    </row>
    <row r="163" ht="14.25" hidden="1" customHeight="1">
      <c r="B163" s="7" t="s">
        <v>6</v>
      </c>
      <c r="C163" s="7" t="s">
        <v>7</v>
      </c>
      <c r="D163" s="7" t="s">
        <v>32</v>
      </c>
      <c r="E163" s="7" t="s">
        <v>9</v>
      </c>
      <c r="F163" s="8">
        <v>46.0</v>
      </c>
      <c r="G163" s="9">
        <v>23.0</v>
      </c>
    </row>
    <row r="164" ht="14.25" hidden="1" customHeight="1">
      <c r="B164" s="7" t="s">
        <v>6</v>
      </c>
      <c r="C164" s="7" t="s">
        <v>29</v>
      </c>
      <c r="D164" s="7" t="s">
        <v>8</v>
      </c>
      <c r="E164" s="7" t="s">
        <v>28</v>
      </c>
      <c r="F164" s="8">
        <v>46.0</v>
      </c>
      <c r="G164" s="9">
        <v>46.0</v>
      </c>
    </row>
    <row r="165" ht="14.25" hidden="1" customHeight="1">
      <c r="B165" s="7" t="s">
        <v>6</v>
      </c>
      <c r="C165" s="7" t="s">
        <v>29</v>
      </c>
      <c r="D165" s="7" t="s">
        <v>25</v>
      </c>
      <c r="E165" s="7" t="s">
        <v>9</v>
      </c>
      <c r="F165" s="8">
        <v>45.0</v>
      </c>
      <c r="G165" s="9">
        <v>45.0</v>
      </c>
    </row>
    <row r="166" ht="14.25" hidden="1" customHeight="1">
      <c r="B166" s="7" t="s">
        <v>6</v>
      </c>
      <c r="C166" s="7" t="s">
        <v>29</v>
      </c>
      <c r="D166" s="7" t="s">
        <v>33</v>
      </c>
      <c r="E166" s="7" t="s">
        <v>28</v>
      </c>
      <c r="F166" s="8">
        <v>45.0</v>
      </c>
      <c r="G166" s="9">
        <v>45.0</v>
      </c>
    </row>
    <row r="167" ht="14.25" hidden="1" customHeight="1">
      <c r="B167" s="7" t="s">
        <v>6</v>
      </c>
      <c r="C167" s="7" t="s">
        <v>30</v>
      </c>
      <c r="D167" s="7" t="s">
        <v>33</v>
      </c>
      <c r="E167" s="7" t="s">
        <v>8</v>
      </c>
      <c r="F167" s="8">
        <v>44.0</v>
      </c>
      <c r="G167" s="9">
        <v>22.0</v>
      </c>
    </row>
    <row r="168" ht="14.25" hidden="1" customHeight="1">
      <c r="B168" s="7" t="s">
        <v>6</v>
      </c>
      <c r="C168" s="7" t="s">
        <v>7</v>
      </c>
      <c r="D168" s="7" t="s">
        <v>8</v>
      </c>
      <c r="E168" s="7" t="s">
        <v>25</v>
      </c>
      <c r="F168" s="8">
        <v>44.0</v>
      </c>
      <c r="G168" s="9">
        <v>44.0</v>
      </c>
    </row>
    <row r="169" ht="14.25" hidden="1" customHeight="1">
      <c r="B169" s="7" t="s">
        <v>6</v>
      </c>
      <c r="C169" s="7" t="s">
        <v>29</v>
      </c>
      <c r="D169" s="7" t="s">
        <v>32</v>
      </c>
      <c r="E169" s="7" t="s">
        <v>9</v>
      </c>
      <c r="F169" s="8">
        <v>43.0</v>
      </c>
      <c r="G169" s="9">
        <v>43.0</v>
      </c>
    </row>
    <row r="170" ht="14.25" hidden="1" customHeight="1">
      <c r="B170" s="7" t="s">
        <v>6</v>
      </c>
      <c r="C170" s="7" t="s">
        <v>7</v>
      </c>
      <c r="D170" s="7" t="s">
        <v>32</v>
      </c>
      <c r="E170" s="7" t="s">
        <v>25</v>
      </c>
      <c r="F170" s="8">
        <v>42.0</v>
      </c>
      <c r="G170" s="9">
        <v>21.0</v>
      </c>
    </row>
    <row r="171" ht="14.25" hidden="1" customHeight="1">
      <c r="B171" s="7" t="s">
        <v>6</v>
      </c>
      <c r="C171" s="7" t="s">
        <v>7</v>
      </c>
      <c r="D171" s="7" t="s">
        <v>25</v>
      </c>
      <c r="E171" s="7" t="s">
        <v>8</v>
      </c>
      <c r="F171" s="8">
        <v>40.0</v>
      </c>
      <c r="G171" s="9">
        <v>20.0</v>
      </c>
    </row>
    <row r="172" ht="14.25" hidden="1" customHeight="1">
      <c r="B172" s="7" t="s">
        <v>6</v>
      </c>
      <c r="C172" s="7" t="s">
        <v>7</v>
      </c>
      <c r="D172" s="7" t="s">
        <v>33</v>
      </c>
      <c r="E172" s="7" t="s">
        <v>31</v>
      </c>
      <c r="F172" s="8">
        <v>40.0</v>
      </c>
      <c r="G172" s="9">
        <v>20.0</v>
      </c>
    </row>
    <row r="173" ht="14.25" hidden="1" customHeight="1">
      <c r="B173" s="7" t="s">
        <v>6</v>
      </c>
      <c r="C173" s="7" t="s">
        <v>7</v>
      </c>
      <c r="D173" s="7" t="s">
        <v>9</v>
      </c>
      <c r="E173" s="7" t="s">
        <v>33</v>
      </c>
      <c r="F173" s="8">
        <v>40.0</v>
      </c>
      <c r="G173" s="9">
        <v>20.0</v>
      </c>
    </row>
    <row r="174" ht="14.25" hidden="1" customHeight="1">
      <c r="B174" s="7" t="s">
        <v>6</v>
      </c>
      <c r="C174" s="7" t="s">
        <v>7</v>
      </c>
      <c r="D174" s="7" t="s">
        <v>32</v>
      </c>
      <c r="E174" s="7" t="s">
        <v>8</v>
      </c>
      <c r="F174" s="8">
        <v>40.0</v>
      </c>
      <c r="G174" s="9">
        <v>20.0</v>
      </c>
    </row>
    <row r="175" ht="14.25" hidden="1" customHeight="1">
      <c r="B175" s="7" t="s">
        <v>6</v>
      </c>
      <c r="C175" s="7" t="s">
        <v>7</v>
      </c>
      <c r="D175" s="7" t="s">
        <v>8</v>
      </c>
      <c r="E175" s="7" t="s">
        <v>28</v>
      </c>
      <c r="F175" s="8">
        <v>40.0</v>
      </c>
      <c r="G175" s="9">
        <v>20.0</v>
      </c>
    </row>
    <row r="176" ht="14.25" hidden="1" customHeight="1">
      <c r="B176" s="7" t="s">
        <v>6</v>
      </c>
      <c r="C176" s="7" t="s">
        <v>30</v>
      </c>
      <c r="D176" s="7" t="s">
        <v>8</v>
      </c>
      <c r="E176" s="7" t="s">
        <v>35</v>
      </c>
      <c r="F176" s="8">
        <v>40.0</v>
      </c>
      <c r="G176" s="9">
        <v>20.0</v>
      </c>
    </row>
    <row r="177" ht="14.25" hidden="1" customHeight="1">
      <c r="B177" s="7" t="s">
        <v>6</v>
      </c>
      <c r="C177" s="7" t="s">
        <v>29</v>
      </c>
      <c r="D177" s="7" t="s">
        <v>25</v>
      </c>
      <c r="E177" s="7" t="s">
        <v>28</v>
      </c>
      <c r="F177" s="8">
        <v>39.0</v>
      </c>
      <c r="G177" s="9">
        <v>39.0</v>
      </c>
    </row>
    <row r="178" ht="14.25" hidden="1" customHeight="1">
      <c r="B178" s="7" t="s">
        <v>6</v>
      </c>
      <c r="C178" s="7" t="s">
        <v>29</v>
      </c>
      <c r="D178" s="7" t="s">
        <v>9</v>
      </c>
      <c r="E178" s="7" t="s">
        <v>31</v>
      </c>
      <c r="F178" s="8">
        <v>39.0</v>
      </c>
      <c r="G178" s="9">
        <v>39.0</v>
      </c>
    </row>
    <row r="179" ht="14.25" hidden="1" customHeight="1">
      <c r="B179" s="7" t="s">
        <v>6</v>
      </c>
      <c r="C179" s="7" t="s">
        <v>7</v>
      </c>
      <c r="D179" s="7" t="s">
        <v>11</v>
      </c>
      <c r="E179" s="7" t="s">
        <v>8</v>
      </c>
      <c r="F179" s="8">
        <v>38.0</v>
      </c>
      <c r="G179" s="9">
        <v>19.0</v>
      </c>
    </row>
    <row r="180" ht="14.25" hidden="1" customHeight="1">
      <c r="B180" s="7" t="s">
        <v>6</v>
      </c>
      <c r="C180" s="7" t="s">
        <v>7</v>
      </c>
      <c r="D180" s="7" t="s">
        <v>10</v>
      </c>
      <c r="E180" s="7" t="s">
        <v>31</v>
      </c>
      <c r="F180" s="8">
        <v>38.0</v>
      </c>
      <c r="G180" s="9">
        <v>19.0</v>
      </c>
    </row>
    <row r="181" ht="14.25" hidden="1" customHeight="1">
      <c r="B181" s="7" t="s">
        <v>6</v>
      </c>
      <c r="C181" s="7" t="s">
        <v>7</v>
      </c>
      <c r="D181" s="7" t="s">
        <v>31</v>
      </c>
      <c r="E181" s="7" t="s">
        <v>31</v>
      </c>
      <c r="F181" s="8">
        <v>38.0</v>
      </c>
      <c r="G181" s="9">
        <v>19.0</v>
      </c>
    </row>
    <row r="182" ht="14.25" hidden="1" customHeight="1">
      <c r="B182" s="7" t="s">
        <v>6</v>
      </c>
      <c r="C182" s="7" t="s">
        <v>29</v>
      </c>
      <c r="D182" s="7" t="s">
        <v>28</v>
      </c>
      <c r="E182" s="7" t="s">
        <v>33</v>
      </c>
      <c r="F182" s="8">
        <v>37.0</v>
      </c>
      <c r="G182" s="9">
        <v>37.0</v>
      </c>
    </row>
    <row r="183" ht="14.25" hidden="1" customHeight="1">
      <c r="B183" s="7" t="s">
        <v>6</v>
      </c>
      <c r="C183" s="7" t="s">
        <v>29</v>
      </c>
      <c r="D183" s="7" t="s">
        <v>33</v>
      </c>
      <c r="E183" s="7" t="s">
        <v>25</v>
      </c>
      <c r="F183" s="8">
        <v>36.0</v>
      </c>
      <c r="G183" s="9">
        <v>36.0</v>
      </c>
    </row>
    <row r="184" ht="14.25" hidden="1" customHeight="1">
      <c r="B184" s="7" t="s">
        <v>6</v>
      </c>
      <c r="C184" s="7" t="s">
        <v>30</v>
      </c>
      <c r="D184" s="7" t="s">
        <v>33</v>
      </c>
      <c r="E184" s="7" t="s">
        <v>9</v>
      </c>
      <c r="F184" s="8">
        <v>36.0</v>
      </c>
      <c r="G184" s="9">
        <v>18.0</v>
      </c>
    </row>
    <row r="185" ht="14.25" hidden="1" customHeight="1">
      <c r="B185" s="7" t="s">
        <v>6</v>
      </c>
      <c r="C185" s="7" t="s">
        <v>7</v>
      </c>
      <c r="D185" s="7" t="s">
        <v>28</v>
      </c>
      <c r="E185" s="7" t="s">
        <v>10</v>
      </c>
      <c r="F185" s="8">
        <v>36.0</v>
      </c>
      <c r="G185" s="9">
        <v>18.0</v>
      </c>
    </row>
    <row r="186" ht="14.25" hidden="1" customHeight="1">
      <c r="B186" s="7" t="s">
        <v>6</v>
      </c>
      <c r="C186" s="7" t="s">
        <v>30</v>
      </c>
      <c r="D186" s="7" t="s">
        <v>9</v>
      </c>
      <c r="E186" s="7" t="s">
        <v>28</v>
      </c>
      <c r="F186" s="8">
        <v>36.0</v>
      </c>
      <c r="G186" s="9">
        <v>18.0</v>
      </c>
    </row>
    <row r="187" ht="14.25" hidden="1" customHeight="1">
      <c r="B187" s="7" t="s">
        <v>6</v>
      </c>
      <c r="C187" s="7" t="s">
        <v>29</v>
      </c>
      <c r="D187" s="7" t="s">
        <v>9</v>
      </c>
      <c r="E187" s="7" t="s">
        <v>32</v>
      </c>
      <c r="F187" s="8">
        <v>36.0</v>
      </c>
      <c r="G187" s="9">
        <v>36.0</v>
      </c>
    </row>
    <row r="188" ht="14.25" hidden="1" customHeight="1">
      <c r="B188" s="7" t="s">
        <v>6</v>
      </c>
      <c r="C188" s="7" t="s">
        <v>7</v>
      </c>
      <c r="D188" s="7" t="s">
        <v>32</v>
      </c>
      <c r="E188" s="7" t="s">
        <v>8</v>
      </c>
      <c r="F188" s="8">
        <v>36.0</v>
      </c>
      <c r="G188" s="9">
        <v>18.0</v>
      </c>
    </row>
    <row r="189" ht="14.25" hidden="1" customHeight="1">
      <c r="B189" s="7" t="s">
        <v>6</v>
      </c>
      <c r="C189" s="7" t="s">
        <v>7</v>
      </c>
      <c r="D189" s="7" t="s">
        <v>8</v>
      </c>
      <c r="E189" s="7" t="s">
        <v>10</v>
      </c>
      <c r="F189" s="8">
        <v>36.0</v>
      </c>
      <c r="G189" s="9">
        <v>18.0</v>
      </c>
    </row>
    <row r="190" ht="14.25" hidden="1" customHeight="1">
      <c r="B190" s="7" t="s">
        <v>6</v>
      </c>
      <c r="C190" s="7" t="s">
        <v>29</v>
      </c>
      <c r="D190" s="7" t="s">
        <v>11</v>
      </c>
      <c r="E190" s="7" t="s">
        <v>8</v>
      </c>
      <c r="F190" s="8">
        <v>35.0</v>
      </c>
      <c r="G190" s="9">
        <v>35.0</v>
      </c>
    </row>
    <row r="191" ht="14.25" hidden="1" customHeight="1">
      <c r="B191" s="7" t="s">
        <v>6</v>
      </c>
      <c r="C191" s="7" t="s">
        <v>29</v>
      </c>
      <c r="D191" s="7" t="s">
        <v>10</v>
      </c>
      <c r="E191" s="7" t="s">
        <v>8</v>
      </c>
      <c r="F191" s="8">
        <v>35.0</v>
      </c>
      <c r="G191" s="9">
        <v>35.0</v>
      </c>
    </row>
    <row r="192" ht="14.25" hidden="1" customHeight="1">
      <c r="B192" s="7" t="s">
        <v>6</v>
      </c>
      <c r="C192" s="7" t="s">
        <v>30</v>
      </c>
      <c r="D192" s="7" t="s">
        <v>28</v>
      </c>
      <c r="E192" s="7" t="s">
        <v>8</v>
      </c>
      <c r="F192" s="8">
        <v>34.0</v>
      </c>
      <c r="G192" s="9">
        <v>17.0</v>
      </c>
    </row>
    <row r="193" ht="14.25" hidden="1" customHeight="1">
      <c r="B193" s="7" t="s">
        <v>6</v>
      </c>
      <c r="C193" s="7" t="s">
        <v>30</v>
      </c>
      <c r="D193" s="7" t="s">
        <v>10</v>
      </c>
      <c r="E193" s="7" t="s">
        <v>9</v>
      </c>
      <c r="F193" s="8">
        <v>34.0</v>
      </c>
      <c r="G193" s="9">
        <v>17.0</v>
      </c>
    </row>
    <row r="194" ht="14.25" hidden="1" customHeight="1">
      <c r="B194" s="7" t="s">
        <v>6</v>
      </c>
      <c r="C194" s="7" t="s">
        <v>30</v>
      </c>
      <c r="D194" s="7" t="s">
        <v>31</v>
      </c>
      <c r="E194" s="7" t="s">
        <v>24</v>
      </c>
      <c r="F194" s="8">
        <v>34.0</v>
      </c>
      <c r="G194" s="9">
        <v>17.0</v>
      </c>
    </row>
    <row r="195" ht="14.25" customHeight="1">
      <c r="B195" s="7" t="s">
        <v>6</v>
      </c>
      <c r="C195" s="7" t="s">
        <v>29</v>
      </c>
      <c r="D195" s="7" t="s">
        <v>8</v>
      </c>
      <c r="E195" s="7" t="s">
        <v>31</v>
      </c>
      <c r="F195" s="8">
        <v>34.0</v>
      </c>
      <c r="G195" s="9">
        <v>34.0</v>
      </c>
    </row>
    <row r="196" ht="14.25" hidden="1" customHeight="1">
      <c r="B196" s="7" t="s">
        <v>6</v>
      </c>
      <c r="C196" s="7" t="s">
        <v>29</v>
      </c>
      <c r="D196" s="7" t="s">
        <v>8</v>
      </c>
      <c r="E196" s="7" t="s">
        <v>25</v>
      </c>
      <c r="F196" s="8">
        <v>33.0</v>
      </c>
      <c r="G196" s="9">
        <v>33.0</v>
      </c>
    </row>
    <row r="197" ht="14.25" hidden="1" customHeight="1">
      <c r="B197" s="7" t="s">
        <v>6</v>
      </c>
      <c r="C197" s="7" t="s">
        <v>29</v>
      </c>
      <c r="D197" s="7" t="s">
        <v>31</v>
      </c>
      <c r="E197" s="7" t="s">
        <v>25</v>
      </c>
      <c r="F197" s="8">
        <v>31.0</v>
      </c>
      <c r="G197" s="9">
        <v>31.0</v>
      </c>
    </row>
    <row r="198" ht="14.25" hidden="1" customHeight="1">
      <c r="B198" s="7" t="s">
        <v>6</v>
      </c>
      <c r="C198" s="7" t="s">
        <v>29</v>
      </c>
      <c r="D198" s="7" t="s">
        <v>8</v>
      </c>
      <c r="E198" s="7" t="s">
        <v>33</v>
      </c>
      <c r="F198" s="8">
        <v>30.0</v>
      </c>
      <c r="G198" s="9">
        <v>30.0</v>
      </c>
    </row>
    <row r="199" ht="14.25" hidden="1" customHeight="1">
      <c r="B199" s="7" t="s">
        <v>6</v>
      </c>
      <c r="C199" s="7" t="s">
        <v>29</v>
      </c>
      <c r="D199" s="7" t="s">
        <v>33</v>
      </c>
      <c r="E199" s="7" t="s">
        <v>28</v>
      </c>
      <c r="F199" s="8">
        <v>28.0</v>
      </c>
      <c r="G199" s="9">
        <v>28.0</v>
      </c>
    </row>
    <row r="200" ht="14.25" hidden="1" customHeight="1">
      <c r="B200" s="7" t="s">
        <v>6</v>
      </c>
      <c r="C200" s="7" t="s">
        <v>29</v>
      </c>
      <c r="D200" s="7" t="s">
        <v>28</v>
      </c>
      <c r="E200" s="7" t="s">
        <v>9</v>
      </c>
      <c r="F200" s="8">
        <v>28.0</v>
      </c>
      <c r="G200" s="9">
        <v>28.0</v>
      </c>
    </row>
    <row r="201" ht="14.25" hidden="1" customHeight="1">
      <c r="B201" s="7" t="s">
        <v>6</v>
      </c>
      <c r="C201" s="7" t="s">
        <v>29</v>
      </c>
      <c r="D201" s="7" t="s">
        <v>11</v>
      </c>
      <c r="E201" s="7" t="s">
        <v>8</v>
      </c>
      <c r="F201" s="8">
        <v>28.0</v>
      </c>
      <c r="G201" s="9">
        <v>28.0</v>
      </c>
    </row>
    <row r="202" ht="14.25" hidden="1" customHeight="1">
      <c r="B202" s="7" t="s">
        <v>6</v>
      </c>
      <c r="C202" s="7" t="s">
        <v>29</v>
      </c>
      <c r="D202" s="7" t="s">
        <v>10</v>
      </c>
      <c r="E202" s="7" t="s">
        <v>8</v>
      </c>
      <c r="F202" s="8">
        <v>28.0</v>
      </c>
      <c r="G202" s="9">
        <v>28.0</v>
      </c>
    </row>
    <row r="203" ht="14.25" hidden="1" customHeight="1">
      <c r="B203" s="7" t="s">
        <v>6</v>
      </c>
      <c r="C203" s="7" t="s">
        <v>7</v>
      </c>
      <c r="D203" s="7" t="s">
        <v>31</v>
      </c>
      <c r="E203" s="7" t="s">
        <v>28</v>
      </c>
      <c r="F203" s="8">
        <v>28.0</v>
      </c>
      <c r="G203" s="9">
        <v>14.0</v>
      </c>
    </row>
    <row r="204" ht="14.25" hidden="1" customHeight="1">
      <c r="B204" s="7" t="s">
        <v>6</v>
      </c>
      <c r="C204" s="7" t="s">
        <v>29</v>
      </c>
      <c r="D204" s="7" t="s">
        <v>31</v>
      </c>
      <c r="E204" s="7" t="s">
        <v>31</v>
      </c>
      <c r="F204" s="8">
        <v>28.0</v>
      </c>
      <c r="G204" s="9">
        <v>28.0</v>
      </c>
    </row>
    <row r="205" ht="14.25" hidden="1" customHeight="1">
      <c r="B205" s="7" t="s">
        <v>6</v>
      </c>
      <c r="C205" s="7" t="s">
        <v>7</v>
      </c>
      <c r="D205" s="7" t="s">
        <v>8</v>
      </c>
      <c r="E205" s="7" t="s">
        <v>10</v>
      </c>
      <c r="F205" s="8">
        <v>28.0</v>
      </c>
      <c r="G205" s="9">
        <v>14.0</v>
      </c>
    </row>
    <row r="206" ht="14.25" hidden="1" customHeight="1">
      <c r="B206" s="7" t="s">
        <v>6</v>
      </c>
      <c r="C206" s="7" t="s">
        <v>29</v>
      </c>
      <c r="D206" s="7" t="s">
        <v>25</v>
      </c>
      <c r="E206" s="7" t="s">
        <v>33</v>
      </c>
      <c r="F206" s="8">
        <v>27.0</v>
      </c>
      <c r="G206" s="9">
        <v>27.0</v>
      </c>
    </row>
    <row r="207" ht="14.25" hidden="1" customHeight="1">
      <c r="B207" s="7" t="s">
        <v>6</v>
      </c>
      <c r="C207" s="7" t="s">
        <v>29</v>
      </c>
      <c r="D207" s="7" t="s">
        <v>11</v>
      </c>
      <c r="E207" s="7" t="s">
        <v>25</v>
      </c>
      <c r="F207" s="8">
        <v>27.0</v>
      </c>
      <c r="G207" s="9">
        <v>27.0</v>
      </c>
    </row>
    <row r="208" ht="14.25" hidden="1" customHeight="1">
      <c r="B208" s="7" t="s">
        <v>6</v>
      </c>
      <c r="C208" s="7" t="s">
        <v>29</v>
      </c>
      <c r="D208" s="7" t="s">
        <v>9</v>
      </c>
      <c r="E208" s="7" t="s">
        <v>28</v>
      </c>
      <c r="F208" s="8">
        <v>27.0</v>
      </c>
      <c r="G208" s="9">
        <v>27.0</v>
      </c>
    </row>
    <row r="209" ht="14.25" hidden="1" customHeight="1">
      <c r="B209" s="7" t="s">
        <v>6</v>
      </c>
      <c r="C209" s="7" t="s">
        <v>29</v>
      </c>
      <c r="D209" s="7" t="s">
        <v>25</v>
      </c>
      <c r="E209" s="7" t="s">
        <v>28</v>
      </c>
      <c r="F209" s="8">
        <v>26.0</v>
      </c>
      <c r="G209" s="9">
        <v>26.0</v>
      </c>
    </row>
    <row r="210" ht="14.25" hidden="1" customHeight="1">
      <c r="B210" s="7" t="s">
        <v>6</v>
      </c>
      <c r="C210" s="7" t="s">
        <v>29</v>
      </c>
      <c r="D210" s="7" t="s">
        <v>11</v>
      </c>
      <c r="E210" s="7" t="s">
        <v>25</v>
      </c>
      <c r="F210" s="8">
        <v>26.0</v>
      </c>
      <c r="G210" s="9">
        <v>26.0</v>
      </c>
    </row>
    <row r="211" ht="14.25" hidden="1" customHeight="1">
      <c r="B211" s="7" t="s">
        <v>6</v>
      </c>
      <c r="C211" s="7" t="s">
        <v>30</v>
      </c>
      <c r="D211" s="7" t="s">
        <v>32</v>
      </c>
      <c r="E211" s="7" t="s">
        <v>9</v>
      </c>
      <c r="F211" s="8">
        <v>26.0</v>
      </c>
      <c r="G211" s="9">
        <v>13.0</v>
      </c>
    </row>
    <row r="212" ht="14.25" hidden="1" customHeight="1">
      <c r="B212" s="7" t="s">
        <v>6</v>
      </c>
      <c r="C212" s="7" t="s">
        <v>7</v>
      </c>
      <c r="D212" s="7" t="s">
        <v>32</v>
      </c>
      <c r="E212" s="7" t="s">
        <v>31</v>
      </c>
      <c r="F212" s="8">
        <v>26.0</v>
      </c>
      <c r="G212" s="9">
        <v>13.0</v>
      </c>
    </row>
    <row r="213" ht="14.25" hidden="1" customHeight="1">
      <c r="B213" s="7" t="s">
        <v>6</v>
      </c>
      <c r="C213" s="7" t="s">
        <v>7</v>
      </c>
      <c r="D213" s="7" t="s">
        <v>32</v>
      </c>
      <c r="E213" s="7" t="s">
        <v>31</v>
      </c>
      <c r="F213" s="8">
        <v>26.0</v>
      </c>
      <c r="G213" s="9">
        <v>13.0</v>
      </c>
    </row>
    <row r="214" ht="14.25" hidden="1" customHeight="1">
      <c r="B214" s="7" t="s">
        <v>6</v>
      </c>
      <c r="C214" s="7" t="s">
        <v>7</v>
      </c>
      <c r="D214" s="7" t="s">
        <v>28</v>
      </c>
      <c r="E214" s="7" t="s">
        <v>35</v>
      </c>
      <c r="F214" s="8">
        <v>24.0</v>
      </c>
      <c r="G214" s="9">
        <v>12.0</v>
      </c>
    </row>
    <row r="215" ht="14.25" hidden="1" customHeight="1">
      <c r="B215" s="7" t="s">
        <v>6</v>
      </c>
      <c r="C215" s="7" t="s">
        <v>7</v>
      </c>
      <c r="D215" s="7" t="s">
        <v>28</v>
      </c>
      <c r="E215" s="7" t="s">
        <v>31</v>
      </c>
      <c r="F215" s="8">
        <v>24.0</v>
      </c>
      <c r="G215" s="9">
        <v>12.0</v>
      </c>
    </row>
    <row r="216" ht="14.25" hidden="1" customHeight="1">
      <c r="B216" s="7" t="s">
        <v>6</v>
      </c>
      <c r="C216" s="7" t="s">
        <v>29</v>
      </c>
      <c r="D216" s="7" t="s">
        <v>11</v>
      </c>
      <c r="E216" s="7" t="s">
        <v>31</v>
      </c>
      <c r="F216" s="8">
        <v>24.0</v>
      </c>
      <c r="G216" s="9">
        <v>24.0</v>
      </c>
    </row>
    <row r="217" ht="14.25" hidden="1" customHeight="1">
      <c r="B217" s="7" t="s">
        <v>6</v>
      </c>
      <c r="C217" s="7" t="s">
        <v>30</v>
      </c>
      <c r="D217" s="7" t="s">
        <v>34</v>
      </c>
      <c r="E217" s="7" t="s">
        <v>28</v>
      </c>
      <c r="F217" s="8">
        <v>24.0</v>
      </c>
      <c r="G217" s="9">
        <v>12.0</v>
      </c>
    </row>
    <row r="218" ht="14.25" hidden="1" customHeight="1">
      <c r="B218" s="7" t="s">
        <v>6</v>
      </c>
      <c r="C218" s="7" t="s">
        <v>30</v>
      </c>
      <c r="D218" s="7" t="s">
        <v>34</v>
      </c>
      <c r="E218" s="7" t="s">
        <v>8</v>
      </c>
      <c r="F218" s="8">
        <v>24.0</v>
      </c>
      <c r="G218" s="9">
        <v>12.0</v>
      </c>
    </row>
    <row r="219" ht="14.25" hidden="1" customHeight="1">
      <c r="B219" s="7" t="s">
        <v>6</v>
      </c>
      <c r="C219" s="7" t="s">
        <v>7</v>
      </c>
      <c r="D219" s="7" t="s">
        <v>9</v>
      </c>
      <c r="E219" s="7" t="s">
        <v>28</v>
      </c>
      <c r="F219" s="8">
        <v>24.0</v>
      </c>
      <c r="G219" s="9">
        <v>12.0</v>
      </c>
    </row>
    <row r="220" ht="14.25" hidden="1" customHeight="1">
      <c r="B220" s="7" t="s">
        <v>6</v>
      </c>
      <c r="C220" s="7" t="s">
        <v>7</v>
      </c>
      <c r="D220" s="7" t="s">
        <v>9</v>
      </c>
      <c r="E220" s="7" t="s">
        <v>8</v>
      </c>
      <c r="F220" s="8">
        <v>24.0</v>
      </c>
      <c r="G220" s="9">
        <v>12.0</v>
      </c>
    </row>
    <row r="221" ht="14.25" hidden="1" customHeight="1">
      <c r="B221" s="7" t="s">
        <v>6</v>
      </c>
      <c r="C221" s="7" t="s">
        <v>7</v>
      </c>
      <c r="D221" s="7" t="s">
        <v>8</v>
      </c>
      <c r="E221" s="7" t="s">
        <v>28</v>
      </c>
      <c r="F221" s="8">
        <v>24.0</v>
      </c>
      <c r="G221" s="9">
        <v>12.0</v>
      </c>
    </row>
    <row r="222" ht="14.25" hidden="1" customHeight="1">
      <c r="B222" s="7" t="s">
        <v>6</v>
      </c>
      <c r="C222" s="7" t="s">
        <v>29</v>
      </c>
      <c r="D222" s="7" t="s">
        <v>10</v>
      </c>
      <c r="E222" s="7" t="s">
        <v>28</v>
      </c>
      <c r="F222" s="8">
        <v>23.0</v>
      </c>
      <c r="G222" s="9">
        <v>23.0</v>
      </c>
    </row>
    <row r="223" ht="14.25" hidden="1" customHeight="1">
      <c r="B223" s="7" t="s">
        <v>6</v>
      </c>
      <c r="C223" s="7" t="s">
        <v>29</v>
      </c>
      <c r="D223" s="7" t="s">
        <v>32</v>
      </c>
      <c r="E223" s="7" t="s">
        <v>31</v>
      </c>
      <c r="F223" s="8">
        <v>23.0</v>
      </c>
      <c r="G223" s="9">
        <v>23.0</v>
      </c>
    </row>
    <row r="224" ht="14.25" hidden="1" customHeight="1">
      <c r="B224" s="7" t="s">
        <v>6</v>
      </c>
      <c r="C224" s="7" t="s">
        <v>29</v>
      </c>
      <c r="D224" s="7" t="s">
        <v>32</v>
      </c>
      <c r="E224" s="7" t="s">
        <v>8</v>
      </c>
      <c r="F224" s="8">
        <v>23.0</v>
      </c>
      <c r="G224" s="9">
        <v>23.0</v>
      </c>
    </row>
    <row r="225" ht="14.25" hidden="1" customHeight="1">
      <c r="B225" s="7" t="s">
        <v>6</v>
      </c>
      <c r="C225" s="7" t="s">
        <v>29</v>
      </c>
      <c r="D225" s="7" t="s">
        <v>10</v>
      </c>
      <c r="E225" s="7" t="s">
        <v>25</v>
      </c>
      <c r="F225" s="8">
        <v>21.0</v>
      </c>
      <c r="G225" s="9">
        <v>21.0</v>
      </c>
    </row>
    <row r="226" ht="14.25" hidden="1" customHeight="1">
      <c r="B226" s="7" t="s">
        <v>6</v>
      </c>
      <c r="C226" s="7" t="s">
        <v>29</v>
      </c>
      <c r="D226" s="7" t="s">
        <v>25</v>
      </c>
      <c r="E226" s="7" t="s">
        <v>10</v>
      </c>
      <c r="F226" s="8">
        <v>20.0</v>
      </c>
      <c r="G226" s="9">
        <v>20.0</v>
      </c>
    </row>
    <row r="227" ht="14.25" hidden="1" customHeight="1">
      <c r="B227" s="7" t="s">
        <v>6</v>
      </c>
      <c r="C227" s="7" t="s">
        <v>30</v>
      </c>
      <c r="D227" s="7" t="s">
        <v>28</v>
      </c>
      <c r="E227" s="7" t="s">
        <v>35</v>
      </c>
      <c r="F227" s="8">
        <v>20.0</v>
      </c>
      <c r="G227" s="9">
        <v>10.0</v>
      </c>
    </row>
    <row r="228" ht="14.25" hidden="1" customHeight="1">
      <c r="B228" s="7" t="s">
        <v>6</v>
      </c>
      <c r="C228" s="7" t="s">
        <v>30</v>
      </c>
      <c r="D228" s="7" t="s">
        <v>24</v>
      </c>
      <c r="E228" s="7" t="s">
        <v>10</v>
      </c>
      <c r="F228" s="8">
        <v>20.0</v>
      </c>
      <c r="G228" s="9">
        <v>10.0</v>
      </c>
    </row>
    <row r="229" ht="14.25" hidden="1" customHeight="1">
      <c r="B229" s="7" t="s">
        <v>6</v>
      </c>
      <c r="C229" s="7" t="s">
        <v>29</v>
      </c>
      <c r="D229" s="7" t="s">
        <v>10</v>
      </c>
      <c r="E229" s="7" t="s">
        <v>33</v>
      </c>
      <c r="F229" s="8">
        <v>20.0</v>
      </c>
      <c r="G229" s="9">
        <v>20.0</v>
      </c>
    </row>
    <row r="230" ht="14.25" hidden="1" customHeight="1">
      <c r="B230" s="7" t="s">
        <v>6</v>
      </c>
      <c r="C230" s="7" t="s">
        <v>29</v>
      </c>
      <c r="D230" s="7" t="s">
        <v>10</v>
      </c>
      <c r="E230" s="7" t="s">
        <v>31</v>
      </c>
      <c r="F230" s="8">
        <v>20.0</v>
      </c>
      <c r="G230" s="9">
        <v>20.0</v>
      </c>
    </row>
    <row r="231" ht="14.25" hidden="1" customHeight="1">
      <c r="B231" s="7" t="s">
        <v>6</v>
      </c>
      <c r="C231" s="7" t="s">
        <v>30</v>
      </c>
      <c r="D231" s="7" t="s">
        <v>32</v>
      </c>
      <c r="E231" s="7" t="s">
        <v>28</v>
      </c>
      <c r="F231" s="8">
        <v>20.0</v>
      </c>
      <c r="G231" s="9">
        <v>10.0</v>
      </c>
    </row>
    <row r="232" ht="14.25" hidden="1" customHeight="1">
      <c r="B232" s="7" t="s">
        <v>6</v>
      </c>
      <c r="C232" s="7" t="s">
        <v>29</v>
      </c>
      <c r="D232" s="7" t="s">
        <v>31</v>
      </c>
      <c r="E232" s="7" t="s">
        <v>28</v>
      </c>
      <c r="F232" s="8">
        <v>20.0</v>
      </c>
      <c r="G232" s="9">
        <v>20.0</v>
      </c>
    </row>
    <row r="233" ht="14.25" hidden="1" customHeight="1">
      <c r="B233" s="7" t="s">
        <v>6</v>
      </c>
      <c r="C233" s="7" t="s">
        <v>29</v>
      </c>
      <c r="D233" s="7" t="s">
        <v>31</v>
      </c>
      <c r="E233" s="7" t="s">
        <v>31</v>
      </c>
      <c r="F233" s="8">
        <v>20.0</v>
      </c>
      <c r="G233" s="9">
        <v>20.0</v>
      </c>
    </row>
    <row r="234" ht="14.25" hidden="1" customHeight="1">
      <c r="B234" s="7" t="s">
        <v>6</v>
      </c>
      <c r="C234" s="7" t="s">
        <v>30</v>
      </c>
      <c r="D234" s="7" t="s">
        <v>31</v>
      </c>
      <c r="E234" s="7" t="s">
        <v>8</v>
      </c>
      <c r="F234" s="8">
        <v>20.0</v>
      </c>
      <c r="G234" s="9">
        <v>10.0</v>
      </c>
    </row>
    <row r="235" ht="14.25" hidden="1" customHeight="1">
      <c r="B235" s="7" t="s">
        <v>6</v>
      </c>
      <c r="C235" s="7" t="s">
        <v>7</v>
      </c>
      <c r="D235" s="7" t="s">
        <v>8</v>
      </c>
      <c r="E235" s="7" t="s">
        <v>28</v>
      </c>
      <c r="F235" s="8">
        <v>20.0</v>
      </c>
      <c r="G235" s="9">
        <v>10.0</v>
      </c>
    </row>
    <row r="236" ht="14.25" hidden="1" customHeight="1">
      <c r="B236" s="7" t="s">
        <v>6</v>
      </c>
      <c r="C236" s="7" t="s">
        <v>7</v>
      </c>
      <c r="D236" s="7" t="s">
        <v>25</v>
      </c>
      <c r="E236" s="7" t="s">
        <v>33</v>
      </c>
      <c r="F236" s="8">
        <v>18.0</v>
      </c>
      <c r="G236" s="9">
        <v>9.0</v>
      </c>
    </row>
    <row r="237" ht="14.25" hidden="1" customHeight="1">
      <c r="B237" s="7" t="s">
        <v>6</v>
      </c>
      <c r="C237" s="7" t="s">
        <v>7</v>
      </c>
      <c r="D237" s="7" t="s">
        <v>25</v>
      </c>
      <c r="E237" s="7" t="s">
        <v>28</v>
      </c>
      <c r="F237" s="8">
        <v>18.0</v>
      </c>
      <c r="G237" s="9">
        <v>9.0</v>
      </c>
    </row>
    <row r="238" ht="14.25" hidden="1" customHeight="1">
      <c r="B238" s="7" t="s">
        <v>6</v>
      </c>
      <c r="C238" s="7" t="s">
        <v>7</v>
      </c>
      <c r="D238" s="7" t="s">
        <v>10</v>
      </c>
      <c r="E238" s="7" t="s">
        <v>31</v>
      </c>
      <c r="F238" s="8">
        <v>18.0</v>
      </c>
      <c r="G238" s="9">
        <v>9.0</v>
      </c>
    </row>
    <row r="239" ht="14.25" hidden="1" customHeight="1">
      <c r="B239" s="7" t="s">
        <v>6</v>
      </c>
      <c r="C239" s="7" t="s">
        <v>29</v>
      </c>
      <c r="D239" s="7" t="s">
        <v>10</v>
      </c>
      <c r="E239" s="7" t="s">
        <v>8</v>
      </c>
      <c r="F239" s="8">
        <v>18.0</v>
      </c>
      <c r="G239" s="9">
        <v>18.0</v>
      </c>
    </row>
    <row r="240" ht="14.25" hidden="1" customHeight="1">
      <c r="B240" s="7" t="s">
        <v>6</v>
      </c>
      <c r="C240" s="7" t="s">
        <v>29</v>
      </c>
      <c r="D240" s="7" t="s">
        <v>33</v>
      </c>
      <c r="E240" s="7" t="s">
        <v>10</v>
      </c>
      <c r="F240" s="8">
        <v>16.0</v>
      </c>
      <c r="G240" s="9">
        <v>16.0</v>
      </c>
    </row>
    <row r="241" ht="14.25" hidden="1" customHeight="1">
      <c r="B241" s="7" t="s">
        <v>6</v>
      </c>
      <c r="C241" s="7" t="s">
        <v>7</v>
      </c>
      <c r="D241" s="7" t="s">
        <v>9</v>
      </c>
      <c r="E241" s="7" t="s">
        <v>10</v>
      </c>
      <c r="F241" s="8">
        <v>16.0</v>
      </c>
      <c r="G241" s="9">
        <v>8.0</v>
      </c>
    </row>
    <row r="242" ht="14.25" hidden="1" customHeight="1">
      <c r="B242" s="7" t="s">
        <v>6</v>
      </c>
      <c r="C242" s="7" t="s">
        <v>29</v>
      </c>
      <c r="D242" s="7" t="s">
        <v>10</v>
      </c>
      <c r="E242" s="7" t="s">
        <v>31</v>
      </c>
      <c r="F242" s="8">
        <v>16.0</v>
      </c>
      <c r="G242" s="9">
        <v>16.0</v>
      </c>
    </row>
    <row r="243" ht="14.25" hidden="1" customHeight="1">
      <c r="B243" s="7" t="s">
        <v>6</v>
      </c>
      <c r="C243" s="7" t="s">
        <v>7</v>
      </c>
      <c r="D243" s="7" t="s">
        <v>32</v>
      </c>
      <c r="E243" s="7" t="s">
        <v>28</v>
      </c>
      <c r="F243" s="8">
        <v>16.0</v>
      </c>
      <c r="G243" s="9">
        <v>8.0</v>
      </c>
    </row>
    <row r="244" ht="14.25" hidden="1" customHeight="1">
      <c r="B244" s="7" t="s">
        <v>6</v>
      </c>
      <c r="C244" s="7" t="s">
        <v>7</v>
      </c>
      <c r="D244" s="7" t="s">
        <v>32</v>
      </c>
      <c r="E244" s="7" t="s">
        <v>35</v>
      </c>
      <c r="F244" s="8">
        <v>16.0</v>
      </c>
      <c r="G244" s="9">
        <v>8.0</v>
      </c>
    </row>
    <row r="245" ht="14.25" hidden="1" customHeight="1">
      <c r="B245" s="7" t="s">
        <v>6</v>
      </c>
      <c r="C245" s="7" t="s">
        <v>30</v>
      </c>
      <c r="D245" s="7" t="s">
        <v>32</v>
      </c>
      <c r="E245" s="7" t="s">
        <v>8</v>
      </c>
      <c r="F245" s="8">
        <v>16.0</v>
      </c>
      <c r="G245" s="9">
        <v>8.0</v>
      </c>
    </row>
    <row r="246" ht="14.25" hidden="1" customHeight="1">
      <c r="B246" s="7" t="s">
        <v>6</v>
      </c>
      <c r="C246" s="7" t="s">
        <v>7</v>
      </c>
      <c r="D246" s="7" t="s">
        <v>31</v>
      </c>
      <c r="E246" s="7" t="s">
        <v>28</v>
      </c>
      <c r="F246" s="8">
        <v>16.0</v>
      </c>
      <c r="G246" s="9">
        <v>8.0</v>
      </c>
    </row>
    <row r="247" ht="14.25" hidden="1" customHeight="1">
      <c r="B247" s="7" t="s">
        <v>6</v>
      </c>
      <c r="C247" s="7" t="s">
        <v>29</v>
      </c>
      <c r="D247" s="7" t="s">
        <v>31</v>
      </c>
      <c r="E247" s="7" t="s">
        <v>31</v>
      </c>
      <c r="F247" s="8">
        <v>16.0</v>
      </c>
      <c r="G247" s="9">
        <v>16.0</v>
      </c>
    </row>
    <row r="248" ht="14.25" hidden="1" customHeight="1">
      <c r="B248" s="7" t="s">
        <v>6</v>
      </c>
      <c r="C248" s="7" t="s">
        <v>29</v>
      </c>
      <c r="D248" s="7" t="s">
        <v>8</v>
      </c>
      <c r="E248" s="7" t="s">
        <v>9</v>
      </c>
      <c r="F248" s="8">
        <v>16.0</v>
      </c>
      <c r="G248" s="9">
        <v>16.0</v>
      </c>
    </row>
    <row r="249" ht="14.25" hidden="1" customHeight="1">
      <c r="B249" s="7" t="s">
        <v>6</v>
      </c>
      <c r="C249" s="7" t="s">
        <v>29</v>
      </c>
      <c r="D249" s="7" t="s">
        <v>8</v>
      </c>
      <c r="E249" s="7" t="s">
        <v>9</v>
      </c>
      <c r="F249" s="8">
        <v>16.0</v>
      </c>
      <c r="G249" s="9">
        <v>16.0</v>
      </c>
    </row>
    <row r="250" ht="14.25" hidden="1" customHeight="1">
      <c r="B250" s="7" t="s">
        <v>6</v>
      </c>
      <c r="C250" s="7" t="s">
        <v>29</v>
      </c>
      <c r="D250" s="7" t="s">
        <v>9</v>
      </c>
      <c r="E250" s="7" t="s">
        <v>32</v>
      </c>
      <c r="F250" s="8">
        <v>15.0</v>
      </c>
      <c r="G250" s="9">
        <v>15.0</v>
      </c>
    </row>
    <row r="251" ht="14.25" hidden="1" customHeight="1">
      <c r="B251" s="7" t="s">
        <v>6</v>
      </c>
      <c r="C251" s="7" t="s">
        <v>7</v>
      </c>
      <c r="D251" s="7" t="s">
        <v>33</v>
      </c>
      <c r="E251" s="7" t="s">
        <v>28</v>
      </c>
      <c r="F251" s="8">
        <v>14.0</v>
      </c>
      <c r="G251" s="9">
        <v>7.0</v>
      </c>
    </row>
    <row r="252" ht="14.25" hidden="1" customHeight="1">
      <c r="B252" s="7" t="s">
        <v>6</v>
      </c>
      <c r="C252" s="7" t="s">
        <v>30</v>
      </c>
      <c r="D252" s="7" t="s">
        <v>28</v>
      </c>
      <c r="E252" s="7" t="s">
        <v>25</v>
      </c>
      <c r="F252" s="8">
        <v>14.0</v>
      </c>
      <c r="G252" s="9">
        <v>7.0</v>
      </c>
    </row>
    <row r="253" ht="14.25" hidden="1" customHeight="1">
      <c r="B253" s="7" t="s">
        <v>6</v>
      </c>
      <c r="C253" s="7" t="s">
        <v>29</v>
      </c>
      <c r="D253" s="7" t="s">
        <v>28</v>
      </c>
      <c r="E253" s="7" t="s">
        <v>32</v>
      </c>
      <c r="F253" s="8">
        <v>14.0</v>
      </c>
      <c r="G253" s="9">
        <v>14.0</v>
      </c>
    </row>
    <row r="254" ht="14.25" hidden="1" customHeight="1">
      <c r="B254" s="7" t="s">
        <v>6</v>
      </c>
      <c r="C254" s="7" t="s">
        <v>7</v>
      </c>
      <c r="D254" s="7" t="s">
        <v>28</v>
      </c>
      <c r="E254" s="7" t="s">
        <v>32</v>
      </c>
      <c r="F254" s="8">
        <v>14.0</v>
      </c>
      <c r="G254" s="9">
        <v>7.0</v>
      </c>
    </row>
    <row r="255" ht="14.25" hidden="1" customHeight="1">
      <c r="B255" s="7" t="s">
        <v>6</v>
      </c>
      <c r="C255" s="7" t="s">
        <v>7</v>
      </c>
      <c r="D255" s="7" t="s">
        <v>11</v>
      </c>
      <c r="E255" s="7" t="s">
        <v>10</v>
      </c>
      <c r="F255" s="8">
        <v>14.0</v>
      </c>
      <c r="G255" s="9">
        <v>7.0</v>
      </c>
    </row>
    <row r="256" ht="14.25" hidden="1" customHeight="1">
      <c r="B256" s="7" t="s">
        <v>6</v>
      </c>
      <c r="C256" s="7" t="s">
        <v>7</v>
      </c>
      <c r="D256" s="7" t="s">
        <v>9</v>
      </c>
      <c r="E256" s="7" t="s">
        <v>28</v>
      </c>
      <c r="F256" s="8">
        <v>14.0</v>
      </c>
      <c r="G256" s="9">
        <v>7.0</v>
      </c>
    </row>
    <row r="257" ht="14.25" hidden="1" customHeight="1">
      <c r="B257" s="7" t="s">
        <v>6</v>
      </c>
      <c r="C257" s="7" t="s">
        <v>30</v>
      </c>
      <c r="D257" s="7" t="s">
        <v>10</v>
      </c>
      <c r="E257" s="7" t="s">
        <v>8</v>
      </c>
      <c r="F257" s="8">
        <v>14.0</v>
      </c>
      <c r="G257" s="9">
        <v>7.0</v>
      </c>
    </row>
    <row r="258" ht="14.25" hidden="1" customHeight="1">
      <c r="B258" s="7" t="s">
        <v>6</v>
      </c>
      <c r="C258" s="7" t="s">
        <v>7</v>
      </c>
      <c r="D258" s="7" t="s">
        <v>32</v>
      </c>
      <c r="E258" s="7" t="s">
        <v>8</v>
      </c>
      <c r="F258" s="8">
        <v>14.0</v>
      </c>
      <c r="G258" s="9">
        <v>7.0</v>
      </c>
    </row>
    <row r="259" ht="14.25" hidden="1" customHeight="1">
      <c r="B259" s="7" t="s">
        <v>6</v>
      </c>
      <c r="C259" s="7" t="s">
        <v>7</v>
      </c>
      <c r="D259" s="7" t="s">
        <v>31</v>
      </c>
      <c r="E259" s="7" t="s">
        <v>31</v>
      </c>
      <c r="F259" s="8">
        <v>14.0</v>
      </c>
      <c r="G259" s="9">
        <v>7.0</v>
      </c>
    </row>
    <row r="260" ht="14.25" hidden="1" customHeight="1">
      <c r="B260" s="7" t="s">
        <v>6</v>
      </c>
      <c r="C260" s="7" t="s">
        <v>7</v>
      </c>
      <c r="D260" s="7" t="s">
        <v>8</v>
      </c>
      <c r="E260" s="7" t="s">
        <v>9</v>
      </c>
      <c r="F260" s="8">
        <v>14.0</v>
      </c>
      <c r="G260" s="9">
        <v>14.0</v>
      </c>
    </row>
    <row r="261" ht="14.25" customHeight="1">
      <c r="B261" s="7" t="s">
        <v>6</v>
      </c>
      <c r="C261" s="7" t="s">
        <v>29</v>
      </c>
      <c r="D261" s="7" t="s">
        <v>8</v>
      </c>
      <c r="E261" s="7" t="s">
        <v>31</v>
      </c>
      <c r="F261" s="8">
        <v>14.0</v>
      </c>
      <c r="G261" s="9">
        <v>14.0</v>
      </c>
    </row>
    <row r="262" ht="14.25" hidden="1" customHeight="1">
      <c r="B262" s="7" t="s">
        <v>6</v>
      </c>
      <c r="C262" s="7" t="s">
        <v>29</v>
      </c>
      <c r="D262" s="7" t="s">
        <v>9</v>
      </c>
      <c r="E262" s="7" t="s">
        <v>25</v>
      </c>
      <c r="F262" s="8">
        <v>13.0</v>
      </c>
      <c r="G262" s="9">
        <v>13.0</v>
      </c>
    </row>
    <row r="263" ht="14.25" hidden="1" customHeight="1">
      <c r="B263" s="7" t="s">
        <v>6</v>
      </c>
      <c r="C263" s="7" t="s">
        <v>30</v>
      </c>
      <c r="D263" s="7" t="s">
        <v>28</v>
      </c>
      <c r="E263" s="7" t="s">
        <v>31</v>
      </c>
      <c r="F263" s="8">
        <v>12.0</v>
      </c>
      <c r="G263" s="9">
        <v>6.0</v>
      </c>
    </row>
    <row r="264" ht="14.25" hidden="1" customHeight="1">
      <c r="B264" s="7" t="s">
        <v>6</v>
      </c>
      <c r="C264" s="7" t="s">
        <v>29</v>
      </c>
      <c r="D264" s="7" t="s">
        <v>11</v>
      </c>
      <c r="E264" s="7" t="s">
        <v>10</v>
      </c>
      <c r="F264" s="8">
        <v>12.0</v>
      </c>
      <c r="G264" s="9">
        <v>12.0</v>
      </c>
    </row>
    <row r="265" ht="14.25" hidden="1" customHeight="1">
      <c r="B265" s="7" t="s">
        <v>6</v>
      </c>
      <c r="C265" s="7" t="s">
        <v>7</v>
      </c>
      <c r="D265" s="7" t="s">
        <v>34</v>
      </c>
      <c r="E265" s="7" t="s">
        <v>8</v>
      </c>
      <c r="F265" s="8">
        <v>12.0</v>
      </c>
      <c r="G265" s="9">
        <v>6.0</v>
      </c>
    </row>
    <row r="266" ht="14.25" hidden="1" customHeight="1">
      <c r="B266" s="7" t="s">
        <v>6</v>
      </c>
      <c r="C266" s="7" t="s">
        <v>7</v>
      </c>
      <c r="D266" s="7" t="s">
        <v>31</v>
      </c>
      <c r="E266" s="7" t="s">
        <v>25</v>
      </c>
      <c r="F266" s="8">
        <v>12.0</v>
      </c>
      <c r="G266" s="9">
        <v>12.0</v>
      </c>
    </row>
    <row r="267" ht="14.25" hidden="1" customHeight="1">
      <c r="B267" s="7" t="s">
        <v>6</v>
      </c>
      <c r="C267" s="7" t="s">
        <v>29</v>
      </c>
      <c r="D267" s="7" t="s">
        <v>33</v>
      </c>
      <c r="E267" s="7" t="s">
        <v>25</v>
      </c>
      <c r="F267" s="8">
        <v>11.0</v>
      </c>
      <c r="G267" s="9">
        <v>11.0</v>
      </c>
    </row>
    <row r="268" ht="14.25" hidden="1" customHeight="1">
      <c r="B268" s="7" t="s">
        <v>6</v>
      </c>
      <c r="C268" s="7" t="s">
        <v>29</v>
      </c>
      <c r="D268" s="7" t="s">
        <v>9</v>
      </c>
      <c r="E268" s="7" t="s">
        <v>10</v>
      </c>
      <c r="F268" s="8">
        <v>11.0</v>
      </c>
      <c r="G268" s="9">
        <v>11.0</v>
      </c>
    </row>
    <row r="269" ht="14.25" hidden="1" customHeight="1">
      <c r="B269" s="7" t="s">
        <v>6</v>
      </c>
      <c r="C269" s="7" t="s">
        <v>29</v>
      </c>
      <c r="D269" s="7" t="s">
        <v>31</v>
      </c>
      <c r="E269" s="7" t="s">
        <v>8</v>
      </c>
      <c r="F269" s="8">
        <v>11.0</v>
      </c>
      <c r="G269" s="9">
        <v>11.0</v>
      </c>
    </row>
    <row r="270" ht="14.25" hidden="1" customHeight="1">
      <c r="B270" s="7" t="s">
        <v>6</v>
      </c>
      <c r="C270" s="7" t="s">
        <v>29</v>
      </c>
      <c r="D270" s="7" t="s">
        <v>8</v>
      </c>
      <c r="E270" s="7" t="s">
        <v>10</v>
      </c>
      <c r="F270" s="8">
        <v>11.0</v>
      </c>
      <c r="G270" s="9">
        <v>11.0</v>
      </c>
    </row>
    <row r="271" ht="14.25" hidden="1" customHeight="1">
      <c r="B271" s="7" t="s">
        <v>6</v>
      </c>
      <c r="C271" s="7" t="s">
        <v>7</v>
      </c>
      <c r="D271" s="7" t="s">
        <v>25</v>
      </c>
      <c r="E271" s="7" t="s">
        <v>9</v>
      </c>
      <c r="F271" s="8">
        <v>10.0</v>
      </c>
      <c r="G271" s="9">
        <v>5.0</v>
      </c>
    </row>
    <row r="272" ht="14.25" hidden="1" customHeight="1">
      <c r="B272" s="7" t="s">
        <v>6</v>
      </c>
      <c r="C272" s="7" t="s">
        <v>29</v>
      </c>
      <c r="D272" s="7" t="s">
        <v>25</v>
      </c>
      <c r="E272" s="7" t="s">
        <v>31</v>
      </c>
      <c r="F272" s="8">
        <v>10.0</v>
      </c>
      <c r="G272" s="9">
        <v>10.0</v>
      </c>
    </row>
    <row r="273" ht="14.25" hidden="1" customHeight="1">
      <c r="B273" s="7" t="s">
        <v>6</v>
      </c>
      <c r="C273" s="7" t="s">
        <v>30</v>
      </c>
      <c r="D273" s="7" t="s">
        <v>25</v>
      </c>
      <c r="E273" s="7" t="s">
        <v>8</v>
      </c>
      <c r="F273" s="8">
        <v>10.0</v>
      </c>
      <c r="G273" s="9">
        <v>5.0</v>
      </c>
    </row>
    <row r="274" ht="14.25" hidden="1" customHeight="1">
      <c r="B274" s="7" t="s">
        <v>6</v>
      </c>
      <c r="C274" s="7" t="s">
        <v>29</v>
      </c>
      <c r="D274" s="7" t="s">
        <v>9</v>
      </c>
      <c r="E274" s="7" t="s">
        <v>31</v>
      </c>
      <c r="F274" s="8">
        <v>10.0</v>
      </c>
      <c r="G274" s="9">
        <v>10.0</v>
      </c>
    </row>
    <row r="275" ht="14.25" hidden="1" customHeight="1">
      <c r="B275" s="7" t="s">
        <v>6</v>
      </c>
      <c r="C275" s="7" t="s">
        <v>29</v>
      </c>
      <c r="D275" s="7" t="s">
        <v>10</v>
      </c>
      <c r="E275" s="7" t="s">
        <v>9</v>
      </c>
      <c r="F275" s="8">
        <v>10.0</v>
      </c>
      <c r="G275" s="9">
        <v>10.0</v>
      </c>
    </row>
    <row r="276" ht="14.25" hidden="1" customHeight="1">
      <c r="B276" s="7" t="s">
        <v>6</v>
      </c>
      <c r="C276" s="7" t="s">
        <v>7</v>
      </c>
      <c r="D276" s="7" t="s">
        <v>10</v>
      </c>
      <c r="E276" s="7" t="s">
        <v>9</v>
      </c>
      <c r="F276" s="8">
        <v>10.0</v>
      </c>
      <c r="G276" s="9">
        <v>5.0</v>
      </c>
    </row>
    <row r="277" ht="14.25" hidden="1" customHeight="1">
      <c r="B277" s="7" t="s">
        <v>6</v>
      </c>
      <c r="C277" s="7" t="s">
        <v>29</v>
      </c>
      <c r="D277" s="7" t="s">
        <v>32</v>
      </c>
      <c r="E277" s="7" t="s">
        <v>8</v>
      </c>
      <c r="F277" s="8">
        <v>10.0</v>
      </c>
      <c r="G277" s="9">
        <v>10.0</v>
      </c>
    </row>
    <row r="278" ht="14.25" hidden="1" customHeight="1">
      <c r="B278" s="7" t="s">
        <v>6</v>
      </c>
      <c r="C278" s="7" t="s">
        <v>30</v>
      </c>
      <c r="D278" s="7" t="s">
        <v>31</v>
      </c>
      <c r="E278" s="7" t="s">
        <v>35</v>
      </c>
      <c r="F278" s="8">
        <v>10.0</v>
      </c>
      <c r="G278" s="9">
        <v>5.0</v>
      </c>
    </row>
    <row r="279" ht="14.25" hidden="1" customHeight="1">
      <c r="B279" s="7" t="s">
        <v>6</v>
      </c>
      <c r="C279" s="7" t="s">
        <v>29</v>
      </c>
      <c r="D279" s="7" t="s">
        <v>8</v>
      </c>
      <c r="E279" s="7" t="s">
        <v>35</v>
      </c>
      <c r="F279" s="8">
        <v>10.0</v>
      </c>
      <c r="G279" s="9">
        <v>10.0</v>
      </c>
    </row>
    <row r="280" ht="14.25" hidden="1" customHeight="1">
      <c r="B280" s="7" t="s">
        <v>6</v>
      </c>
      <c r="C280" s="7" t="s">
        <v>29</v>
      </c>
      <c r="D280" s="7" t="s">
        <v>34</v>
      </c>
      <c r="E280" s="7" t="s">
        <v>28</v>
      </c>
      <c r="F280" s="8">
        <v>9.0</v>
      </c>
      <c r="G280" s="9">
        <v>9.0</v>
      </c>
    </row>
    <row r="281" ht="14.25" hidden="1" customHeight="1">
      <c r="B281" s="7" t="s">
        <v>6</v>
      </c>
      <c r="C281" s="7" t="s">
        <v>29</v>
      </c>
      <c r="D281" s="7" t="s">
        <v>9</v>
      </c>
      <c r="E281" s="7" t="s">
        <v>33</v>
      </c>
      <c r="F281" s="8">
        <v>9.0</v>
      </c>
      <c r="G281" s="9">
        <v>9.0</v>
      </c>
    </row>
    <row r="282" ht="14.25" hidden="1" customHeight="1">
      <c r="B282" s="7" t="s">
        <v>6</v>
      </c>
      <c r="C282" s="7" t="s">
        <v>29</v>
      </c>
      <c r="D282" s="7" t="s">
        <v>24</v>
      </c>
      <c r="E282" s="7" t="s">
        <v>28</v>
      </c>
      <c r="F282" s="8">
        <v>9.0</v>
      </c>
      <c r="G282" s="9">
        <v>9.0</v>
      </c>
    </row>
    <row r="283" ht="14.25" hidden="1" customHeight="1">
      <c r="B283" s="7" t="s">
        <v>6</v>
      </c>
      <c r="C283" s="7" t="s">
        <v>29</v>
      </c>
      <c r="D283" s="7" t="s">
        <v>32</v>
      </c>
      <c r="E283" s="7" t="s">
        <v>28</v>
      </c>
      <c r="F283" s="8">
        <v>9.0</v>
      </c>
      <c r="G283" s="9">
        <v>9.0</v>
      </c>
    </row>
    <row r="284" ht="14.25" hidden="1" customHeight="1">
      <c r="B284" s="7" t="s">
        <v>6</v>
      </c>
      <c r="C284" s="7" t="s">
        <v>7</v>
      </c>
      <c r="D284" s="7" t="s">
        <v>25</v>
      </c>
      <c r="E284" s="7" t="s">
        <v>28</v>
      </c>
      <c r="F284" s="8">
        <v>8.0</v>
      </c>
      <c r="G284" s="9">
        <v>4.0</v>
      </c>
    </row>
    <row r="285" ht="14.25" hidden="1" customHeight="1">
      <c r="B285" s="7" t="s">
        <v>6</v>
      </c>
      <c r="C285" s="7" t="s">
        <v>7</v>
      </c>
      <c r="D285" s="7" t="s">
        <v>25</v>
      </c>
      <c r="E285" s="7" t="s">
        <v>31</v>
      </c>
      <c r="F285" s="8">
        <v>8.0</v>
      </c>
      <c r="G285" s="9">
        <v>4.0</v>
      </c>
    </row>
    <row r="286" ht="14.25" hidden="1" customHeight="1">
      <c r="B286" s="7" t="s">
        <v>6</v>
      </c>
      <c r="C286" s="7" t="s">
        <v>29</v>
      </c>
      <c r="D286" s="7" t="s">
        <v>33</v>
      </c>
      <c r="E286" s="7" t="s">
        <v>25</v>
      </c>
      <c r="F286" s="8">
        <v>8.0</v>
      </c>
      <c r="G286" s="9">
        <v>8.0</v>
      </c>
    </row>
    <row r="287" ht="14.25" hidden="1" customHeight="1">
      <c r="B287" s="7" t="s">
        <v>6</v>
      </c>
      <c r="C287" s="7" t="s">
        <v>7</v>
      </c>
      <c r="D287" s="7" t="s">
        <v>33</v>
      </c>
      <c r="E287" s="7" t="s">
        <v>28</v>
      </c>
      <c r="F287" s="8">
        <v>8.0</v>
      </c>
      <c r="G287" s="9">
        <v>4.0</v>
      </c>
    </row>
    <row r="288" ht="14.25" hidden="1" customHeight="1">
      <c r="B288" s="7" t="s">
        <v>6</v>
      </c>
      <c r="C288" s="7" t="s">
        <v>7</v>
      </c>
      <c r="D288" s="7" t="s">
        <v>11</v>
      </c>
      <c r="E288" s="7" t="s">
        <v>25</v>
      </c>
      <c r="F288" s="8">
        <v>8.0</v>
      </c>
      <c r="G288" s="9">
        <v>4.0</v>
      </c>
    </row>
    <row r="289" ht="14.25" hidden="1" customHeight="1">
      <c r="B289" s="7" t="s">
        <v>6</v>
      </c>
      <c r="C289" s="7" t="s">
        <v>30</v>
      </c>
      <c r="D289" s="7" t="s">
        <v>11</v>
      </c>
      <c r="E289" s="7" t="s">
        <v>10</v>
      </c>
      <c r="F289" s="8">
        <v>8.0</v>
      </c>
      <c r="G289" s="9">
        <v>4.0</v>
      </c>
    </row>
    <row r="290" ht="14.25" hidden="1" customHeight="1">
      <c r="B290" s="7" t="s">
        <v>6</v>
      </c>
      <c r="C290" s="7" t="s">
        <v>7</v>
      </c>
      <c r="D290" s="7" t="s">
        <v>34</v>
      </c>
      <c r="E290" s="7" t="s">
        <v>28</v>
      </c>
      <c r="F290" s="8">
        <v>8.0</v>
      </c>
      <c r="G290" s="9">
        <v>4.0</v>
      </c>
    </row>
    <row r="291" ht="14.25" hidden="1" customHeight="1">
      <c r="B291" s="7" t="s">
        <v>6</v>
      </c>
      <c r="C291" s="7" t="s">
        <v>7</v>
      </c>
      <c r="D291" s="7" t="s">
        <v>34</v>
      </c>
      <c r="E291" s="7" t="s">
        <v>8</v>
      </c>
      <c r="F291" s="8">
        <v>8.0</v>
      </c>
      <c r="G291" s="9">
        <v>4.0</v>
      </c>
    </row>
    <row r="292" ht="14.25" hidden="1" customHeight="1">
      <c r="B292" s="7" t="s">
        <v>6</v>
      </c>
      <c r="C292" s="7" t="s">
        <v>7</v>
      </c>
      <c r="D292" s="7" t="s">
        <v>9</v>
      </c>
      <c r="E292" s="7" t="s">
        <v>25</v>
      </c>
      <c r="F292" s="8">
        <v>8.0</v>
      </c>
      <c r="G292" s="9">
        <v>8.0</v>
      </c>
    </row>
    <row r="293" ht="14.25" hidden="1" customHeight="1">
      <c r="B293" s="7" t="s">
        <v>6</v>
      </c>
      <c r="C293" s="7" t="s">
        <v>7</v>
      </c>
      <c r="D293" s="7" t="s">
        <v>9</v>
      </c>
      <c r="E293" s="7" t="s">
        <v>8</v>
      </c>
      <c r="F293" s="8">
        <v>8.0</v>
      </c>
      <c r="G293" s="9">
        <v>4.0</v>
      </c>
    </row>
    <row r="294" ht="14.25" hidden="1" customHeight="1">
      <c r="B294" s="7" t="s">
        <v>6</v>
      </c>
      <c r="C294" s="7" t="s">
        <v>29</v>
      </c>
      <c r="D294" s="7" t="s">
        <v>10</v>
      </c>
      <c r="E294" s="7" t="s">
        <v>25</v>
      </c>
      <c r="F294" s="8">
        <v>8.0</v>
      </c>
      <c r="G294" s="9">
        <v>8.0</v>
      </c>
    </row>
    <row r="295" ht="14.25" hidden="1" customHeight="1">
      <c r="B295" s="7" t="s">
        <v>6</v>
      </c>
      <c r="C295" s="7" t="s">
        <v>29</v>
      </c>
      <c r="D295" s="7" t="s">
        <v>31</v>
      </c>
      <c r="E295" s="7" t="s">
        <v>9</v>
      </c>
      <c r="F295" s="8">
        <v>8.0</v>
      </c>
      <c r="G295" s="9">
        <v>8.0</v>
      </c>
    </row>
    <row r="296" ht="14.25" hidden="1" customHeight="1">
      <c r="B296" s="7" t="s">
        <v>6</v>
      </c>
      <c r="C296" s="7" t="s">
        <v>29</v>
      </c>
      <c r="D296" s="7" t="s">
        <v>8</v>
      </c>
      <c r="E296" s="7" t="s">
        <v>25</v>
      </c>
      <c r="F296" s="8">
        <v>8.0</v>
      </c>
      <c r="G296" s="9">
        <v>8.0</v>
      </c>
    </row>
    <row r="297" ht="14.25" hidden="1" customHeight="1">
      <c r="B297" s="7" t="s">
        <v>6</v>
      </c>
      <c r="C297" s="7" t="s">
        <v>7</v>
      </c>
      <c r="D297" s="7" t="s">
        <v>8</v>
      </c>
      <c r="E297" s="7" t="s">
        <v>25</v>
      </c>
      <c r="F297" s="8">
        <v>8.0</v>
      </c>
      <c r="G297" s="9">
        <v>4.0</v>
      </c>
    </row>
    <row r="298" ht="14.25" hidden="1" customHeight="1">
      <c r="B298" s="7" t="s">
        <v>6</v>
      </c>
      <c r="C298" s="7" t="s">
        <v>29</v>
      </c>
      <c r="D298" s="7" t="s">
        <v>8</v>
      </c>
      <c r="E298" s="7" t="s">
        <v>10</v>
      </c>
      <c r="F298" s="8">
        <v>8.0</v>
      </c>
      <c r="G298" s="9">
        <v>8.0</v>
      </c>
    </row>
    <row r="299" ht="14.25" customHeight="1">
      <c r="B299" s="7" t="s">
        <v>6</v>
      </c>
      <c r="C299" s="7" t="s">
        <v>30</v>
      </c>
      <c r="D299" s="7" t="s">
        <v>8</v>
      </c>
      <c r="E299" s="7" t="s">
        <v>31</v>
      </c>
      <c r="F299" s="8">
        <v>8.0</v>
      </c>
      <c r="G299" s="9">
        <v>4.0</v>
      </c>
    </row>
    <row r="300" ht="14.25" hidden="1" customHeight="1">
      <c r="B300" s="7" t="s">
        <v>6</v>
      </c>
      <c r="C300" s="7" t="s">
        <v>29</v>
      </c>
      <c r="D300" s="7" t="s">
        <v>28</v>
      </c>
      <c r="E300" s="7" t="s">
        <v>8</v>
      </c>
      <c r="F300" s="8">
        <v>7.0</v>
      </c>
      <c r="G300" s="9">
        <v>7.0</v>
      </c>
    </row>
    <row r="301" ht="14.25" hidden="1" customHeight="1">
      <c r="B301" s="7" t="s">
        <v>6</v>
      </c>
      <c r="C301" s="7" t="s">
        <v>29</v>
      </c>
      <c r="D301" s="7" t="s">
        <v>34</v>
      </c>
      <c r="E301" s="7" t="s">
        <v>28</v>
      </c>
      <c r="F301" s="8">
        <v>7.0</v>
      </c>
      <c r="G301" s="9">
        <v>7.0</v>
      </c>
    </row>
    <row r="302" ht="14.25" hidden="1" customHeight="1">
      <c r="B302" s="7" t="s">
        <v>6</v>
      </c>
      <c r="C302" s="7" t="s">
        <v>7</v>
      </c>
      <c r="D302" s="7" t="s">
        <v>25</v>
      </c>
      <c r="E302" s="7" t="s">
        <v>33</v>
      </c>
      <c r="F302" s="8">
        <v>6.0</v>
      </c>
      <c r="G302" s="9">
        <v>3.0</v>
      </c>
    </row>
    <row r="303" ht="14.25" hidden="1" customHeight="1">
      <c r="B303" s="7" t="s">
        <v>6</v>
      </c>
      <c r="C303" s="7" t="s">
        <v>7</v>
      </c>
      <c r="D303" s="7" t="s">
        <v>25</v>
      </c>
      <c r="E303" s="7" t="s">
        <v>9</v>
      </c>
      <c r="F303" s="8">
        <v>6.0</v>
      </c>
      <c r="G303" s="9">
        <v>6.0</v>
      </c>
    </row>
    <row r="304" ht="14.25" hidden="1" customHeight="1">
      <c r="B304" s="7" t="s">
        <v>6</v>
      </c>
      <c r="C304" s="7" t="s">
        <v>7</v>
      </c>
      <c r="D304" s="7" t="s">
        <v>25</v>
      </c>
      <c r="E304" s="7" t="s">
        <v>9</v>
      </c>
      <c r="F304" s="8">
        <v>6.0</v>
      </c>
      <c r="G304" s="9">
        <v>3.0</v>
      </c>
    </row>
    <row r="305" ht="14.25" hidden="1" customHeight="1">
      <c r="B305" s="7" t="s">
        <v>6</v>
      </c>
      <c r="C305" s="7" t="s">
        <v>7</v>
      </c>
      <c r="D305" s="7" t="s">
        <v>33</v>
      </c>
      <c r="E305" s="7" t="s">
        <v>35</v>
      </c>
      <c r="F305" s="8">
        <v>6.0</v>
      </c>
      <c r="G305" s="9">
        <v>3.0</v>
      </c>
    </row>
    <row r="306" ht="14.25" hidden="1" customHeight="1">
      <c r="B306" s="7" t="s">
        <v>6</v>
      </c>
      <c r="C306" s="7" t="s">
        <v>7</v>
      </c>
      <c r="D306" s="7" t="s">
        <v>33</v>
      </c>
      <c r="E306" s="7" t="s">
        <v>8</v>
      </c>
      <c r="F306" s="8">
        <v>6.0</v>
      </c>
      <c r="G306" s="9">
        <v>3.0</v>
      </c>
    </row>
    <row r="307" ht="14.25" hidden="1" customHeight="1">
      <c r="B307" s="7" t="s">
        <v>6</v>
      </c>
      <c r="C307" s="7" t="s">
        <v>30</v>
      </c>
      <c r="D307" s="7" t="s">
        <v>28</v>
      </c>
      <c r="E307" s="7" t="s">
        <v>9</v>
      </c>
      <c r="F307" s="8">
        <v>6.0</v>
      </c>
      <c r="G307" s="9">
        <v>3.0</v>
      </c>
    </row>
    <row r="308" ht="14.25" hidden="1" customHeight="1">
      <c r="B308" s="7" t="s">
        <v>6</v>
      </c>
      <c r="C308" s="7" t="s">
        <v>30</v>
      </c>
      <c r="D308" s="7" t="s">
        <v>28</v>
      </c>
      <c r="E308" s="7" t="s">
        <v>10</v>
      </c>
      <c r="F308" s="8">
        <v>6.0</v>
      </c>
      <c r="G308" s="9">
        <v>3.0</v>
      </c>
    </row>
    <row r="309" ht="14.25" hidden="1" customHeight="1">
      <c r="B309" s="7" t="s">
        <v>6</v>
      </c>
      <c r="C309" s="7" t="s">
        <v>30</v>
      </c>
      <c r="D309" s="7" t="s">
        <v>11</v>
      </c>
      <c r="E309" s="7" t="s">
        <v>8</v>
      </c>
      <c r="F309" s="8">
        <v>6.0</v>
      </c>
      <c r="G309" s="9">
        <v>3.0</v>
      </c>
    </row>
    <row r="310" ht="14.25" hidden="1" customHeight="1">
      <c r="B310" s="7" t="s">
        <v>6</v>
      </c>
      <c r="C310" s="7" t="s">
        <v>7</v>
      </c>
      <c r="D310" s="7" t="s">
        <v>35</v>
      </c>
      <c r="E310" s="7" t="s">
        <v>32</v>
      </c>
      <c r="F310" s="8">
        <v>6.0</v>
      </c>
      <c r="G310" s="9">
        <v>3.0</v>
      </c>
    </row>
    <row r="311" ht="14.25" hidden="1" customHeight="1">
      <c r="B311" s="7" t="s">
        <v>6</v>
      </c>
      <c r="C311" s="7" t="s">
        <v>30</v>
      </c>
      <c r="D311" s="7" t="s">
        <v>9</v>
      </c>
      <c r="E311" s="7" t="s">
        <v>10</v>
      </c>
      <c r="F311" s="8">
        <v>6.0</v>
      </c>
      <c r="G311" s="9">
        <v>3.0</v>
      </c>
    </row>
    <row r="312" ht="14.25" hidden="1" customHeight="1">
      <c r="B312" s="7" t="s">
        <v>6</v>
      </c>
      <c r="C312" s="7" t="s">
        <v>7</v>
      </c>
      <c r="D312" s="7" t="s">
        <v>9</v>
      </c>
      <c r="E312" s="7" t="s">
        <v>31</v>
      </c>
      <c r="F312" s="8">
        <v>6.0</v>
      </c>
      <c r="G312" s="9">
        <v>3.0</v>
      </c>
    </row>
    <row r="313" ht="14.25" hidden="1" customHeight="1">
      <c r="B313" s="7" t="s">
        <v>6</v>
      </c>
      <c r="C313" s="7" t="s">
        <v>30</v>
      </c>
      <c r="D313" s="7" t="s">
        <v>9</v>
      </c>
      <c r="E313" s="7" t="s">
        <v>8</v>
      </c>
      <c r="F313" s="8">
        <v>6.0</v>
      </c>
      <c r="G313" s="9">
        <v>3.0</v>
      </c>
    </row>
    <row r="314" ht="14.25" hidden="1" customHeight="1">
      <c r="B314" s="7" t="s">
        <v>6</v>
      </c>
      <c r="C314" s="7" t="s">
        <v>7</v>
      </c>
      <c r="D314" s="7" t="s">
        <v>24</v>
      </c>
      <c r="E314" s="7" t="s">
        <v>28</v>
      </c>
      <c r="F314" s="8">
        <v>6.0</v>
      </c>
      <c r="G314" s="9">
        <v>3.0</v>
      </c>
    </row>
    <row r="315" ht="14.25" hidden="1" customHeight="1">
      <c r="B315" s="7" t="s">
        <v>6</v>
      </c>
      <c r="C315" s="7" t="s">
        <v>30</v>
      </c>
      <c r="D315" s="7" t="s">
        <v>24</v>
      </c>
      <c r="E315" s="7" t="s">
        <v>28</v>
      </c>
      <c r="F315" s="8">
        <v>6.0</v>
      </c>
      <c r="G315" s="9">
        <v>3.0</v>
      </c>
    </row>
    <row r="316" ht="14.25" hidden="1" customHeight="1">
      <c r="B316" s="7" t="s">
        <v>6</v>
      </c>
      <c r="C316" s="7" t="s">
        <v>30</v>
      </c>
      <c r="D316" s="7" t="s">
        <v>24</v>
      </c>
      <c r="E316" s="7" t="s">
        <v>8</v>
      </c>
      <c r="F316" s="8">
        <v>6.0</v>
      </c>
      <c r="G316" s="9">
        <v>3.0</v>
      </c>
    </row>
    <row r="317" ht="14.25" hidden="1" customHeight="1">
      <c r="B317" s="7" t="s">
        <v>6</v>
      </c>
      <c r="C317" s="7" t="s">
        <v>7</v>
      </c>
      <c r="D317" s="7" t="s">
        <v>10</v>
      </c>
      <c r="E317" s="7" t="s">
        <v>33</v>
      </c>
      <c r="F317" s="8">
        <v>6.0</v>
      </c>
      <c r="G317" s="9">
        <v>3.0</v>
      </c>
    </row>
    <row r="318" ht="14.25" hidden="1" customHeight="1">
      <c r="B318" s="7" t="s">
        <v>6</v>
      </c>
      <c r="C318" s="7" t="s">
        <v>30</v>
      </c>
      <c r="D318" s="7" t="s">
        <v>10</v>
      </c>
      <c r="E318" s="7" t="s">
        <v>28</v>
      </c>
      <c r="F318" s="8">
        <v>6.0</v>
      </c>
      <c r="G318" s="9">
        <v>3.0</v>
      </c>
    </row>
    <row r="319" ht="14.25" hidden="1" customHeight="1">
      <c r="B319" s="7" t="s">
        <v>6</v>
      </c>
      <c r="C319" s="7" t="s">
        <v>7</v>
      </c>
      <c r="D319" s="7" t="s">
        <v>10</v>
      </c>
      <c r="E319" s="7" t="s">
        <v>28</v>
      </c>
      <c r="F319" s="8">
        <v>6.0</v>
      </c>
      <c r="G319" s="9">
        <v>3.0</v>
      </c>
    </row>
    <row r="320" ht="14.25" hidden="1" customHeight="1">
      <c r="B320" s="7" t="s">
        <v>6</v>
      </c>
      <c r="C320" s="7" t="s">
        <v>30</v>
      </c>
      <c r="D320" s="7" t="s">
        <v>32</v>
      </c>
      <c r="E320" s="7" t="s">
        <v>10</v>
      </c>
      <c r="F320" s="8">
        <v>6.0</v>
      </c>
      <c r="G320" s="9">
        <v>3.0</v>
      </c>
    </row>
    <row r="321" ht="14.25" hidden="1" customHeight="1">
      <c r="B321" s="7" t="s">
        <v>6</v>
      </c>
      <c r="C321" s="7" t="s">
        <v>29</v>
      </c>
      <c r="D321" s="7" t="s">
        <v>31</v>
      </c>
      <c r="E321" s="7" t="s">
        <v>33</v>
      </c>
      <c r="F321" s="8">
        <v>6.0</v>
      </c>
      <c r="G321" s="9">
        <v>6.0</v>
      </c>
    </row>
    <row r="322" ht="14.25" hidden="1" customHeight="1">
      <c r="B322" s="7" t="s">
        <v>6</v>
      </c>
      <c r="C322" s="7" t="s">
        <v>30</v>
      </c>
      <c r="D322" s="7" t="s">
        <v>31</v>
      </c>
      <c r="E322" s="7" t="s">
        <v>33</v>
      </c>
      <c r="F322" s="8">
        <v>6.0</v>
      </c>
      <c r="G322" s="9">
        <v>3.0</v>
      </c>
    </row>
    <row r="323" ht="14.25" hidden="1" customHeight="1">
      <c r="B323" s="7" t="s">
        <v>6</v>
      </c>
      <c r="C323" s="7" t="s">
        <v>7</v>
      </c>
      <c r="D323" s="7" t="s">
        <v>31</v>
      </c>
      <c r="E323" s="7" t="s">
        <v>10</v>
      </c>
      <c r="F323" s="8">
        <v>6.0</v>
      </c>
      <c r="G323" s="9">
        <v>3.0</v>
      </c>
    </row>
    <row r="324" ht="14.25" hidden="1" customHeight="1">
      <c r="B324" s="7" t="s">
        <v>6</v>
      </c>
      <c r="C324" s="7" t="s">
        <v>7</v>
      </c>
      <c r="D324" s="7" t="s">
        <v>31</v>
      </c>
      <c r="E324" s="7" t="s">
        <v>10</v>
      </c>
      <c r="F324" s="8">
        <v>6.0</v>
      </c>
      <c r="G324" s="9">
        <v>3.0</v>
      </c>
    </row>
    <row r="325" ht="14.25" hidden="1" customHeight="1">
      <c r="B325" s="7" t="s">
        <v>6</v>
      </c>
      <c r="C325" s="7" t="s">
        <v>7</v>
      </c>
      <c r="D325" s="7" t="s">
        <v>31</v>
      </c>
      <c r="E325" s="7" t="s">
        <v>10</v>
      </c>
      <c r="F325" s="8">
        <v>6.0</v>
      </c>
      <c r="G325" s="9">
        <v>3.0</v>
      </c>
    </row>
    <row r="326" ht="14.25" hidden="1" customHeight="1">
      <c r="B326" s="7" t="s">
        <v>6</v>
      </c>
      <c r="C326" s="7" t="s">
        <v>29</v>
      </c>
      <c r="D326" s="7" t="s">
        <v>8</v>
      </c>
      <c r="E326" s="7" t="s">
        <v>9</v>
      </c>
      <c r="F326" s="8">
        <v>6.0</v>
      </c>
      <c r="G326" s="9">
        <v>6.0</v>
      </c>
    </row>
    <row r="327" ht="14.25" hidden="1" customHeight="1">
      <c r="B327" s="7" t="s">
        <v>6</v>
      </c>
      <c r="C327" s="7" t="s">
        <v>7</v>
      </c>
      <c r="D327" s="7" t="s">
        <v>8</v>
      </c>
      <c r="E327" s="7" t="s">
        <v>9</v>
      </c>
      <c r="F327" s="8">
        <v>6.0</v>
      </c>
      <c r="G327" s="9">
        <v>3.0</v>
      </c>
    </row>
    <row r="328" ht="14.25" hidden="1" customHeight="1">
      <c r="B328" s="7" t="s">
        <v>6</v>
      </c>
      <c r="C328" s="7" t="s">
        <v>7</v>
      </c>
      <c r="D328" s="7" t="s">
        <v>8</v>
      </c>
      <c r="E328" s="7" t="s">
        <v>10</v>
      </c>
      <c r="F328" s="8">
        <v>6.0</v>
      </c>
      <c r="G328" s="9">
        <v>3.0</v>
      </c>
    </row>
    <row r="329" ht="14.25" hidden="1" customHeight="1">
      <c r="B329" s="7" t="s">
        <v>6</v>
      </c>
      <c r="C329" s="7" t="s">
        <v>7</v>
      </c>
      <c r="D329" s="7" t="s">
        <v>8</v>
      </c>
      <c r="E329" s="7" t="s">
        <v>10</v>
      </c>
      <c r="F329" s="8">
        <v>6.0</v>
      </c>
      <c r="G329" s="9">
        <v>3.0</v>
      </c>
    </row>
    <row r="330" ht="14.25" hidden="1" customHeight="1">
      <c r="B330" s="7" t="s">
        <v>6</v>
      </c>
      <c r="C330" s="7" t="s">
        <v>29</v>
      </c>
      <c r="D330" s="7" t="s">
        <v>33</v>
      </c>
      <c r="E330" s="7" t="s">
        <v>8</v>
      </c>
      <c r="F330" s="8">
        <v>5.0</v>
      </c>
      <c r="G330" s="9">
        <v>5.0</v>
      </c>
    </row>
    <row r="331" ht="14.25" hidden="1" customHeight="1">
      <c r="B331" s="7" t="s">
        <v>6</v>
      </c>
      <c r="C331" s="7" t="s">
        <v>29</v>
      </c>
      <c r="D331" s="7" t="s">
        <v>28</v>
      </c>
      <c r="E331" s="7" t="s">
        <v>8</v>
      </c>
      <c r="F331" s="8">
        <v>5.0</v>
      </c>
      <c r="G331" s="9">
        <v>5.0</v>
      </c>
    </row>
    <row r="332" ht="14.25" hidden="1" customHeight="1">
      <c r="B332" s="7" t="s">
        <v>6</v>
      </c>
      <c r="C332" s="7" t="s">
        <v>29</v>
      </c>
      <c r="D332" s="7" t="s">
        <v>11</v>
      </c>
      <c r="E332" s="7" t="s">
        <v>8</v>
      </c>
      <c r="F332" s="8">
        <v>5.0</v>
      </c>
      <c r="G332" s="9">
        <v>5.0</v>
      </c>
    </row>
    <row r="333" ht="14.25" hidden="1" customHeight="1">
      <c r="B333" s="7" t="s">
        <v>6</v>
      </c>
      <c r="C333" s="7" t="s">
        <v>29</v>
      </c>
      <c r="D333" s="7" t="s">
        <v>9</v>
      </c>
      <c r="E333" s="7" t="s">
        <v>10</v>
      </c>
      <c r="F333" s="8">
        <v>5.0</v>
      </c>
      <c r="G333" s="9">
        <v>5.0</v>
      </c>
    </row>
    <row r="334" ht="14.25" hidden="1" customHeight="1">
      <c r="B334" s="7" t="s">
        <v>6</v>
      </c>
      <c r="C334" s="7" t="s">
        <v>29</v>
      </c>
      <c r="D334" s="7" t="s">
        <v>31</v>
      </c>
      <c r="E334" s="7" t="s">
        <v>28</v>
      </c>
      <c r="F334" s="8">
        <v>5.0</v>
      </c>
      <c r="G334" s="9">
        <v>5.0</v>
      </c>
    </row>
    <row r="335" ht="14.25" hidden="1" customHeight="1">
      <c r="B335" s="7" t="s">
        <v>6</v>
      </c>
      <c r="C335" s="7" t="s">
        <v>29</v>
      </c>
      <c r="D335" s="7" t="s">
        <v>31</v>
      </c>
      <c r="E335" s="7" t="s">
        <v>10</v>
      </c>
      <c r="F335" s="8">
        <v>5.0</v>
      </c>
      <c r="G335" s="9">
        <v>5.0</v>
      </c>
    </row>
    <row r="336" ht="14.25" hidden="1" customHeight="1">
      <c r="B336" s="7" t="s">
        <v>6</v>
      </c>
      <c r="C336" s="7" t="s">
        <v>29</v>
      </c>
      <c r="D336" s="7" t="s">
        <v>8</v>
      </c>
      <c r="E336" s="7" t="s">
        <v>28</v>
      </c>
      <c r="F336" s="8">
        <v>5.0</v>
      </c>
      <c r="G336" s="9">
        <v>5.0</v>
      </c>
    </row>
    <row r="337" ht="14.25" hidden="1" customHeight="1">
      <c r="B337" s="7" t="s">
        <v>6</v>
      </c>
      <c r="C337" s="7" t="s">
        <v>7</v>
      </c>
      <c r="D337" s="7" t="s">
        <v>25</v>
      </c>
      <c r="E337" s="7" t="s">
        <v>35</v>
      </c>
      <c r="F337" s="8">
        <v>4.0</v>
      </c>
      <c r="G337" s="9">
        <v>2.0</v>
      </c>
    </row>
    <row r="338" ht="14.25" hidden="1" customHeight="1">
      <c r="B338" s="7" t="s">
        <v>6</v>
      </c>
      <c r="C338" s="7" t="s">
        <v>29</v>
      </c>
      <c r="D338" s="7" t="s">
        <v>25</v>
      </c>
      <c r="E338" s="7" t="s">
        <v>9</v>
      </c>
      <c r="F338" s="8">
        <v>4.0</v>
      </c>
      <c r="G338" s="9">
        <v>4.0</v>
      </c>
    </row>
    <row r="339" ht="14.25" hidden="1" customHeight="1">
      <c r="B339" s="7" t="s">
        <v>6</v>
      </c>
      <c r="C339" s="7" t="s">
        <v>29</v>
      </c>
      <c r="D339" s="7" t="s">
        <v>25</v>
      </c>
      <c r="E339" s="7" t="s">
        <v>8</v>
      </c>
      <c r="F339" s="8">
        <v>4.0</v>
      </c>
      <c r="G339" s="9">
        <v>4.0</v>
      </c>
    </row>
    <row r="340" ht="14.25" hidden="1" customHeight="1">
      <c r="B340" s="7" t="s">
        <v>6</v>
      </c>
      <c r="C340" s="7" t="s">
        <v>30</v>
      </c>
      <c r="D340" s="7" t="s">
        <v>33</v>
      </c>
      <c r="E340" s="7" t="s">
        <v>25</v>
      </c>
      <c r="F340" s="8">
        <v>4.0</v>
      </c>
      <c r="G340" s="9">
        <v>2.0</v>
      </c>
    </row>
    <row r="341" ht="14.25" hidden="1" customHeight="1">
      <c r="B341" s="7" t="s">
        <v>6</v>
      </c>
      <c r="C341" s="7" t="s">
        <v>7</v>
      </c>
      <c r="D341" s="7" t="s">
        <v>33</v>
      </c>
      <c r="E341" s="7" t="s">
        <v>9</v>
      </c>
      <c r="F341" s="8">
        <v>4.0</v>
      </c>
      <c r="G341" s="9">
        <v>2.0</v>
      </c>
    </row>
    <row r="342" ht="14.25" hidden="1" customHeight="1">
      <c r="B342" s="7" t="s">
        <v>6</v>
      </c>
      <c r="C342" s="7" t="s">
        <v>29</v>
      </c>
      <c r="D342" s="7" t="s">
        <v>33</v>
      </c>
      <c r="E342" s="7" t="s">
        <v>32</v>
      </c>
      <c r="F342" s="8">
        <v>4.0</v>
      </c>
      <c r="G342" s="9">
        <v>4.0</v>
      </c>
    </row>
    <row r="343" ht="14.25" hidden="1" customHeight="1">
      <c r="B343" s="7" t="s">
        <v>6</v>
      </c>
      <c r="C343" s="7" t="s">
        <v>7</v>
      </c>
      <c r="D343" s="7" t="s">
        <v>33</v>
      </c>
      <c r="E343" s="7" t="s">
        <v>31</v>
      </c>
      <c r="F343" s="8">
        <v>4.0</v>
      </c>
      <c r="G343" s="9">
        <v>2.0</v>
      </c>
    </row>
    <row r="344" ht="14.25" hidden="1" customHeight="1">
      <c r="B344" s="7" t="s">
        <v>6</v>
      </c>
      <c r="C344" s="7" t="s">
        <v>29</v>
      </c>
      <c r="D344" s="7" t="s">
        <v>28</v>
      </c>
      <c r="E344" s="7" t="s">
        <v>31</v>
      </c>
      <c r="F344" s="8">
        <v>4.0</v>
      </c>
      <c r="G344" s="9">
        <v>4.0</v>
      </c>
    </row>
    <row r="345" ht="14.25" hidden="1" customHeight="1">
      <c r="B345" s="7" t="s">
        <v>6</v>
      </c>
      <c r="C345" s="7" t="s">
        <v>7</v>
      </c>
      <c r="D345" s="7" t="s">
        <v>28</v>
      </c>
      <c r="E345" s="7" t="s">
        <v>8</v>
      </c>
      <c r="F345" s="8">
        <v>4.0</v>
      </c>
      <c r="G345" s="9">
        <v>2.0</v>
      </c>
    </row>
    <row r="346" ht="14.25" hidden="1" customHeight="1">
      <c r="B346" s="7" t="s">
        <v>6</v>
      </c>
      <c r="C346" s="7" t="s">
        <v>7</v>
      </c>
      <c r="D346" s="7" t="s">
        <v>9</v>
      </c>
      <c r="E346" s="7" t="s">
        <v>33</v>
      </c>
      <c r="F346" s="8">
        <v>4.0</v>
      </c>
      <c r="G346" s="9">
        <v>2.0</v>
      </c>
    </row>
    <row r="347" ht="14.25" hidden="1" customHeight="1">
      <c r="B347" s="7" t="s">
        <v>6</v>
      </c>
      <c r="C347" s="7" t="s">
        <v>29</v>
      </c>
      <c r="D347" s="7" t="s">
        <v>9</v>
      </c>
      <c r="E347" s="7" t="s">
        <v>10</v>
      </c>
      <c r="F347" s="8">
        <v>4.0</v>
      </c>
      <c r="G347" s="9">
        <v>4.0</v>
      </c>
    </row>
    <row r="348" ht="14.25" hidden="1" customHeight="1">
      <c r="B348" s="7" t="s">
        <v>6</v>
      </c>
      <c r="C348" s="7" t="s">
        <v>7</v>
      </c>
      <c r="D348" s="7" t="s">
        <v>9</v>
      </c>
      <c r="E348" s="7" t="s">
        <v>31</v>
      </c>
      <c r="F348" s="8">
        <v>4.0</v>
      </c>
      <c r="G348" s="9">
        <v>2.0</v>
      </c>
    </row>
    <row r="349" ht="14.25" hidden="1" customHeight="1">
      <c r="B349" s="7" t="s">
        <v>6</v>
      </c>
      <c r="C349" s="7" t="s">
        <v>7</v>
      </c>
      <c r="D349" s="7" t="s">
        <v>10</v>
      </c>
      <c r="E349" s="7" t="s">
        <v>25</v>
      </c>
      <c r="F349" s="8">
        <v>4.0</v>
      </c>
      <c r="G349" s="9">
        <v>4.0</v>
      </c>
    </row>
    <row r="350" ht="14.25" hidden="1" customHeight="1">
      <c r="B350" s="7" t="s">
        <v>6</v>
      </c>
      <c r="C350" s="7" t="s">
        <v>29</v>
      </c>
      <c r="D350" s="7" t="s">
        <v>32</v>
      </c>
      <c r="E350" s="7" t="s">
        <v>25</v>
      </c>
      <c r="F350" s="8">
        <v>4.0</v>
      </c>
      <c r="G350" s="9">
        <v>4.0</v>
      </c>
    </row>
    <row r="351" ht="14.25" hidden="1" customHeight="1">
      <c r="B351" s="7" t="s">
        <v>6</v>
      </c>
      <c r="C351" s="7" t="s">
        <v>30</v>
      </c>
      <c r="D351" s="7" t="s">
        <v>32</v>
      </c>
      <c r="E351" s="7" t="s">
        <v>33</v>
      </c>
      <c r="F351" s="8">
        <v>4.0</v>
      </c>
      <c r="G351" s="9">
        <v>2.0</v>
      </c>
    </row>
    <row r="352" ht="14.25" hidden="1" customHeight="1">
      <c r="B352" s="7" t="s">
        <v>6</v>
      </c>
      <c r="C352" s="7" t="s">
        <v>7</v>
      </c>
      <c r="D352" s="7" t="s">
        <v>32</v>
      </c>
      <c r="E352" s="7" t="s">
        <v>28</v>
      </c>
      <c r="F352" s="8">
        <v>4.0</v>
      </c>
      <c r="G352" s="9">
        <v>2.0</v>
      </c>
    </row>
    <row r="353" ht="14.25" hidden="1" customHeight="1">
      <c r="B353" s="7" t="s">
        <v>6</v>
      </c>
      <c r="C353" s="7" t="s">
        <v>7</v>
      </c>
      <c r="D353" s="7" t="s">
        <v>32</v>
      </c>
      <c r="E353" s="7" t="s">
        <v>9</v>
      </c>
      <c r="F353" s="8">
        <v>4.0</v>
      </c>
      <c r="G353" s="9">
        <v>2.0</v>
      </c>
    </row>
    <row r="354" ht="14.25" hidden="1" customHeight="1">
      <c r="B354" s="7" t="s">
        <v>6</v>
      </c>
      <c r="C354" s="7" t="s">
        <v>7</v>
      </c>
      <c r="D354" s="7" t="s">
        <v>32</v>
      </c>
      <c r="E354" s="7" t="s">
        <v>9</v>
      </c>
      <c r="F354" s="8">
        <v>4.0</v>
      </c>
      <c r="G354" s="9">
        <v>2.0</v>
      </c>
    </row>
    <row r="355" ht="14.25" hidden="1" customHeight="1">
      <c r="B355" s="7" t="s">
        <v>6</v>
      </c>
      <c r="C355" s="7" t="s">
        <v>29</v>
      </c>
      <c r="D355" s="7" t="s">
        <v>31</v>
      </c>
      <c r="E355" s="7" t="s">
        <v>10</v>
      </c>
      <c r="F355" s="8">
        <v>4.0</v>
      </c>
      <c r="G355" s="9">
        <v>4.0</v>
      </c>
    </row>
    <row r="356" ht="14.25" hidden="1" customHeight="1">
      <c r="B356" s="7" t="s">
        <v>6</v>
      </c>
      <c r="C356" s="7" t="s">
        <v>7</v>
      </c>
      <c r="D356" s="7" t="s">
        <v>8</v>
      </c>
      <c r="E356" s="7" t="s">
        <v>33</v>
      </c>
      <c r="F356" s="8">
        <v>4.0</v>
      </c>
      <c r="G356" s="9">
        <v>2.0</v>
      </c>
    </row>
    <row r="357" ht="14.25" hidden="1" customHeight="1">
      <c r="B357" s="7" t="s">
        <v>6</v>
      </c>
      <c r="C357" s="7" t="s">
        <v>7</v>
      </c>
      <c r="D357" s="7" t="s">
        <v>8</v>
      </c>
      <c r="E357" s="7" t="s">
        <v>9</v>
      </c>
      <c r="F357" s="8">
        <v>4.0</v>
      </c>
      <c r="G357" s="9">
        <v>2.0</v>
      </c>
    </row>
    <row r="358" ht="14.25" hidden="1" customHeight="1">
      <c r="B358" s="7" t="s">
        <v>6</v>
      </c>
      <c r="C358" s="7" t="s">
        <v>29</v>
      </c>
      <c r="D358" s="7" t="s">
        <v>28</v>
      </c>
      <c r="E358" s="7" t="s">
        <v>25</v>
      </c>
      <c r="F358" s="8">
        <v>3.0</v>
      </c>
      <c r="G358" s="9">
        <v>3.0</v>
      </c>
    </row>
    <row r="359" ht="14.25" hidden="1" customHeight="1">
      <c r="B359" s="7" t="s">
        <v>6</v>
      </c>
      <c r="C359" s="7" t="s">
        <v>29</v>
      </c>
      <c r="D359" s="7" t="s">
        <v>35</v>
      </c>
      <c r="E359" s="7" t="s">
        <v>32</v>
      </c>
      <c r="F359" s="8">
        <v>3.0</v>
      </c>
      <c r="G359" s="9">
        <v>3.0</v>
      </c>
    </row>
    <row r="360" ht="14.25" hidden="1" customHeight="1">
      <c r="B360" s="7" t="s">
        <v>6</v>
      </c>
      <c r="C360" s="7" t="s">
        <v>29</v>
      </c>
      <c r="D360" s="7" t="s">
        <v>9</v>
      </c>
      <c r="E360" s="7" t="s">
        <v>25</v>
      </c>
      <c r="F360" s="8">
        <v>3.0</v>
      </c>
      <c r="G360" s="9">
        <v>3.0</v>
      </c>
    </row>
    <row r="361" ht="14.25" hidden="1" customHeight="1">
      <c r="B361" s="7" t="s">
        <v>6</v>
      </c>
      <c r="C361" s="7" t="s">
        <v>29</v>
      </c>
      <c r="D361" s="7" t="s">
        <v>9</v>
      </c>
      <c r="E361" s="7" t="s">
        <v>33</v>
      </c>
      <c r="F361" s="8">
        <v>3.0</v>
      </c>
      <c r="G361" s="9">
        <v>3.0</v>
      </c>
    </row>
    <row r="362" ht="14.25" hidden="1" customHeight="1">
      <c r="B362" s="7" t="s">
        <v>6</v>
      </c>
      <c r="C362" s="7" t="s">
        <v>29</v>
      </c>
      <c r="D362" s="7" t="s">
        <v>10</v>
      </c>
      <c r="E362" s="7" t="s">
        <v>8</v>
      </c>
      <c r="F362" s="8">
        <v>3.0</v>
      </c>
      <c r="G362" s="9">
        <v>3.0</v>
      </c>
    </row>
    <row r="363" ht="14.25" hidden="1" customHeight="1">
      <c r="B363" s="7" t="s">
        <v>6</v>
      </c>
      <c r="C363" s="7" t="s">
        <v>29</v>
      </c>
      <c r="D363" s="7" t="s">
        <v>32</v>
      </c>
      <c r="E363" s="7" t="s">
        <v>28</v>
      </c>
      <c r="F363" s="8">
        <v>3.0</v>
      </c>
      <c r="G363" s="9">
        <v>3.0</v>
      </c>
    </row>
    <row r="364" ht="14.25" hidden="1" customHeight="1">
      <c r="B364" s="7" t="s">
        <v>6</v>
      </c>
      <c r="C364" s="7" t="s">
        <v>29</v>
      </c>
      <c r="D364" s="7" t="s">
        <v>31</v>
      </c>
      <c r="E364" s="7" t="s">
        <v>28</v>
      </c>
      <c r="F364" s="8">
        <v>3.0</v>
      </c>
      <c r="G364" s="9">
        <v>3.0</v>
      </c>
    </row>
    <row r="365" ht="14.25" hidden="1" customHeight="1">
      <c r="B365" s="7" t="s">
        <v>6</v>
      </c>
      <c r="C365" s="7" t="s">
        <v>29</v>
      </c>
      <c r="D365" s="7" t="s">
        <v>31</v>
      </c>
      <c r="E365" s="7" t="s">
        <v>9</v>
      </c>
      <c r="F365" s="8">
        <v>3.0</v>
      </c>
      <c r="G365" s="9">
        <v>3.0</v>
      </c>
    </row>
    <row r="366" ht="14.25" hidden="1" customHeight="1">
      <c r="B366" s="7" t="s">
        <v>6</v>
      </c>
      <c r="C366" s="7" t="s">
        <v>29</v>
      </c>
      <c r="D366" s="7" t="s">
        <v>25</v>
      </c>
      <c r="E366" s="7" t="s">
        <v>28</v>
      </c>
      <c r="F366" s="8">
        <v>2.0</v>
      </c>
      <c r="G366" s="9">
        <v>2.0</v>
      </c>
    </row>
    <row r="367" ht="14.25" hidden="1" customHeight="1">
      <c r="B367" s="7" t="s">
        <v>6</v>
      </c>
      <c r="C367" s="7" t="s">
        <v>30</v>
      </c>
      <c r="D367" s="7" t="s">
        <v>25</v>
      </c>
      <c r="E367" s="7" t="s">
        <v>28</v>
      </c>
      <c r="F367" s="8">
        <v>2.0</v>
      </c>
      <c r="G367" s="9">
        <v>1.0</v>
      </c>
    </row>
    <row r="368" ht="14.25" hidden="1" customHeight="1">
      <c r="B368" s="7" t="s">
        <v>6</v>
      </c>
      <c r="C368" s="7" t="s">
        <v>7</v>
      </c>
      <c r="D368" s="7" t="s">
        <v>25</v>
      </c>
      <c r="E368" s="7" t="s">
        <v>35</v>
      </c>
      <c r="F368" s="8">
        <v>2.0</v>
      </c>
      <c r="G368" s="9">
        <v>1.0</v>
      </c>
    </row>
    <row r="369" ht="14.25" hidden="1" customHeight="1">
      <c r="B369" s="7" t="s">
        <v>6</v>
      </c>
      <c r="C369" s="7" t="s">
        <v>29</v>
      </c>
      <c r="D369" s="7" t="s">
        <v>25</v>
      </c>
      <c r="E369" s="7" t="s">
        <v>9</v>
      </c>
      <c r="F369" s="8">
        <v>2.0</v>
      </c>
      <c r="G369" s="9">
        <v>2.0</v>
      </c>
    </row>
    <row r="370" ht="14.25" hidden="1" customHeight="1">
      <c r="B370" s="7" t="s">
        <v>6</v>
      </c>
      <c r="C370" s="7" t="s">
        <v>30</v>
      </c>
      <c r="D370" s="7" t="s">
        <v>25</v>
      </c>
      <c r="E370" s="7" t="s">
        <v>9</v>
      </c>
      <c r="F370" s="8">
        <v>2.0</v>
      </c>
      <c r="G370" s="9">
        <v>1.0</v>
      </c>
    </row>
    <row r="371" ht="14.25" hidden="1" customHeight="1">
      <c r="B371" s="7" t="s">
        <v>6</v>
      </c>
      <c r="C371" s="7" t="s">
        <v>30</v>
      </c>
      <c r="D371" s="7" t="s">
        <v>25</v>
      </c>
      <c r="E371" s="7" t="s">
        <v>31</v>
      </c>
      <c r="F371" s="8">
        <v>2.0</v>
      </c>
      <c r="G371" s="9">
        <v>1.0</v>
      </c>
    </row>
    <row r="372" ht="14.25" hidden="1" customHeight="1">
      <c r="B372" s="7" t="s">
        <v>6</v>
      </c>
      <c r="C372" s="7" t="s">
        <v>7</v>
      </c>
      <c r="D372" s="7" t="s">
        <v>33</v>
      </c>
      <c r="E372" s="7" t="s">
        <v>28</v>
      </c>
      <c r="F372" s="8">
        <v>2.0</v>
      </c>
      <c r="G372" s="9">
        <v>1.0</v>
      </c>
    </row>
    <row r="373" ht="14.25" hidden="1" customHeight="1">
      <c r="B373" s="7" t="s">
        <v>6</v>
      </c>
      <c r="C373" s="7" t="s">
        <v>29</v>
      </c>
      <c r="D373" s="7" t="s">
        <v>33</v>
      </c>
      <c r="E373" s="7" t="s">
        <v>9</v>
      </c>
      <c r="F373" s="8">
        <v>2.0</v>
      </c>
      <c r="G373" s="9">
        <v>2.0</v>
      </c>
    </row>
    <row r="374" ht="14.25" hidden="1" customHeight="1">
      <c r="B374" s="7" t="s">
        <v>6</v>
      </c>
      <c r="C374" s="7" t="s">
        <v>30</v>
      </c>
      <c r="D374" s="7" t="s">
        <v>33</v>
      </c>
      <c r="E374" s="7" t="s">
        <v>10</v>
      </c>
      <c r="F374" s="8">
        <v>2.0</v>
      </c>
      <c r="G374" s="9">
        <v>1.0</v>
      </c>
    </row>
    <row r="375" ht="14.25" hidden="1" customHeight="1">
      <c r="B375" s="7" t="s">
        <v>6</v>
      </c>
      <c r="C375" s="7" t="s">
        <v>7</v>
      </c>
      <c r="D375" s="7" t="s">
        <v>28</v>
      </c>
      <c r="E375" s="7" t="s">
        <v>34</v>
      </c>
      <c r="F375" s="8">
        <v>2.0</v>
      </c>
      <c r="G375" s="9">
        <v>1.0</v>
      </c>
    </row>
    <row r="376" ht="14.25" hidden="1" customHeight="1">
      <c r="B376" s="7" t="s">
        <v>6</v>
      </c>
      <c r="C376" s="7" t="s">
        <v>29</v>
      </c>
      <c r="D376" s="7" t="s">
        <v>28</v>
      </c>
      <c r="E376" s="7" t="s">
        <v>31</v>
      </c>
      <c r="F376" s="8">
        <v>2.0</v>
      </c>
      <c r="G376" s="9">
        <v>2.0</v>
      </c>
    </row>
    <row r="377" ht="14.25" hidden="1" customHeight="1">
      <c r="B377" s="7" t="s">
        <v>6</v>
      </c>
      <c r="C377" s="7" t="s">
        <v>7</v>
      </c>
      <c r="D377" s="7" t="s">
        <v>28</v>
      </c>
      <c r="E377" s="7" t="s">
        <v>31</v>
      </c>
      <c r="F377" s="8">
        <v>2.0</v>
      </c>
      <c r="G377" s="9">
        <v>1.0</v>
      </c>
    </row>
    <row r="378" ht="14.25" hidden="1" customHeight="1">
      <c r="B378" s="7" t="s">
        <v>6</v>
      </c>
      <c r="C378" s="7" t="s">
        <v>7</v>
      </c>
      <c r="D378" s="7" t="s">
        <v>28</v>
      </c>
      <c r="E378" s="7" t="s">
        <v>8</v>
      </c>
      <c r="F378" s="8">
        <v>2.0</v>
      </c>
      <c r="G378" s="9">
        <v>1.0</v>
      </c>
    </row>
    <row r="379" ht="14.25" hidden="1" customHeight="1">
      <c r="B379" s="7" t="s">
        <v>6</v>
      </c>
      <c r="C379" s="7" t="s">
        <v>7</v>
      </c>
      <c r="D379" s="7" t="s">
        <v>11</v>
      </c>
      <c r="E379" s="7" t="s">
        <v>25</v>
      </c>
      <c r="F379" s="8">
        <v>2.0</v>
      </c>
      <c r="G379" s="9">
        <v>2.0</v>
      </c>
    </row>
    <row r="380" ht="14.25" hidden="1" customHeight="1">
      <c r="B380" s="7" t="s">
        <v>6</v>
      </c>
      <c r="C380" s="7" t="s">
        <v>7</v>
      </c>
      <c r="D380" s="7" t="s">
        <v>11</v>
      </c>
      <c r="E380" s="7" t="s">
        <v>25</v>
      </c>
      <c r="F380" s="8">
        <v>2.0</v>
      </c>
      <c r="G380" s="9">
        <v>1.0</v>
      </c>
    </row>
    <row r="381" ht="14.25" hidden="1" customHeight="1">
      <c r="B381" s="7" t="s">
        <v>6</v>
      </c>
      <c r="C381" s="7" t="s">
        <v>7</v>
      </c>
      <c r="D381" s="7" t="s">
        <v>11</v>
      </c>
      <c r="E381" s="7" t="s">
        <v>10</v>
      </c>
      <c r="F381" s="8">
        <v>2.0</v>
      </c>
      <c r="G381" s="9">
        <v>1.0</v>
      </c>
    </row>
    <row r="382" ht="14.25" hidden="1" customHeight="1">
      <c r="B382" s="7" t="s">
        <v>6</v>
      </c>
      <c r="C382" s="7" t="s">
        <v>30</v>
      </c>
      <c r="D382" s="7" t="s">
        <v>11</v>
      </c>
      <c r="E382" s="7" t="s">
        <v>31</v>
      </c>
      <c r="F382" s="8">
        <v>2.0</v>
      </c>
      <c r="G382" s="9">
        <v>1.0</v>
      </c>
    </row>
    <row r="383" ht="14.25" hidden="1" customHeight="1">
      <c r="B383" s="7" t="s">
        <v>6</v>
      </c>
      <c r="C383" s="7" t="s">
        <v>7</v>
      </c>
      <c r="D383" s="7" t="s">
        <v>11</v>
      </c>
      <c r="E383" s="7" t="s">
        <v>31</v>
      </c>
      <c r="F383" s="8">
        <v>2.0</v>
      </c>
      <c r="G383" s="9">
        <v>1.0</v>
      </c>
    </row>
    <row r="384" ht="14.25" hidden="1" customHeight="1">
      <c r="B384" s="7" t="s">
        <v>6</v>
      </c>
      <c r="C384" s="7" t="s">
        <v>29</v>
      </c>
      <c r="D384" s="7" t="s">
        <v>34</v>
      </c>
      <c r="E384" s="7" t="s">
        <v>33</v>
      </c>
      <c r="F384" s="8">
        <v>2.0</v>
      </c>
      <c r="G384" s="9">
        <v>2.0</v>
      </c>
    </row>
    <row r="385" ht="14.25" hidden="1" customHeight="1">
      <c r="B385" s="7" t="s">
        <v>6</v>
      </c>
      <c r="C385" s="7" t="s">
        <v>30</v>
      </c>
      <c r="D385" s="7" t="s">
        <v>34</v>
      </c>
      <c r="E385" s="7" t="s">
        <v>33</v>
      </c>
      <c r="F385" s="8">
        <v>2.0</v>
      </c>
      <c r="G385" s="9">
        <v>1.0</v>
      </c>
    </row>
    <row r="386" ht="14.25" hidden="1" customHeight="1">
      <c r="B386" s="7" t="s">
        <v>6</v>
      </c>
      <c r="C386" s="7" t="s">
        <v>7</v>
      </c>
      <c r="D386" s="7" t="s">
        <v>34</v>
      </c>
      <c r="E386" s="7" t="s">
        <v>33</v>
      </c>
      <c r="F386" s="8">
        <v>2.0</v>
      </c>
      <c r="G386" s="9">
        <v>1.0</v>
      </c>
    </row>
    <row r="387" ht="14.25" hidden="1" customHeight="1">
      <c r="B387" s="7" t="s">
        <v>6</v>
      </c>
      <c r="C387" s="7" t="s">
        <v>29</v>
      </c>
      <c r="D387" s="7" t="s">
        <v>34</v>
      </c>
      <c r="E387" s="7" t="s">
        <v>32</v>
      </c>
      <c r="F387" s="8">
        <v>2.0</v>
      </c>
      <c r="G387" s="9">
        <v>2.0</v>
      </c>
    </row>
    <row r="388" ht="14.25" hidden="1" customHeight="1">
      <c r="B388" s="7" t="s">
        <v>6</v>
      </c>
      <c r="C388" s="7" t="s">
        <v>7</v>
      </c>
      <c r="D388" s="7" t="s">
        <v>9</v>
      </c>
      <c r="E388" s="7" t="s">
        <v>25</v>
      </c>
      <c r="F388" s="8">
        <v>2.0</v>
      </c>
      <c r="G388" s="9">
        <v>1.0</v>
      </c>
    </row>
    <row r="389" ht="14.25" hidden="1" customHeight="1">
      <c r="B389" s="7" t="s">
        <v>6</v>
      </c>
      <c r="C389" s="7" t="s">
        <v>30</v>
      </c>
      <c r="D389" s="7" t="s">
        <v>9</v>
      </c>
      <c r="E389" s="7" t="s">
        <v>24</v>
      </c>
      <c r="F389" s="8">
        <v>2.0</v>
      </c>
      <c r="G389" s="9">
        <v>1.0</v>
      </c>
    </row>
    <row r="390" ht="14.25" hidden="1" customHeight="1">
      <c r="B390" s="7" t="s">
        <v>6</v>
      </c>
      <c r="C390" s="7" t="s">
        <v>7</v>
      </c>
      <c r="D390" s="7" t="s">
        <v>24</v>
      </c>
      <c r="E390" s="7" t="s">
        <v>28</v>
      </c>
      <c r="F390" s="8">
        <v>2.0</v>
      </c>
      <c r="G390" s="9">
        <v>1.0</v>
      </c>
    </row>
    <row r="391" ht="14.25" hidden="1" customHeight="1">
      <c r="B391" s="7" t="s">
        <v>6</v>
      </c>
      <c r="C391" s="7" t="s">
        <v>7</v>
      </c>
      <c r="D391" s="7" t="s">
        <v>10</v>
      </c>
      <c r="E391" s="7" t="s">
        <v>25</v>
      </c>
      <c r="F391" s="8">
        <v>2.0</v>
      </c>
      <c r="G391" s="9">
        <v>1.0</v>
      </c>
    </row>
    <row r="392" ht="14.25" hidden="1" customHeight="1">
      <c r="B392" s="7" t="s">
        <v>6</v>
      </c>
      <c r="C392" s="7" t="s">
        <v>7</v>
      </c>
      <c r="D392" s="7" t="s">
        <v>10</v>
      </c>
      <c r="E392" s="7" t="s">
        <v>33</v>
      </c>
      <c r="F392" s="8">
        <v>2.0</v>
      </c>
      <c r="G392" s="9">
        <v>1.0</v>
      </c>
    </row>
    <row r="393" ht="14.25" hidden="1" customHeight="1">
      <c r="B393" s="7" t="s">
        <v>6</v>
      </c>
      <c r="C393" s="7" t="s">
        <v>7</v>
      </c>
      <c r="D393" s="7" t="s">
        <v>10</v>
      </c>
      <c r="E393" s="7" t="s">
        <v>35</v>
      </c>
      <c r="F393" s="8">
        <v>2.0</v>
      </c>
      <c r="G393" s="9">
        <v>1.0</v>
      </c>
    </row>
    <row r="394" ht="14.25" hidden="1" customHeight="1">
      <c r="B394" s="7" t="s">
        <v>6</v>
      </c>
      <c r="C394" s="7" t="s">
        <v>7</v>
      </c>
      <c r="D394" s="7" t="s">
        <v>10</v>
      </c>
      <c r="E394" s="7" t="s">
        <v>9</v>
      </c>
      <c r="F394" s="8">
        <v>2.0</v>
      </c>
      <c r="G394" s="9">
        <v>1.0</v>
      </c>
    </row>
    <row r="395" ht="14.25" hidden="1" customHeight="1">
      <c r="B395" s="7" t="s">
        <v>6</v>
      </c>
      <c r="C395" s="7" t="s">
        <v>7</v>
      </c>
      <c r="D395" s="7" t="s">
        <v>10</v>
      </c>
      <c r="E395" s="7" t="s">
        <v>24</v>
      </c>
      <c r="F395" s="8">
        <v>2.0</v>
      </c>
      <c r="G395" s="9">
        <v>1.0</v>
      </c>
    </row>
    <row r="396" ht="14.25" hidden="1" customHeight="1">
      <c r="B396" s="7" t="s">
        <v>6</v>
      </c>
      <c r="C396" s="7" t="s">
        <v>7</v>
      </c>
      <c r="D396" s="7" t="s">
        <v>10</v>
      </c>
      <c r="E396" s="7" t="s">
        <v>8</v>
      </c>
      <c r="F396" s="8">
        <v>2.0</v>
      </c>
      <c r="G396" s="9">
        <v>1.0</v>
      </c>
    </row>
    <row r="397" ht="14.25" hidden="1" customHeight="1">
      <c r="B397" s="7" t="s">
        <v>6</v>
      </c>
      <c r="C397" s="7" t="s">
        <v>29</v>
      </c>
      <c r="D397" s="7" t="s">
        <v>32</v>
      </c>
      <c r="E397" s="7" t="s">
        <v>25</v>
      </c>
      <c r="F397" s="8">
        <v>2.0</v>
      </c>
      <c r="G397" s="9">
        <v>2.0</v>
      </c>
    </row>
    <row r="398" ht="14.25" hidden="1" customHeight="1">
      <c r="B398" s="7" t="s">
        <v>6</v>
      </c>
      <c r="C398" s="7" t="s">
        <v>7</v>
      </c>
      <c r="D398" s="7" t="s">
        <v>32</v>
      </c>
      <c r="E398" s="7" t="s">
        <v>25</v>
      </c>
      <c r="F398" s="8">
        <v>2.0</v>
      </c>
      <c r="G398" s="9">
        <v>1.0</v>
      </c>
    </row>
    <row r="399" ht="14.25" hidden="1" customHeight="1">
      <c r="B399" s="7" t="s">
        <v>6</v>
      </c>
      <c r="C399" s="7" t="s">
        <v>7</v>
      </c>
      <c r="D399" s="7" t="s">
        <v>32</v>
      </c>
      <c r="E399" s="7" t="s">
        <v>25</v>
      </c>
      <c r="F399" s="8">
        <v>2.0</v>
      </c>
      <c r="G399" s="9">
        <v>1.0</v>
      </c>
    </row>
    <row r="400" ht="14.25" hidden="1" customHeight="1">
      <c r="B400" s="7" t="s">
        <v>6</v>
      </c>
      <c r="C400" s="7" t="s">
        <v>29</v>
      </c>
      <c r="D400" s="7" t="s">
        <v>32</v>
      </c>
      <c r="E400" s="7" t="s">
        <v>33</v>
      </c>
      <c r="F400" s="8">
        <v>2.0</v>
      </c>
      <c r="G400" s="9">
        <v>2.0</v>
      </c>
    </row>
    <row r="401" ht="14.25" hidden="1" customHeight="1">
      <c r="B401" s="7" t="s">
        <v>6</v>
      </c>
      <c r="C401" s="7" t="s">
        <v>7</v>
      </c>
      <c r="D401" s="7" t="s">
        <v>32</v>
      </c>
      <c r="E401" s="7" t="s">
        <v>28</v>
      </c>
      <c r="F401" s="8">
        <v>2.0</v>
      </c>
      <c r="G401" s="9">
        <v>1.0</v>
      </c>
    </row>
    <row r="402" ht="14.25" hidden="1" customHeight="1">
      <c r="B402" s="7" t="s">
        <v>6</v>
      </c>
      <c r="C402" s="7" t="s">
        <v>7</v>
      </c>
      <c r="D402" s="7" t="s">
        <v>32</v>
      </c>
      <c r="E402" s="7" t="s">
        <v>28</v>
      </c>
      <c r="F402" s="8">
        <v>2.0</v>
      </c>
      <c r="G402" s="9">
        <v>1.0</v>
      </c>
    </row>
    <row r="403" ht="14.25" hidden="1" customHeight="1">
      <c r="B403" s="7" t="s">
        <v>6</v>
      </c>
      <c r="C403" s="7" t="s">
        <v>30</v>
      </c>
      <c r="D403" s="7" t="s">
        <v>32</v>
      </c>
      <c r="E403" s="7" t="s">
        <v>31</v>
      </c>
      <c r="F403" s="8">
        <v>2.0</v>
      </c>
      <c r="G403" s="9">
        <v>1.0</v>
      </c>
    </row>
    <row r="404" ht="14.25" hidden="1" customHeight="1">
      <c r="B404" s="7" t="s">
        <v>6</v>
      </c>
      <c r="C404" s="7" t="s">
        <v>7</v>
      </c>
      <c r="D404" s="7" t="s">
        <v>31</v>
      </c>
      <c r="E404" s="7" t="s">
        <v>28</v>
      </c>
      <c r="F404" s="8">
        <v>2.0</v>
      </c>
      <c r="G404" s="9">
        <v>1.0</v>
      </c>
    </row>
    <row r="405" ht="14.25" hidden="1" customHeight="1">
      <c r="B405" s="7" t="s">
        <v>6</v>
      </c>
      <c r="C405" s="7" t="s">
        <v>7</v>
      </c>
      <c r="D405" s="7" t="s">
        <v>31</v>
      </c>
      <c r="E405" s="7" t="s">
        <v>35</v>
      </c>
      <c r="F405" s="8">
        <v>2.0</v>
      </c>
      <c r="G405" s="9">
        <v>1.0</v>
      </c>
    </row>
    <row r="406" ht="14.25" hidden="1" customHeight="1">
      <c r="B406" s="7" t="s">
        <v>6</v>
      </c>
      <c r="C406" s="7" t="s">
        <v>7</v>
      </c>
      <c r="D406" s="7" t="s">
        <v>31</v>
      </c>
      <c r="E406" s="7" t="s">
        <v>9</v>
      </c>
      <c r="F406" s="8">
        <v>2.0</v>
      </c>
      <c r="G406" s="9">
        <v>1.0</v>
      </c>
    </row>
    <row r="407" ht="14.25" hidden="1" customHeight="1">
      <c r="B407" s="7" t="s">
        <v>6</v>
      </c>
      <c r="C407" s="7" t="s">
        <v>29</v>
      </c>
      <c r="D407" s="7" t="s">
        <v>31</v>
      </c>
      <c r="E407" s="7" t="s">
        <v>10</v>
      </c>
      <c r="F407" s="8">
        <v>2.0</v>
      </c>
      <c r="G407" s="9">
        <v>2.0</v>
      </c>
    </row>
    <row r="408" ht="14.25" hidden="1" customHeight="1">
      <c r="B408" s="7" t="s">
        <v>6</v>
      </c>
      <c r="C408" s="7" t="s">
        <v>29</v>
      </c>
      <c r="D408" s="7" t="s">
        <v>31</v>
      </c>
      <c r="E408" s="7" t="s">
        <v>31</v>
      </c>
      <c r="F408" s="8">
        <v>2.0</v>
      </c>
      <c r="G408" s="9">
        <v>2.0</v>
      </c>
    </row>
    <row r="409" ht="14.25" hidden="1" customHeight="1">
      <c r="B409" s="7" t="s">
        <v>6</v>
      </c>
      <c r="C409" s="7" t="s">
        <v>7</v>
      </c>
      <c r="D409" s="7" t="s">
        <v>31</v>
      </c>
      <c r="E409" s="7" t="s">
        <v>31</v>
      </c>
      <c r="F409" s="8">
        <v>2.0</v>
      </c>
      <c r="G409" s="9">
        <v>1.0</v>
      </c>
    </row>
    <row r="410" ht="14.25" hidden="1" customHeight="1">
      <c r="B410" s="7" t="s">
        <v>6</v>
      </c>
      <c r="C410" s="7" t="s">
        <v>7</v>
      </c>
      <c r="D410" s="7" t="s">
        <v>8</v>
      </c>
      <c r="E410" s="7" t="s">
        <v>25</v>
      </c>
      <c r="F410" s="8">
        <v>2.0</v>
      </c>
      <c r="G410" s="9">
        <v>1.0</v>
      </c>
    </row>
    <row r="411" ht="14.25" hidden="1" customHeight="1">
      <c r="B411" s="7" t="s">
        <v>6</v>
      </c>
      <c r="C411" s="7" t="s">
        <v>29</v>
      </c>
      <c r="D411" s="7" t="s">
        <v>8</v>
      </c>
      <c r="E411" s="7" t="s">
        <v>33</v>
      </c>
      <c r="F411" s="8">
        <v>2.0</v>
      </c>
      <c r="G411" s="9">
        <v>2.0</v>
      </c>
    </row>
    <row r="412" ht="14.25" hidden="1" customHeight="1">
      <c r="B412" s="7" t="s">
        <v>6</v>
      </c>
      <c r="C412" s="7" t="s">
        <v>7</v>
      </c>
      <c r="D412" s="7" t="s">
        <v>8</v>
      </c>
      <c r="E412" s="7" t="s">
        <v>9</v>
      </c>
      <c r="F412" s="8">
        <v>2.0</v>
      </c>
      <c r="G412" s="9">
        <v>1.0</v>
      </c>
    </row>
    <row r="413" ht="14.25" customHeight="1">
      <c r="B413" s="7" t="s">
        <v>6</v>
      </c>
      <c r="C413" s="7" t="s">
        <v>7</v>
      </c>
      <c r="D413" s="7" t="s">
        <v>8</v>
      </c>
      <c r="E413" s="7" t="s">
        <v>31</v>
      </c>
      <c r="F413" s="8">
        <v>2.0</v>
      </c>
      <c r="G413" s="9">
        <v>1.0</v>
      </c>
    </row>
    <row r="414" ht="14.25" hidden="1" customHeight="1">
      <c r="B414" s="7" t="s">
        <v>6</v>
      </c>
      <c r="C414" s="7" t="s">
        <v>29</v>
      </c>
      <c r="D414" s="7" t="s">
        <v>25</v>
      </c>
      <c r="E414" s="7" t="s">
        <v>33</v>
      </c>
      <c r="F414" s="8">
        <v>1.0</v>
      </c>
      <c r="G414" s="9">
        <v>1.0</v>
      </c>
    </row>
    <row r="415" ht="14.25" hidden="1" customHeight="1">
      <c r="B415" s="7" t="s">
        <v>6</v>
      </c>
      <c r="C415" s="7" t="s">
        <v>29</v>
      </c>
      <c r="D415" s="7" t="s">
        <v>25</v>
      </c>
      <c r="E415" s="7" t="s">
        <v>32</v>
      </c>
      <c r="F415" s="8">
        <v>1.0</v>
      </c>
      <c r="G415" s="9">
        <v>1.0</v>
      </c>
    </row>
    <row r="416" ht="14.25" hidden="1" customHeight="1">
      <c r="B416" s="7" t="s">
        <v>6</v>
      </c>
      <c r="C416" s="7" t="s">
        <v>29</v>
      </c>
      <c r="D416" s="7" t="s">
        <v>25</v>
      </c>
      <c r="E416" s="7" t="s">
        <v>8</v>
      </c>
      <c r="F416" s="8">
        <v>1.0</v>
      </c>
      <c r="G416" s="9">
        <v>1.0</v>
      </c>
    </row>
    <row r="417" ht="14.25" hidden="1" customHeight="1">
      <c r="B417" s="7" t="s">
        <v>6</v>
      </c>
      <c r="C417" s="7" t="s">
        <v>29</v>
      </c>
      <c r="D417" s="7" t="s">
        <v>33</v>
      </c>
      <c r="E417" s="7" t="s">
        <v>9</v>
      </c>
      <c r="F417" s="8">
        <v>1.0</v>
      </c>
      <c r="G417" s="9">
        <v>1.0</v>
      </c>
    </row>
    <row r="418" ht="14.25" hidden="1" customHeight="1">
      <c r="B418" s="7" t="s">
        <v>6</v>
      </c>
      <c r="C418" s="7" t="s">
        <v>29</v>
      </c>
      <c r="D418" s="7" t="s">
        <v>28</v>
      </c>
      <c r="E418" s="7" t="s">
        <v>35</v>
      </c>
      <c r="F418" s="8">
        <v>1.0</v>
      </c>
      <c r="G418" s="9">
        <v>1.0</v>
      </c>
    </row>
    <row r="419" ht="14.25" hidden="1" customHeight="1">
      <c r="B419" s="7" t="s">
        <v>6</v>
      </c>
      <c r="C419" s="7" t="s">
        <v>36</v>
      </c>
      <c r="D419" s="7" t="s">
        <v>11</v>
      </c>
      <c r="E419" s="7" t="s">
        <v>10</v>
      </c>
      <c r="F419" s="8">
        <v>1.0</v>
      </c>
      <c r="G419" s="9">
        <v>1.0</v>
      </c>
    </row>
    <row r="420" ht="14.25" hidden="1" customHeight="1">
      <c r="B420" s="7" t="s">
        <v>6</v>
      </c>
      <c r="C420" s="7" t="s">
        <v>29</v>
      </c>
      <c r="D420" s="7" t="s">
        <v>35</v>
      </c>
      <c r="E420" s="7" t="s">
        <v>28</v>
      </c>
      <c r="F420" s="8">
        <v>1.0</v>
      </c>
      <c r="G420" s="9">
        <v>1.0</v>
      </c>
    </row>
    <row r="421" ht="14.25" hidden="1" customHeight="1">
      <c r="B421" s="7" t="s">
        <v>6</v>
      </c>
      <c r="C421" s="7" t="s">
        <v>36</v>
      </c>
      <c r="D421" s="7" t="s">
        <v>9</v>
      </c>
      <c r="E421" s="7" t="s">
        <v>28</v>
      </c>
      <c r="F421" s="8">
        <v>1.0</v>
      </c>
      <c r="G421" s="9">
        <v>1.0</v>
      </c>
    </row>
    <row r="422" ht="14.25" hidden="1" customHeight="1">
      <c r="B422" s="7" t="s">
        <v>6</v>
      </c>
      <c r="C422" s="7" t="s">
        <v>36</v>
      </c>
      <c r="D422" s="7" t="s">
        <v>9</v>
      </c>
      <c r="E422" s="7" t="s">
        <v>8</v>
      </c>
      <c r="F422" s="8">
        <v>1.0</v>
      </c>
      <c r="G422" s="9">
        <v>1.0</v>
      </c>
    </row>
    <row r="423" ht="14.25" hidden="1" customHeight="1">
      <c r="B423" s="7" t="s">
        <v>6</v>
      </c>
      <c r="C423" s="7" t="s">
        <v>29</v>
      </c>
      <c r="D423" s="7" t="s">
        <v>9</v>
      </c>
      <c r="E423" s="7" t="s">
        <v>8</v>
      </c>
      <c r="F423" s="8">
        <v>1.0</v>
      </c>
      <c r="G423" s="9">
        <v>1.0</v>
      </c>
    </row>
    <row r="424" ht="14.25" hidden="1" customHeight="1">
      <c r="B424" s="7" t="s">
        <v>6</v>
      </c>
      <c r="C424" s="7" t="s">
        <v>29</v>
      </c>
      <c r="D424" s="7" t="s">
        <v>31</v>
      </c>
      <c r="E424" s="7" t="s">
        <v>33</v>
      </c>
      <c r="F424" s="8">
        <v>1.0</v>
      </c>
      <c r="G424" s="9">
        <v>1.0</v>
      </c>
    </row>
    <row r="425" ht="14.25" hidden="1" customHeight="1">
      <c r="B425" s="7" t="s">
        <v>6</v>
      </c>
      <c r="C425" s="7" t="s">
        <v>36</v>
      </c>
      <c r="D425" s="7" t="s">
        <v>31</v>
      </c>
      <c r="E425" s="7" t="s">
        <v>24</v>
      </c>
      <c r="F425" s="8">
        <v>1.0</v>
      </c>
      <c r="G425" s="9">
        <v>1.0</v>
      </c>
    </row>
    <row r="426" ht="14.25" hidden="1" customHeight="1">
      <c r="B426" s="7" t="s">
        <v>6</v>
      </c>
      <c r="C426" s="7" t="s">
        <v>36</v>
      </c>
      <c r="D426" s="7" t="s">
        <v>8</v>
      </c>
      <c r="E426" s="7" t="s">
        <v>24</v>
      </c>
      <c r="F426" s="8">
        <v>1.0</v>
      </c>
      <c r="G426" s="9">
        <v>1.0</v>
      </c>
    </row>
    <row r="427" ht="14.25" hidden="1" customHeight="1">
      <c r="B427" s="7" t="s">
        <v>6</v>
      </c>
      <c r="C427" s="7" t="s">
        <v>29</v>
      </c>
      <c r="D427" s="7" t="s">
        <v>8</v>
      </c>
      <c r="E427" s="7" t="s">
        <v>10</v>
      </c>
      <c r="F427" s="8">
        <v>1.0</v>
      </c>
      <c r="G427" s="9">
        <v>1.0</v>
      </c>
    </row>
    <row r="428" ht="14.25" customHeight="1">
      <c r="B428" s="7" t="s">
        <v>6</v>
      </c>
      <c r="C428" s="7" t="s">
        <v>29</v>
      </c>
      <c r="D428" s="7" t="s">
        <v>8</v>
      </c>
      <c r="E428" s="7" t="s">
        <v>31</v>
      </c>
      <c r="F428" s="8">
        <v>1.0</v>
      </c>
      <c r="G428" s="9">
        <v>1.0</v>
      </c>
    </row>
    <row r="429" ht="14.25" hidden="1" customHeight="1">
      <c r="B429" s="7" t="s">
        <v>15</v>
      </c>
      <c r="C429" s="7" t="s">
        <v>7</v>
      </c>
      <c r="D429" s="7" t="s">
        <v>25</v>
      </c>
      <c r="E429" s="7" t="s">
        <v>8</v>
      </c>
      <c r="F429" s="8">
        <v>5560.0</v>
      </c>
      <c r="G429" s="9">
        <v>2780.0</v>
      </c>
    </row>
    <row r="430" ht="14.25" hidden="1" customHeight="1">
      <c r="B430" s="7" t="s">
        <v>15</v>
      </c>
      <c r="C430" s="7" t="s">
        <v>7</v>
      </c>
      <c r="D430" s="7" t="s">
        <v>25</v>
      </c>
      <c r="E430" s="7" t="s">
        <v>8</v>
      </c>
      <c r="F430" s="8">
        <v>4188.0</v>
      </c>
      <c r="G430" s="9">
        <v>2094.0</v>
      </c>
    </row>
    <row r="431" ht="14.25" hidden="1" customHeight="1">
      <c r="B431" s="7" t="s">
        <v>15</v>
      </c>
      <c r="C431" s="7" t="s">
        <v>7</v>
      </c>
      <c r="D431" s="7" t="s">
        <v>8</v>
      </c>
      <c r="E431" s="7" t="s">
        <v>9</v>
      </c>
      <c r="F431" s="8">
        <v>3964.0</v>
      </c>
      <c r="G431" s="9">
        <v>1982.0</v>
      </c>
    </row>
    <row r="432" ht="14.25" hidden="1" customHeight="1">
      <c r="B432" s="7" t="s">
        <v>15</v>
      </c>
      <c r="C432" s="7" t="s">
        <v>7</v>
      </c>
      <c r="D432" s="7" t="s">
        <v>10</v>
      </c>
      <c r="E432" s="7" t="s">
        <v>11</v>
      </c>
      <c r="F432" s="8">
        <v>3470.0</v>
      </c>
      <c r="G432" s="9">
        <v>1735.0</v>
      </c>
    </row>
    <row r="433" ht="14.25" hidden="1" customHeight="1">
      <c r="B433" s="7" t="s">
        <v>15</v>
      </c>
      <c r="C433" s="7" t="s">
        <v>29</v>
      </c>
      <c r="D433" s="7" t="s">
        <v>11</v>
      </c>
      <c r="E433" s="7" t="s">
        <v>10</v>
      </c>
      <c r="F433" s="8">
        <v>2569.0</v>
      </c>
      <c r="G433" s="9">
        <v>2569.0</v>
      </c>
    </row>
    <row r="434" ht="14.25" hidden="1" customHeight="1">
      <c r="B434" s="7" t="s">
        <v>15</v>
      </c>
      <c r="C434" s="7" t="s">
        <v>7</v>
      </c>
      <c r="D434" s="7" t="s">
        <v>8</v>
      </c>
      <c r="E434" s="7" t="s">
        <v>24</v>
      </c>
      <c r="F434" s="8">
        <v>2328.0</v>
      </c>
      <c r="G434" s="9">
        <v>1164.0</v>
      </c>
    </row>
    <row r="435" ht="14.25" hidden="1" customHeight="1">
      <c r="B435" s="7" t="s">
        <v>15</v>
      </c>
      <c r="C435" s="7" t="s">
        <v>7</v>
      </c>
      <c r="D435" s="7" t="s">
        <v>8</v>
      </c>
      <c r="E435" s="7" t="s">
        <v>28</v>
      </c>
      <c r="F435" s="8">
        <v>2292.0</v>
      </c>
      <c r="G435" s="9">
        <v>1146.0</v>
      </c>
    </row>
    <row r="436" ht="14.25" hidden="1" customHeight="1">
      <c r="B436" s="7" t="s">
        <v>15</v>
      </c>
      <c r="C436" s="7" t="s">
        <v>7</v>
      </c>
      <c r="D436" s="7" t="s">
        <v>8</v>
      </c>
      <c r="E436" s="7" t="s">
        <v>25</v>
      </c>
      <c r="F436" s="8">
        <v>2176.0</v>
      </c>
      <c r="G436" s="9">
        <v>1088.0</v>
      </c>
    </row>
    <row r="437" ht="14.25" hidden="1" customHeight="1">
      <c r="B437" s="7" t="s">
        <v>15</v>
      </c>
      <c r="C437" s="7" t="s">
        <v>7</v>
      </c>
      <c r="D437" s="7" t="s">
        <v>9</v>
      </c>
      <c r="E437" s="7" t="s">
        <v>25</v>
      </c>
      <c r="F437" s="8">
        <v>2064.0</v>
      </c>
      <c r="G437" s="9">
        <v>1032.0</v>
      </c>
    </row>
    <row r="438" ht="14.25" hidden="1" customHeight="1">
      <c r="B438" s="7" t="s">
        <v>15</v>
      </c>
      <c r="C438" s="7" t="s">
        <v>7</v>
      </c>
      <c r="D438" s="7" t="s">
        <v>31</v>
      </c>
      <c r="E438" s="7" t="s">
        <v>25</v>
      </c>
      <c r="F438" s="8">
        <v>1532.0</v>
      </c>
      <c r="G438" s="9">
        <v>766.0</v>
      </c>
    </row>
    <row r="439" ht="14.25" hidden="1" customHeight="1">
      <c r="B439" s="7" t="s">
        <v>15</v>
      </c>
      <c r="C439" s="7" t="s">
        <v>7</v>
      </c>
      <c r="D439" s="7" t="s">
        <v>8</v>
      </c>
      <c r="E439" s="7" t="s">
        <v>11</v>
      </c>
      <c r="F439" s="8">
        <v>1480.0</v>
      </c>
      <c r="G439" s="9">
        <v>740.0</v>
      </c>
    </row>
    <row r="440" ht="14.25" hidden="1" customHeight="1">
      <c r="B440" s="7" t="s">
        <v>15</v>
      </c>
      <c r="C440" s="7" t="s">
        <v>7</v>
      </c>
      <c r="D440" s="7" t="s">
        <v>31</v>
      </c>
      <c r="E440" s="7" t="s">
        <v>9</v>
      </c>
      <c r="F440" s="8">
        <v>1434.0</v>
      </c>
      <c r="G440" s="9">
        <v>717.0</v>
      </c>
    </row>
    <row r="441" ht="14.25" hidden="1" customHeight="1">
      <c r="B441" s="7" t="s">
        <v>15</v>
      </c>
      <c r="C441" s="7" t="s">
        <v>7</v>
      </c>
      <c r="D441" s="7" t="s">
        <v>31</v>
      </c>
      <c r="E441" s="7" t="s">
        <v>9</v>
      </c>
      <c r="F441" s="8">
        <v>1398.0</v>
      </c>
      <c r="G441" s="9">
        <v>699.0</v>
      </c>
    </row>
    <row r="442" ht="14.25" customHeight="1">
      <c r="B442" s="7" t="s">
        <v>15</v>
      </c>
      <c r="C442" s="7" t="s">
        <v>7</v>
      </c>
      <c r="D442" s="7" t="s">
        <v>8</v>
      </c>
      <c r="E442" s="7" t="s">
        <v>31</v>
      </c>
      <c r="F442" s="8">
        <v>1206.0</v>
      </c>
      <c r="G442" s="9">
        <v>603.0</v>
      </c>
    </row>
    <row r="443" ht="14.25" hidden="1" customHeight="1">
      <c r="B443" s="7" t="s">
        <v>15</v>
      </c>
      <c r="C443" s="7" t="s">
        <v>7</v>
      </c>
      <c r="D443" s="7" t="s">
        <v>9</v>
      </c>
      <c r="E443" s="7" t="s">
        <v>8</v>
      </c>
      <c r="F443" s="8">
        <v>1200.0</v>
      </c>
      <c r="G443" s="9">
        <v>600.0</v>
      </c>
    </row>
    <row r="444" ht="14.25" hidden="1" customHeight="1">
      <c r="B444" s="7" t="s">
        <v>15</v>
      </c>
      <c r="C444" s="7" t="s">
        <v>7</v>
      </c>
      <c r="D444" s="7" t="s">
        <v>10</v>
      </c>
      <c r="E444" s="7" t="s">
        <v>9</v>
      </c>
      <c r="F444" s="8">
        <v>1052.0</v>
      </c>
      <c r="G444" s="9">
        <v>526.0</v>
      </c>
    </row>
    <row r="445" ht="14.25" hidden="1" customHeight="1">
      <c r="B445" s="7" t="s">
        <v>15</v>
      </c>
      <c r="C445" s="7" t="s">
        <v>7</v>
      </c>
      <c r="D445" s="7" t="s">
        <v>31</v>
      </c>
      <c r="E445" s="7" t="s">
        <v>28</v>
      </c>
      <c r="F445" s="8">
        <v>1030.0</v>
      </c>
      <c r="G445" s="9">
        <v>515.0</v>
      </c>
    </row>
    <row r="446" ht="14.25" hidden="1" customHeight="1">
      <c r="B446" s="7" t="s">
        <v>15</v>
      </c>
      <c r="C446" s="7" t="s">
        <v>7</v>
      </c>
      <c r="D446" s="7" t="s">
        <v>8</v>
      </c>
      <c r="E446" s="7" t="s">
        <v>10</v>
      </c>
      <c r="F446" s="8">
        <v>1006.0</v>
      </c>
      <c r="G446" s="9">
        <v>503.0</v>
      </c>
    </row>
    <row r="447" ht="14.25" hidden="1" customHeight="1">
      <c r="B447" s="7" t="s">
        <v>15</v>
      </c>
      <c r="C447" s="7" t="s">
        <v>7</v>
      </c>
      <c r="D447" s="7" t="s">
        <v>9</v>
      </c>
      <c r="E447" s="7" t="s">
        <v>28</v>
      </c>
      <c r="F447" s="8">
        <v>948.0</v>
      </c>
      <c r="G447" s="9">
        <v>474.0</v>
      </c>
    </row>
    <row r="448" ht="14.25" hidden="1" customHeight="1">
      <c r="B448" s="7" t="s">
        <v>15</v>
      </c>
      <c r="C448" s="7" t="s">
        <v>7</v>
      </c>
      <c r="D448" s="7" t="s">
        <v>33</v>
      </c>
      <c r="E448" s="7" t="s">
        <v>10</v>
      </c>
      <c r="F448" s="8">
        <v>876.0</v>
      </c>
      <c r="G448" s="9">
        <v>438.0</v>
      </c>
    </row>
    <row r="449" ht="14.25" hidden="1" customHeight="1">
      <c r="B449" s="7" t="s">
        <v>15</v>
      </c>
      <c r="C449" s="7" t="s">
        <v>30</v>
      </c>
      <c r="D449" s="7" t="s">
        <v>31</v>
      </c>
      <c r="E449" s="7" t="s">
        <v>9</v>
      </c>
      <c r="F449" s="8">
        <v>872.0</v>
      </c>
      <c r="G449" s="9">
        <v>436.0</v>
      </c>
    </row>
    <row r="450" ht="14.25" hidden="1" customHeight="1">
      <c r="B450" s="7" t="s">
        <v>15</v>
      </c>
      <c r="C450" s="7" t="s">
        <v>29</v>
      </c>
      <c r="D450" s="7" t="s">
        <v>10</v>
      </c>
      <c r="E450" s="7" t="s">
        <v>11</v>
      </c>
      <c r="F450" s="8">
        <v>858.0</v>
      </c>
      <c r="G450" s="9">
        <v>858.0</v>
      </c>
    </row>
    <row r="451" ht="14.25" hidden="1" customHeight="1">
      <c r="B451" s="7" t="s">
        <v>15</v>
      </c>
      <c r="C451" s="7" t="s">
        <v>30</v>
      </c>
      <c r="D451" s="7" t="s">
        <v>31</v>
      </c>
      <c r="E451" s="7" t="s">
        <v>25</v>
      </c>
      <c r="F451" s="8">
        <v>832.0</v>
      </c>
      <c r="G451" s="9">
        <v>416.0</v>
      </c>
    </row>
    <row r="452" ht="14.25" hidden="1" customHeight="1">
      <c r="B452" s="7" t="s">
        <v>15</v>
      </c>
      <c r="C452" s="7" t="s">
        <v>7</v>
      </c>
      <c r="D452" s="7" t="s">
        <v>25</v>
      </c>
      <c r="E452" s="7" t="s">
        <v>28</v>
      </c>
      <c r="F452" s="8">
        <v>798.0</v>
      </c>
      <c r="G452" s="9">
        <v>399.0</v>
      </c>
    </row>
    <row r="453" ht="14.25" hidden="1" customHeight="1">
      <c r="B453" s="7" t="s">
        <v>15</v>
      </c>
      <c r="C453" s="7" t="s">
        <v>7</v>
      </c>
      <c r="D453" s="7" t="s">
        <v>28</v>
      </c>
      <c r="E453" s="7" t="s">
        <v>25</v>
      </c>
      <c r="F453" s="8">
        <v>790.0</v>
      </c>
      <c r="G453" s="9">
        <v>395.0</v>
      </c>
    </row>
    <row r="454" ht="14.25" hidden="1" customHeight="1">
      <c r="B454" s="7" t="s">
        <v>15</v>
      </c>
      <c r="C454" s="7" t="s">
        <v>29</v>
      </c>
      <c r="D454" s="7" t="s">
        <v>9</v>
      </c>
      <c r="E454" s="7" t="s">
        <v>8</v>
      </c>
      <c r="F454" s="8">
        <v>775.0</v>
      </c>
      <c r="G454" s="9">
        <v>775.0</v>
      </c>
    </row>
    <row r="455" ht="14.25" hidden="1" customHeight="1">
      <c r="B455" s="7" t="s">
        <v>15</v>
      </c>
      <c r="C455" s="7" t="s">
        <v>7</v>
      </c>
      <c r="D455" s="7" t="s">
        <v>28</v>
      </c>
      <c r="E455" s="7" t="s">
        <v>9</v>
      </c>
      <c r="F455" s="8">
        <v>766.0</v>
      </c>
      <c r="G455" s="9">
        <v>383.0</v>
      </c>
    </row>
    <row r="456" ht="14.25" hidden="1" customHeight="1">
      <c r="B456" s="7" t="s">
        <v>15</v>
      </c>
      <c r="C456" s="7" t="s">
        <v>7</v>
      </c>
      <c r="D456" s="7" t="s">
        <v>25</v>
      </c>
      <c r="E456" s="7" t="s">
        <v>10</v>
      </c>
      <c r="F456" s="8">
        <v>716.0</v>
      </c>
      <c r="G456" s="9">
        <v>358.0</v>
      </c>
    </row>
    <row r="457" ht="14.25" customHeight="1">
      <c r="B457" s="7" t="s">
        <v>15</v>
      </c>
      <c r="C457" s="7" t="s">
        <v>7</v>
      </c>
      <c r="D457" s="7" t="s">
        <v>8</v>
      </c>
      <c r="E457" s="7" t="s">
        <v>31</v>
      </c>
      <c r="F457" s="8">
        <v>682.0</v>
      </c>
      <c r="G457" s="9">
        <v>341.0</v>
      </c>
    </row>
    <row r="458" ht="14.25" hidden="1" customHeight="1">
      <c r="B458" s="7" t="s">
        <v>15</v>
      </c>
      <c r="C458" s="7" t="s">
        <v>29</v>
      </c>
      <c r="D458" s="7" t="s">
        <v>31</v>
      </c>
      <c r="E458" s="7" t="s">
        <v>28</v>
      </c>
      <c r="F458" s="8">
        <v>680.0</v>
      </c>
      <c r="G458" s="9">
        <v>680.0</v>
      </c>
    </row>
    <row r="459" ht="14.25" hidden="1" customHeight="1">
      <c r="B459" s="7" t="s">
        <v>15</v>
      </c>
      <c r="C459" s="7" t="s">
        <v>7</v>
      </c>
      <c r="D459" s="7" t="s">
        <v>11</v>
      </c>
      <c r="E459" s="7" t="s">
        <v>10</v>
      </c>
      <c r="F459" s="8">
        <v>628.0</v>
      </c>
      <c r="G459" s="9">
        <v>314.0</v>
      </c>
    </row>
    <row r="460" ht="14.25" hidden="1" customHeight="1">
      <c r="B460" s="7" t="s">
        <v>15</v>
      </c>
      <c r="C460" s="7" t="s">
        <v>7</v>
      </c>
      <c r="D460" s="7" t="s">
        <v>9</v>
      </c>
      <c r="E460" s="7" t="s">
        <v>8</v>
      </c>
      <c r="F460" s="8">
        <v>614.0</v>
      </c>
      <c r="G460" s="9">
        <v>307.0</v>
      </c>
    </row>
    <row r="461" ht="14.25" hidden="1" customHeight="1">
      <c r="B461" s="7" t="s">
        <v>15</v>
      </c>
      <c r="C461" s="7" t="s">
        <v>7</v>
      </c>
      <c r="D461" s="7" t="s">
        <v>10</v>
      </c>
      <c r="E461" s="7" t="s">
        <v>33</v>
      </c>
      <c r="F461" s="8">
        <v>590.0</v>
      </c>
      <c r="G461" s="9">
        <v>295.0</v>
      </c>
    </row>
    <row r="462" ht="14.25" hidden="1" customHeight="1">
      <c r="B462" s="7" t="s">
        <v>15</v>
      </c>
      <c r="C462" s="7" t="s">
        <v>29</v>
      </c>
      <c r="D462" s="7" t="s">
        <v>28</v>
      </c>
      <c r="E462" s="7" t="s">
        <v>8</v>
      </c>
      <c r="F462" s="8">
        <v>584.0</v>
      </c>
      <c r="G462" s="9">
        <v>584.0</v>
      </c>
    </row>
    <row r="463" ht="14.25" hidden="1" customHeight="1">
      <c r="B463" s="7" t="s">
        <v>15</v>
      </c>
      <c r="C463" s="7" t="s">
        <v>29</v>
      </c>
      <c r="D463" s="7" t="s">
        <v>31</v>
      </c>
      <c r="E463" s="7" t="s">
        <v>9</v>
      </c>
      <c r="F463" s="8">
        <v>578.0</v>
      </c>
      <c r="G463" s="9">
        <v>578.0</v>
      </c>
    </row>
    <row r="464" ht="14.25" hidden="1" customHeight="1">
      <c r="B464" s="7" t="s">
        <v>15</v>
      </c>
      <c r="C464" s="7" t="s">
        <v>7</v>
      </c>
      <c r="D464" s="7" t="s">
        <v>8</v>
      </c>
      <c r="E464" s="7" t="s">
        <v>10</v>
      </c>
      <c r="F464" s="8">
        <v>576.0</v>
      </c>
      <c r="G464" s="9">
        <v>288.0</v>
      </c>
    </row>
    <row r="465" ht="14.25" customHeight="1">
      <c r="B465" s="7" t="s">
        <v>15</v>
      </c>
      <c r="C465" s="7" t="s">
        <v>7</v>
      </c>
      <c r="D465" s="7" t="s">
        <v>8</v>
      </c>
      <c r="E465" s="7" t="s">
        <v>31</v>
      </c>
      <c r="F465" s="8">
        <v>568.0</v>
      </c>
      <c r="G465" s="9">
        <v>284.0</v>
      </c>
    </row>
    <row r="466" ht="14.25" hidden="1" customHeight="1">
      <c r="B466" s="7" t="s">
        <v>15</v>
      </c>
      <c r="C466" s="7" t="s">
        <v>7</v>
      </c>
      <c r="D466" s="7" t="s">
        <v>33</v>
      </c>
      <c r="E466" s="7" t="s">
        <v>8</v>
      </c>
      <c r="F466" s="8">
        <v>530.0</v>
      </c>
      <c r="G466" s="9">
        <v>265.0</v>
      </c>
    </row>
    <row r="467" ht="14.25" hidden="1" customHeight="1">
      <c r="B467" s="7" t="s">
        <v>15</v>
      </c>
      <c r="C467" s="7" t="s">
        <v>30</v>
      </c>
      <c r="D467" s="7" t="s">
        <v>31</v>
      </c>
      <c r="E467" s="7" t="s">
        <v>31</v>
      </c>
      <c r="F467" s="8">
        <v>526.0</v>
      </c>
      <c r="G467" s="9">
        <v>263.0</v>
      </c>
    </row>
    <row r="468" ht="14.25" hidden="1" customHeight="1">
      <c r="B468" s="7" t="s">
        <v>15</v>
      </c>
      <c r="C468" s="7" t="s">
        <v>7</v>
      </c>
      <c r="D468" s="7" t="s">
        <v>10</v>
      </c>
      <c r="E468" s="7" t="s">
        <v>25</v>
      </c>
      <c r="F468" s="8">
        <v>522.0</v>
      </c>
      <c r="G468" s="9">
        <v>261.0</v>
      </c>
    </row>
    <row r="469" ht="14.25" hidden="1" customHeight="1">
      <c r="B469" s="7" t="s">
        <v>15</v>
      </c>
      <c r="C469" s="7" t="s">
        <v>7</v>
      </c>
      <c r="D469" s="7" t="s">
        <v>8</v>
      </c>
      <c r="E469" s="7" t="s">
        <v>9</v>
      </c>
      <c r="F469" s="8">
        <v>516.0</v>
      </c>
      <c r="G469" s="9">
        <v>258.0</v>
      </c>
    </row>
    <row r="470" ht="14.25" hidden="1" customHeight="1">
      <c r="B470" s="7" t="s">
        <v>15</v>
      </c>
      <c r="C470" s="7" t="s">
        <v>7</v>
      </c>
      <c r="D470" s="7" t="s">
        <v>31</v>
      </c>
      <c r="E470" s="7" t="s">
        <v>31</v>
      </c>
      <c r="F470" s="8">
        <v>504.0</v>
      </c>
      <c r="G470" s="9">
        <v>252.0</v>
      </c>
    </row>
    <row r="471" ht="14.25" hidden="1" customHeight="1">
      <c r="B471" s="7" t="s">
        <v>15</v>
      </c>
      <c r="C471" s="7" t="s">
        <v>7</v>
      </c>
      <c r="D471" s="7" t="s">
        <v>28</v>
      </c>
      <c r="E471" s="7" t="s">
        <v>8</v>
      </c>
      <c r="F471" s="8">
        <v>490.0</v>
      </c>
      <c r="G471" s="9">
        <v>245.0</v>
      </c>
    </row>
    <row r="472" ht="14.25" hidden="1" customHeight="1">
      <c r="B472" s="7" t="s">
        <v>15</v>
      </c>
      <c r="C472" s="7" t="s">
        <v>29</v>
      </c>
      <c r="D472" s="7" t="s">
        <v>32</v>
      </c>
      <c r="E472" s="7" t="s">
        <v>28</v>
      </c>
      <c r="F472" s="8">
        <v>488.0</v>
      </c>
      <c r="G472" s="9">
        <v>488.0</v>
      </c>
    </row>
    <row r="473" ht="14.25" hidden="1" customHeight="1">
      <c r="B473" s="7" t="s">
        <v>15</v>
      </c>
      <c r="C473" s="7" t="s">
        <v>29</v>
      </c>
      <c r="D473" s="7" t="s">
        <v>8</v>
      </c>
      <c r="E473" s="7" t="s">
        <v>24</v>
      </c>
      <c r="F473" s="8">
        <v>468.0</v>
      </c>
      <c r="G473" s="9">
        <v>468.0</v>
      </c>
    </row>
    <row r="474" ht="14.25" hidden="1" customHeight="1">
      <c r="B474" s="7" t="s">
        <v>15</v>
      </c>
      <c r="C474" s="7" t="s">
        <v>7</v>
      </c>
      <c r="D474" s="7" t="s">
        <v>10</v>
      </c>
      <c r="E474" s="7" t="s">
        <v>8</v>
      </c>
      <c r="F474" s="8">
        <v>462.0</v>
      </c>
      <c r="G474" s="9">
        <v>231.0</v>
      </c>
    </row>
    <row r="475" ht="14.25" hidden="1" customHeight="1">
      <c r="B475" s="7" t="s">
        <v>15</v>
      </c>
      <c r="C475" s="7" t="s">
        <v>30</v>
      </c>
      <c r="D475" s="7" t="s">
        <v>8</v>
      </c>
      <c r="E475" s="7" t="s">
        <v>25</v>
      </c>
      <c r="F475" s="8">
        <v>434.0</v>
      </c>
      <c r="G475" s="9">
        <v>217.0</v>
      </c>
    </row>
    <row r="476" ht="14.25" hidden="1" customHeight="1">
      <c r="B476" s="7" t="s">
        <v>15</v>
      </c>
      <c r="C476" s="7" t="s">
        <v>7</v>
      </c>
      <c r="D476" s="7" t="s">
        <v>9</v>
      </c>
      <c r="E476" s="7" t="s">
        <v>31</v>
      </c>
      <c r="F476" s="8">
        <v>418.0</v>
      </c>
      <c r="G476" s="9">
        <v>209.0</v>
      </c>
    </row>
    <row r="477" ht="14.25" hidden="1" customHeight="1">
      <c r="B477" s="7" t="s">
        <v>15</v>
      </c>
      <c r="C477" s="7" t="s">
        <v>30</v>
      </c>
      <c r="D477" s="7" t="s">
        <v>8</v>
      </c>
      <c r="E477" s="7" t="s">
        <v>24</v>
      </c>
      <c r="F477" s="8">
        <v>408.0</v>
      </c>
      <c r="G477" s="9">
        <v>204.0</v>
      </c>
    </row>
    <row r="478" ht="14.25" hidden="1" customHeight="1">
      <c r="B478" s="7" t="s">
        <v>15</v>
      </c>
      <c r="C478" s="7" t="s">
        <v>29</v>
      </c>
      <c r="D478" s="7" t="s">
        <v>32</v>
      </c>
      <c r="E478" s="7" t="s">
        <v>9</v>
      </c>
      <c r="F478" s="8">
        <v>393.0</v>
      </c>
      <c r="G478" s="9">
        <v>393.0</v>
      </c>
    </row>
    <row r="479" ht="14.25" hidden="1" customHeight="1">
      <c r="B479" s="7" t="s">
        <v>15</v>
      </c>
      <c r="C479" s="7" t="s">
        <v>29</v>
      </c>
      <c r="D479" s="7" t="s">
        <v>34</v>
      </c>
      <c r="E479" s="7" t="s">
        <v>8</v>
      </c>
      <c r="F479" s="8">
        <v>391.0</v>
      </c>
      <c r="G479" s="9">
        <v>391.0</v>
      </c>
    </row>
    <row r="480" ht="14.25" hidden="1" customHeight="1">
      <c r="B480" s="7" t="s">
        <v>15</v>
      </c>
      <c r="C480" s="7" t="s">
        <v>7</v>
      </c>
      <c r="D480" s="7" t="s">
        <v>32</v>
      </c>
      <c r="E480" s="7" t="s">
        <v>33</v>
      </c>
      <c r="F480" s="8">
        <v>388.0</v>
      </c>
      <c r="G480" s="9">
        <v>194.0</v>
      </c>
    </row>
    <row r="481" ht="14.25" hidden="1" customHeight="1">
      <c r="B481" s="7" t="s">
        <v>15</v>
      </c>
      <c r="C481" s="7" t="s">
        <v>7</v>
      </c>
      <c r="D481" s="7" t="s">
        <v>8</v>
      </c>
      <c r="E481" s="7" t="s">
        <v>33</v>
      </c>
      <c r="F481" s="8">
        <v>382.0</v>
      </c>
      <c r="G481" s="9">
        <v>191.0</v>
      </c>
    </row>
    <row r="482" ht="14.25" hidden="1" customHeight="1">
      <c r="B482" s="7" t="s">
        <v>15</v>
      </c>
      <c r="C482" s="7" t="s">
        <v>7</v>
      </c>
      <c r="D482" s="7" t="s">
        <v>25</v>
      </c>
      <c r="E482" s="7" t="s">
        <v>9</v>
      </c>
      <c r="F482" s="8">
        <v>380.0</v>
      </c>
      <c r="G482" s="9">
        <v>190.0</v>
      </c>
    </row>
    <row r="483" ht="14.25" hidden="1" customHeight="1">
      <c r="B483" s="7" t="s">
        <v>15</v>
      </c>
      <c r="C483" s="7" t="s">
        <v>7</v>
      </c>
      <c r="D483" s="7" t="s">
        <v>32</v>
      </c>
      <c r="E483" s="7" t="s">
        <v>28</v>
      </c>
      <c r="F483" s="8">
        <v>344.0</v>
      </c>
      <c r="G483" s="9">
        <v>172.0</v>
      </c>
    </row>
    <row r="484" ht="14.25" hidden="1" customHeight="1">
      <c r="B484" s="7" t="s">
        <v>15</v>
      </c>
      <c r="C484" s="7" t="s">
        <v>29</v>
      </c>
      <c r="D484" s="7" t="s">
        <v>8</v>
      </c>
      <c r="E484" s="7" t="s">
        <v>9</v>
      </c>
      <c r="F484" s="8">
        <v>344.0</v>
      </c>
      <c r="G484" s="9">
        <v>344.0</v>
      </c>
    </row>
    <row r="485" ht="14.25" hidden="1" customHeight="1">
      <c r="B485" s="7" t="s">
        <v>15</v>
      </c>
      <c r="C485" s="7" t="s">
        <v>29</v>
      </c>
      <c r="D485" s="7" t="s">
        <v>34</v>
      </c>
      <c r="E485" s="7" t="s">
        <v>28</v>
      </c>
      <c r="F485" s="8">
        <v>340.0</v>
      </c>
      <c r="G485" s="9">
        <v>340.0</v>
      </c>
    </row>
    <row r="486" ht="14.25" hidden="1" customHeight="1">
      <c r="B486" s="7" t="s">
        <v>15</v>
      </c>
      <c r="C486" s="7" t="s">
        <v>7</v>
      </c>
      <c r="D486" s="7" t="s">
        <v>8</v>
      </c>
      <c r="E486" s="7" t="s">
        <v>28</v>
      </c>
      <c r="F486" s="8">
        <v>340.0</v>
      </c>
      <c r="G486" s="9">
        <v>170.0</v>
      </c>
    </row>
    <row r="487" ht="14.25" hidden="1" customHeight="1">
      <c r="B487" s="7" t="s">
        <v>15</v>
      </c>
      <c r="C487" s="7" t="s">
        <v>7</v>
      </c>
      <c r="D487" s="7" t="s">
        <v>25</v>
      </c>
      <c r="E487" s="7" t="s">
        <v>33</v>
      </c>
      <c r="F487" s="8">
        <v>330.0</v>
      </c>
      <c r="G487" s="9">
        <v>165.0</v>
      </c>
    </row>
    <row r="488" ht="14.25" hidden="1" customHeight="1">
      <c r="B488" s="7" t="s">
        <v>15</v>
      </c>
      <c r="C488" s="7" t="s">
        <v>29</v>
      </c>
      <c r="D488" s="7" t="s">
        <v>8</v>
      </c>
      <c r="E488" s="7" t="s">
        <v>28</v>
      </c>
      <c r="F488" s="8">
        <v>330.0</v>
      </c>
      <c r="G488" s="9">
        <v>330.0</v>
      </c>
    </row>
    <row r="489" ht="14.25" hidden="1" customHeight="1">
      <c r="B489" s="7" t="s">
        <v>15</v>
      </c>
      <c r="C489" s="7" t="s">
        <v>7</v>
      </c>
      <c r="D489" s="7" t="s">
        <v>31</v>
      </c>
      <c r="E489" s="7" t="s">
        <v>24</v>
      </c>
      <c r="F489" s="8">
        <v>326.0</v>
      </c>
      <c r="G489" s="9">
        <v>163.0</v>
      </c>
    </row>
    <row r="490" ht="14.25" hidden="1" customHeight="1">
      <c r="B490" s="7" t="s">
        <v>15</v>
      </c>
      <c r="C490" s="7" t="s">
        <v>29</v>
      </c>
      <c r="D490" s="7" t="s">
        <v>8</v>
      </c>
      <c r="E490" s="7" t="s">
        <v>11</v>
      </c>
      <c r="F490" s="8">
        <v>322.0</v>
      </c>
      <c r="G490" s="9">
        <v>322.0</v>
      </c>
    </row>
    <row r="491" ht="14.25" hidden="1" customHeight="1">
      <c r="B491" s="7" t="s">
        <v>15</v>
      </c>
      <c r="C491" s="7" t="s">
        <v>7</v>
      </c>
      <c r="D491" s="7" t="s">
        <v>25</v>
      </c>
      <c r="E491" s="7" t="s">
        <v>31</v>
      </c>
      <c r="F491" s="8">
        <v>314.0</v>
      </c>
      <c r="G491" s="9">
        <v>157.0</v>
      </c>
    </row>
    <row r="492" ht="14.25" hidden="1" customHeight="1">
      <c r="B492" s="7" t="s">
        <v>15</v>
      </c>
      <c r="C492" s="7" t="s">
        <v>30</v>
      </c>
      <c r="D492" s="7" t="s">
        <v>8</v>
      </c>
      <c r="E492" s="7" t="s">
        <v>9</v>
      </c>
      <c r="F492" s="8">
        <v>310.0</v>
      </c>
      <c r="G492" s="9">
        <v>155.0</v>
      </c>
    </row>
    <row r="493" ht="14.25" hidden="1" customHeight="1">
      <c r="B493" s="7" t="s">
        <v>15</v>
      </c>
      <c r="C493" s="7" t="s">
        <v>7</v>
      </c>
      <c r="D493" s="7" t="s">
        <v>32</v>
      </c>
      <c r="E493" s="7" t="s">
        <v>9</v>
      </c>
      <c r="F493" s="8">
        <v>308.0</v>
      </c>
      <c r="G493" s="9">
        <v>154.0</v>
      </c>
    </row>
    <row r="494" ht="14.25" hidden="1" customHeight="1">
      <c r="B494" s="7" t="s">
        <v>15</v>
      </c>
      <c r="C494" s="7" t="s">
        <v>7</v>
      </c>
      <c r="D494" s="7" t="s">
        <v>28</v>
      </c>
      <c r="E494" s="7" t="s">
        <v>25</v>
      </c>
      <c r="F494" s="8">
        <v>302.0</v>
      </c>
      <c r="G494" s="9">
        <v>151.0</v>
      </c>
    </row>
    <row r="495" ht="14.25" customHeight="1">
      <c r="B495" s="7" t="s">
        <v>15</v>
      </c>
      <c r="C495" s="7" t="s">
        <v>29</v>
      </c>
      <c r="D495" s="7" t="s">
        <v>8</v>
      </c>
      <c r="E495" s="7" t="s">
        <v>31</v>
      </c>
      <c r="F495" s="8">
        <v>297.0</v>
      </c>
      <c r="G495" s="9">
        <v>297.0</v>
      </c>
    </row>
    <row r="496" ht="14.25" hidden="1" customHeight="1">
      <c r="B496" s="7" t="s">
        <v>15</v>
      </c>
      <c r="C496" s="7" t="s">
        <v>7</v>
      </c>
      <c r="D496" s="7" t="s">
        <v>25</v>
      </c>
      <c r="E496" s="7" t="s">
        <v>31</v>
      </c>
      <c r="F496" s="8">
        <v>292.0</v>
      </c>
      <c r="G496" s="9">
        <v>146.0</v>
      </c>
    </row>
    <row r="497" ht="14.25" hidden="1" customHeight="1">
      <c r="B497" s="7" t="s">
        <v>15</v>
      </c>
      <c r="C497" s="7" t="s">
        <v>30</v>
      </c>
      <c r="D497" s="7" t="s">
        <v>9</v>
      </c>
      <c r="E497" s="7" t="s">
        <v>25</v>
      </c>
      <c r="F497" s="8">
        <v>290.0</v>
      </c>
      <c r="G497" s="9">
        <v>145.0</v>
      </c>
    </row>
    <row r="498" ht="14.25" hidden="1" customHeight="1">
      <c r="B498" s="7" t="s">
        <v>15</v>
      </c>
      <c r="C498" s="7" t="s">
        <v>30</v>
      </c>
      <c r="D498" s="7" t="s">
        <v>31</v>
      </c>
      <c r="E498" s="7" t="s">
        <v>28</v>
      </c>
      <c r="F498" s="8">
        <v>290.0</v>
      </c>
      <c r="G498" s="9">
        <v>145.0</v>
      </c>
    </row>
    <row r="499" ht="14.25" hidden="1" customHeight="1">
      <c r="B499" s="7" t="s">
        <v>15</v>
      </c>
      <c r="C499" s="7" t="s">
        <v>7</v>
      </c>
      <c r="D499" s="7" t="s">
        <v>34</v>
      </c>
      <c r="E499" s="7" t="s">
        <v>28</v>
      </c>
      <c r="F499" s="8">
        <v>286.0</v>
      </c>
      <c r="G499" s="9">
        <v>143.0</v>
      </c>
    </row>
    <row r="500" ht="14.25" hidden="1" customHeight="1">
      <c r="B500" s="7" t="s">
        <v>15</v>
      </c>
      <c r="C500" s="7" t="s">
        <v>7</v>
      </c>
      <c r="D500" s="7" t="s">
        <v>8</v>
      </c>
      <c r="E500" s="7" t="s">
        <v>25</v>
      </c>
      <c r="F500" s="8">
        <v>284.0</v>
      </c>
      <c r="G500" s="9">
        <v>142.0</v>
      </c>
    </row>
    <row r="501" ht="14.25" hidden="1" customHeight="1">
      <c r="B501" s="7" t="s">
        <v>15</v>
      </c>
      <c r="C501" s="7" t="s">
        <v>7</v>
      </c>
      <c r="D501" s="7" t="s">
        <v>31</v>
      </c>
      <c r="E501" s="7" t="s">
        <v>25</v>
      </c>
      <c r="F501" s="8">
        <v>282.0</v>
      </c>
      <c r="G501" s="9">
        <v>141.0</v>
      </c>
    </row>
    <row r="502" ht="14.25" hidden="1" customHeight="1">
      <c r="B502" s="7" t="s">
        <v>15</v>
      </c>
      <c r="C502" s="7" t="s">
        <v>29</v>
      </c>
      <c r="D502" s="7" t="s">
        <v>32</v>
      </c>
      <c r="E502" s="7" t="s">
        <v>33</v>
      </c>
      <c r="F502" s="8">
        <v>279.0</v>
      </c>
      <c r="G502" s="9">
        <v>279.0</v>
      </c>
    </row>
    <row r="503" ht="14.25" hidden="1" customHeight="1">
      <c r="B503" s="7" t="s">
        <v>15</v>
      </c>
      <c r="C503" s="7" t="s">
        <v>7</v>
      </c>
      <c r="D503" s="7" t="s">
        <v>9</v>
      </c>
      <c r="E503" s="7" t="s">
        <v>10</v>
      </c>
      <c r="F503" s="8">
        <v>276.0</v>
      </c>
      <c r="G503" s="9">
        <v>138.0</v>
      </c>
    </row>
    <row r="504" ht="14.25" hidden="1" customHeight="1">
      <c r="B504" s="7" t="s">
        <v>15</v>
      </c>
      <c r="C504" s="7" t="s">
        <v>29</v>
      </c>
      <c r="D504" s="7" t="s">
        <v>9</v>
      </c>
      <c r="E504" s="7" t="s">
        <v>33</v>
      </c>
      <c r="F504" s="8">
        <v>272.0</v>
      </c>
      <c r="G504" s="9">
        <v>272.0</v>
      </c>
    </row>
    <row r="505" ht="14.25" hidden="1" customHeight="1">
      <c r="B505" s="7" t="s">
        <v>15</v>
      </c>
      <c r="C505" s="7" t="s">
        <v>7</v>
      </c>
      <c r="D505" s="7" t="s">
        <v>32</v>
      </c>
      <c r="E505" s="7" t="s">
        <v>8</v>
      </c>
      <c r="F505" s="8">
        <v>272.0</v>
      </c>
      <c r="G505" s="9">
        <v>136.0</v>
      </c>
    </row>
    <row r="506" ht="14.25" customHeight="1">
      <c r="B506" s="7" t="s">
        <v>15</v>
      </c>
      <c r="C506" s="7" t="s">
        <v>30</v>
      </c>
      <c r="D506" s="7" t="s">
        <v>8</v>
      </c>
      <c r="E506" s="7" t="s">
        <v>31</v>
      </c>
      <c r="F506" s="8">
        <v>270.0</v>
      </c>
      <c r="G506" s="9">
        <v>135.0</v>
      </c>
    </row>
    <row r="507" ht="14.25" hidden="1" customHeight="1">
      <c r="B507" s="7" t="s">
        <v>15</v>
      </c>
      <c r="C507" s="7" t="s">
        <v>29</v>
      </c>
      <c r="D507" s="7" t="s">
        <v>31</v>
      </c>
      <c r="E507" s="7" t="s">
        <v>9</v>
      </c>
      <c r="F507" s="8">
        <v>261.0</v>
      </c>
      <c r="G507" s="9">
        <v>261.0</v>
      </c>
    </row>
    <row r="508" ht="14.25" hidden="1" customHeight="1">
      <c r="B508" s="7" t="s">
        <v>15</v>
      </c>
      <c r="C508" s="7" t="s">
        <v>7</v>
      </c>
      <c r="D508" s="7" t="s">
        <v>33</v>
      </c>
      <c r="E508" s="7" t="s">
        <v>8</v>
      </c>
      <c r="F508" s="8">
        <v>252.0</v>
      </c>
      <c r="G508" s="9">
        <v>126.0</v>
      </c>
    </row>
    <row r="509" ht="14.25" hidden="1" customHeight="1">
      <c r="B509" s="7" t="s">
        <v>15</v>
      </c>
      <c r="C509" s="7" t="s">
        <v>30</v>
      </c>
      <c r="D509" s="7" t="s">
        <v>24</v>
      </c>
      <c r="E509" s="7" t="s">
        <v>31</v>
      </c>
      <c r="F509" s="8">
        <v>248.0</v>
      </c>
      <c r="G509" s="9">
        <v>124.0</v>
      </c>
    </row>
    <row r="510" ht="14.25" hidden="1" customHeight="1">
      <c r="B510" s="7" t="s">
        <v>15</v>
      </c>
      <c r="C510" s="7" t="s">
        <v>30</v>
      </c>
      <c r="D510" s="7" t="s">
        <v>8</v>
      </c>
      <c r="E510" s="7" t="s">
        <v>28</v>
      </c>
      <c r="F510" s="8">
        <v>242.0</v>
      </c>
      <c r="G510" s="9">
        <v>121.0</v>
      </c>
    </row>
    <row r="511" ht="14.25" hidden="1" customHeight="1">
      <c r="B511" s="7" t="s">
        <v>15</v>
      </c>
      <c r="C511" s="7" t="s">
        <v>29</v>
      </c>
      <c r="D511" s="7" t="s">
        <v>33</v>
      </c>
      <c r="E511" s="7" t="s">
        <v>8</v>
      </c>
      <c r="F511" s="8">
        <v>239.0</v>
      </c>
      <c r="G511" s="9">
        <v>239.0</v>
      </c>
    </row>
    <row r="512" ht="14.25" hidden="1" customHeight="1">
      <c r="B512" s="7" t="s">
        <v>15</v>
      </c>
      <c r="C512" s="7" t="s">
        <v>7</v>
      </c>
      <c r="D512" s="7" t="s">
        <v>33</v>
      </c>
      <c r="E512" s="7" t="s">
        <v>25</v>
      </c>
      <c r="F512" s="8">
        <v>236.0</v>
      </c>
      <c r="G512" s="9">
        <v>118.0</v>
      </c>
    </row>
    <row r="513" ht="14.25" hidden="1" customHeight="1">
      <c r="B513" s="7" t="s">
        <v>15</v>
      </c>
      <c r="C513" s="7" t="s">
        <v>29</v>
      </c>
      <c r="D513" s="7" t="s">
        <v>28</v>
      </c>
      <c r="E513" s="7" t="s">
        <v>9</v>
      </c>
      <c r="F513" s="8">
        <v>236.0</v>
      </c>
      <c r="G513" s="9">
        <v>236.0</v>
      </c>
    </row>
    <row r="514" ht="14.25" hidden="1" customHeight="1">
      <c r="B514" s="7" t="s">
        <v>15</v>
      </c>
      <c r="C514" s="7" t="s">
        <v>30</v>
      </c>
      <c r="D514" s="7" t="s">
        <v>31</v>
      </c>
      <c r="E514" s="7" t="s">
        <v>33</v>
      </c>
      <c r="F514" s="8">
        <v>230.0</v>
      </c>
      <c r="G514" s="9">
        <v>115.0</v>
      </c>
    </row>
    <row r="515" ht="14.25" hidden="1" customHeight="1">
      <c r="B515" s="7" t="s">
        <v>15</v>
      </c>
      <c r="C515" s="7" t="s">
        <v>7</v>
      </c>
      <c r="D515" s="7" t="s">
        <v>11</v>
      </c>
      <c r="E515" s="7" t="s">
        <v>8</v>
      </c>
      <c r="F515" s="8">
        <v>228.0</v>
      </c>
      <c r="G515" s="9">
        <v>114.0</v>
      </c>
    </row>
    <row r="516" ht="14.25" hidden="1" customHeight="1">
      <c r="B516" s="7" t="s">
        <v>15</v>
      </c>
      <c r="C516" s="7" t="s">
        <v>7</v>
      </c>
      <c r="D516" s="7" t="s">
        <v>24</v>
      </c>
      <c r="E516" s="7" t="s">
        <v>31</v>
      </c>
      <c r="F516" s="8">
        <v>228.0</v>
      </c>
      <c r="G516" s="9">
        <v>114.0</v>
      </c>
    </row>
    <row r="517" ht="14.25" hidden="1" customHeight="1">
      <c r="B517" s="7" t="s">
        <v>15</v>
      </c>
      <c r="C517" s="7" t="s">
        <v>7</v>
      </c>
      <c r="D517" s="7" t="s">
        <v>9</v>
      </c>
      <c r="E517" s="7" t="s">
        <v>25</v>
      </c>
      <c r="F517" s="8">
        <v>226.0</v>
      </c>
      <c r="G517" s="9">
        <v>113.0</v>
      </c>
    </row>
    <row r="518" ht="14.25" hidden="1" customHeight="1">
      <c r="B518" s="7" t="s">
        <v>15</v>
      </c>
      <c r="C518" s="7" t="s">
        <v>7</v>
      </c>
      <c r="D518" s="7" t="s">
        <v>33</v>
      </c>
      <c r="E518" s="7" t="s">
        <v>31</v>
      </c>
      <c r="F518" s="8">
        <v>214.0</v>
      </c>
      <c r="G518" s="9">
        <v>107.0</v>
      </c>
    </row>
    <row r="519" ht="14.25" hidden="1" customHeight="1">
      <c r="B519" s="7" t="s">
        <v>15</v>
      </c>
      <c r="C519" s="7" t="s">
        <v>7</v>
      </c>
      <c r="D519" s="7" t="s">
        <v>28</v>
      </c>
      <c r="E519" s="7" t="s">
        <v>8</v>
      </c>
      <c r="F519" s="8">
        <v>212.0</v>
      </c>
      <c r="G519" s="9">
        <v>106.0</v>
      </c>
    </row>
    <row r="520" ht="14.25" hidden="1" customHeight="1">
      <c r="B520" s="7" t="s">
        <v>15</v>
      </c>
      <c r="C520" s="7" t="s">
        <v>29</v>
      </c>
      <c r="D520" s="7" t="s">
        <v>11</v>
      </c>
      <c r="E520" s="7" t="s">
        <v>8</v>
      </c>
      <c r="F520" s="8">
        <v>212.0</v>
      </c>
      <c r="G520" s="9">
        <v>212.0</v>
      </c>
    </row>
    <row r="521" ht="14.25" hidden="1" customHeight="1">
      <c r="B521" s="7" t="s">
        <v>15</v>
      </c>
      <c r="C521" s="7" t="s">
        <v>7</v>
      </c>
      <c r="D521" s="7" t="s">
        <v>31</v>
      </c>
      <c r="E521" s="7" t="s">
        <v>28</v>
      </c>
      <c r="F521" s="8">
        <v>212.0</v>
      </c>
      <c r="G521" s="9">
        <v>106.0</v>
      </c>
    </row>
    <row r="522" ht="14.25" hidden="1" customHeight="1">
      <c r="B522" s="7" t="s">
        <v>15</v>
      </c>
      <c r="C522" s="7" t="s">
        <v>29</v>
      </c>
      <c r="D522" s="7" t="s">
        <v>31</v>
      </c>
      <c r="E522" s="7" t="s">
        <v>33</v>
      </c>
      <c r="F522" s="8">
        <v>204.0</v>
      </c>
      <c r="G522" s="9">
        <v>204.0</v>
      </c>
    </row>
    <row r="523" ht="14.25" hidden="1" customHeight="1">
      <c r="B523" s="7" t="s">
        <v>15</v>
      </c>
      <c r="C523" s="7" t="s">
        <v>7</v>
      </c>
      <c r="D523" s="7" t="s">
        <v>31</v>
      </c>
      <c r="E523" s="7" t="s">
        <v>33</v>
      </c>
      <c r="F523" s="8">
        <v>204.0</v>
      </c>
      <c r="G523" s="9">
        <v>102.0</v>
      </c>
    </row>
    <row r="524" ht="14.25" hidden="1" customHeight="1">
      <c r="B524" s="7" t="s">
        <v>15</v>
      </c>
      <c r="C524" s="7" t="s">
        <v>30</v>
      </c>
      <c r="D524" s="7" t="s">
        <v>31</v>
      </c>
      <c r="E524" s="7" t="s">
        <v>31</v>
      </c>
      <c r="F524" s="8">
        <v>202.0</v>
      </c>
      <c r="G524" s="9">
        <v>101.0</v>
      </c>
    </row>
    <row r="525" ht="14.25" hidden="1" customHeight="1">
      <c r="B525" s="7" t="s">
        <v>15</v>
      </c>
      <c r="C525" s="7" t="s">
        <v>29</v>
      </c>
      <c r="D525" s="7" t="s">
        <v>33</v>
      </c>
      <c r="E525" s="7" t="s">
        <v>8</v>
      </c>
      <c r="F525" s="8">
        <v>193.0</v>
      </c>
      <c r="G525" s="9">
        <v>193.0</v>
      </c>
    </row>
    <row r="526" ht="14.25" hidden="1" customHeight="1">
      <c r="B526" s="7" t="s">
        <v>15</v>
      </c>
      <c r="C526" s="7" t="s">
        <v>29</v>
      </c>
      <c r="D526" s="7" t="s">
        <v>9</v>
      </c>
      <c r="E526" s="7" t="s">
        <v>28</v>
      </c>
      <c r="F526" s="8">
        <v>191.0</v>
      </c>
      <c r="G526" s="9">
        <v>191.0</v>
      </c>
    </row>
    <row r="527" ht="14.25" hidden="1" customHeight="1">
      <c r="B527" s="7" t="s">
        <v>15</v>
      </c>
      <c r="C527" s="7" t="s">
        <v>7</v>
      </c>
      <c r="D527" s="7" t="s">
        <v>9</v>
      </c>
      <c r="E527" s="7" t="s">
        <v>32</v>
      </c>
      <c r="F527" s="8">
        <v>188.0</v>
      </c>
      <c r="G527" s="9">
        <v>94.0</v>
      </c>
    </row>
    <row r="528" ht="14.25" hidden="1" customHeight="1">
      <c r="B528" s="7" t="s">
        <v>15</v>
      </c>
      <c r="C528" s="7" t="s">
        <v>29</v>
      </c>
      <c r="D528" s="7" t="s">
        <v>33</v>
      </c>
      <c r="E528" s="7" t="s">
        <v>8</v>
      </c>
      <c r="F528" s="8">
        <v>183.0</v>
      </c>
      <c r="G528" s="9">
        <v>183.0</v>
      </c>
    </row>
    <row r="529" ht="14.25" hidden="1" customHeight="1">
      <c r="B529" s="7" t="s">
        <v>15</v>
      </c>
      <c r="C529" s="7" t="s">
        <v>7</v>
      </c>
      <c r="D529" s="7" t="s">
        <v>11</v>
      </c>
      <c r="E529" s="7" t="s">
        <v>25</v>
      </c>
      <c r="F529" s="8">
        <v>182.0</v>
      </c>
      <c r="G529" s="9">
        <v>91.0</v>
      </c>
    </row>
    <row r="530" ht="14.25" hidden="1" customHeight="1">
      <c r="B530" s="7" t="s">
        <v>15</v>
      </c>
      <c r="C530" s="7" t="s">
        <v>30</v>
      </c>
      <c r="D530" s="7" t="s">
        <v>8</v>
      </c>
      <c r="E530" s="7" t="s">
        <v>10</v>
      </c>
      <c r="F530" s="8">
        <v>180.0</v>
      </c>
      <c r="G530" s="9">
        <v>90.0</v>
      </c>
    </row>
    <row r="531" ht="14.25" hidden="1" customHeight="1">
      <c r="B531" s="7" t="s">
        <v>15</v>
      </c>
      <c r="C531" s="7" t="s">
        <v>29</v>
      </c>
      <c r="D531" s="7" t="s">
        <v>28</v>
      </c>
      <c r="E531" s="7" t="s">
        <v>31</v>
      </c>
      <c r="F531" s="8">
        <v>176.0</v>
      </c>
      <c r="G531" s="9">
        <v>176.0</v>
      </c>
    </row>
    <row r="532" ht="14.25" hidden="1" customHeight="1">
      <c r="B532" s="7" t="s">
        <v>15</v>
      </c>
      <c r="C532" s="7" t="s">
        <v>7</v>
      </c>
      <c r="D532" s="7" t="s">
        <v>25</v>
      </c>
      <c r="E532" s="7" t="s">
        <v>8</v>
      </c>
      <c r="F532" s="8">
        <v>174.0</v>
      </c>
      <c r="G532" s="9">
        <v>87.0</v>
      </c>
    </row>
    <row r="533" ht="14.25" hidden="1" customHeight="1">
      <c r="B533" s="7" t="s">
        <v>15</v>
      </c>
      <c r="C533" s="7" t="s">
        <v>29</v>
      </c>
      <c r="D533" s="7" t="s">
        <v>33</v>
      </c>
      <c r="E533" s="7" t="s">
        <v>10</v>
      </c>
      <c r="F533" s="8">
        <v>172.0</v>
      </c>
      <c r="G533" s="9">
        <v>172.0</v>
      </c>
    </row>
    <row r="534" ht="14.25" hidden="1" customHeight="1">
      <c r="B534" s="7" t="s">
        <v>15</v>
      </c>
      <c r="C534" s="7" t="s">
        <v>29</v>
      </c>
      <c r="D534" s="7" t="s">
        <v>32</v>
      </c>
      <c r="E534" s="7" t="s">
        <v>35</v>
      </c>
      <c r="F534" s="8">
        <v>170.0</v>
      </c>
      <c r="G534" s="9">
        <v>170.0</v>
      </c>
    </row>
    <row r="535" ht="14.25" hidden="1" customHeight="1">
      <c r="B535" s="7" t="s">
        <v>15</v>
      </c>
      <c r="C535" s="7" t="s">
        <v>7</v>
      </c>
      <c r="D535" s="7" t="s">
        <v>28</v>
      </c>
      <c r="E535" s="7" t="s">
        <v>8</v>
      </c>
      <c r="F535" s="8">
        <v>164.0</v>
      </c>
      <c r="G535" s="9">
        <v>82.0</v>
      </c>
    </row>
    <row r="536" ht="14.25" hidden="1" customHeight="1">
      <c r="B536" s="7" t="s">
        <v>15</v>
      </c>
      <c r="C536" s="7" t="s">
        <v>29</v>
      </c>
      <c r="D536" s="7" t="s">
        <v>8</v>
      </c>
      <c r="E536" s="7" t="s">
        <v>10</v>
      </c>
      <c r="F536" s="8">
        <v>157.0</v>
      </c>
      <c r="G536" s="9">
        <v>157.0</v>
      </c>
    </row>
    <row r="537" ht="14.25" hidden="1" customHeight="1">
      <c r="B537" s="7" t="s">
        <v>15</v>
      </c>
      <c r="C537" s="7" t="s">
        <v>7</v>
      </c>
      <c r="D537" s="7" t="s">
        <v>32</v>
      </c>
      <c r="E537" s="7" t="s">
        <v>25</v>
      </c>
      <c r="F537" s="8">
        <v>154.0</v>
      </c>
      <c r="G537" s="9">
        <v>77.0</v>
      </c>
    </row>
    <row r="538" ht="14.25" hidden="1" customHeight="1">
      <c r="B538" s="7" t="s">
        <v>15</v>
      </c>
      <c r="C538" s="7" t="s">
        <v>7</v>
      </c>
      <c r="D538" s="7" t="s">
        <v>33</v>
      </c>
      <c r="E538" s="7" t="s">
        <v>28</v>
      </c>
      <c r="F538" s="8">
        <v>150.0</v>
      </c>
      <c r="G538" s="9">
        <v>75.0</v>
      </c>
    </row>
    <row r="539" ht="14.25" hidden="1" customHeight="1">
      <c r="B539" s="7" t="s">
        <v>15</v>
      </c>
      <c r="C539" s="7" t="s">
        <v>7</v>
      </c>
      <c r="D539" s="7" t="s">
        <v>9</v>
      </c>
      <c r="E539" s="7" t="s">
        <v>28</v>
      </c>
      <c r="F539" s="8">
        <v>150.0</v>
      </c>
      <c r="G539" s="9">
        <v>75.0</v>
      </c>
    </row>
    <row r="540" ht="14.25" hidden="1" customHeight="1">
      <c r="B540" s="7" t="s">
        <v>15</v>
      </c>
      <c r="C540" s="7" t="s">
        <v>7</v>
      </c>
      <c r="D540" s="7" t="s">
        <v>10</v>
      </c>
      <c r="E540" s="7" t="s">
        <v>8</v>
      </c>
      <c r="F540" s="8">
        <v>140.0</v>
      </c>
      <c r="G540" s="9">
        <v>70.0</v>
      </c>
    </row>
    <row r="541" ht="14.25" hidden="1" customHeight="1">
      <c r="B541" s="7" t="s">
        <v>15</v>
      </c>
      <c r="C541" s="7" t="s">
        <v>29</v>
      </c>
      <c r="D541" s="7" t="s">
        <v>8</v>
      </c>
      <c r="E541" s="7" t="s">
        <v>25</v>
      </c>
      <c r="F541" s="8">
        <v>138.0</v>
      </c>
      <c r="G541" s="9">
        <v>138.0</v>
      </c>
    </row>
    <row r="542" ht="14.25" hidden="1" customHeight="1">
      <c r="B542" s="7" t="s">
        <v>15</v>
      </c>
      <c r="C542" s="7" t="s">
        <v>7</v>
      </c>
      <c r="D542" s="7" t="s">
        <v>31</v>
      </c>
      <c r="E542" s="7" t="s">
        <v>31</v>
      </c>
      <c r="F542" s="8">
        <v>134.0</v>
      </c>
      <c r="G542" s="9">
        <v>67.0</v>
      </c>
    </row>
    <row r="543" ht="14.25" hidden="1" customHeight="1">
      <c r="B543" s="7" t="s">
        <v>15</v>
      </c>
      <c r="C543" s="7" t="s">
        <v>29</v>
      </c>
      <c r="D543" s="7" t="s">
        <v>31</v>
      </c>
      <c r="E543" s="7" t="s">
        <v>24</v>
      </c>
      <c r="F543" s="8">
        <v>124.0</v>
      </c>
      <c r="G543" s="9">
        <v>124.0</v>
      </c>
    </row>
    <row r="544" ht="14.25" hidden="1" customHeight="1">
      <c r="B544" s="7" t="s">
        <v>15</v>
      </c>
      <c r="C544" s="7" t="s">
        <v>7</v>
      </c>
      <c r="D544" s="7" t="s">
        <v>25</v>
      </c>
      <c r="E544" s="7" t="s">
        <v>32</v>
      </c>
      <c r="F544" s="8">
        <v>120.0</v>
      </c>
      <c r="G544" s="9">
        <v>60.0</v>
      </c>
    </row>
    <row r="545" ht="14.25" hidden="1" customHeight="1">
      <c r="B545" s="7" t="s">
        <v>15</v>
      </c>
      <c r="C545" s="7" t="s">
        <v>29</v>
      </c>
      <c r="D545" s="7" t="s">
        <v>9</v>
      </c>
      <c r="E545" s="7" t="s">
        <v>10</v>
      </c>
      <c r="F545" s="8">
        <v>118.0</v>
      </c>
      <c r="G545" s="9">
        <v>118.0</v>
      </c>
    </row>
    <row r="546" ht="14.25" hidden="1" customHeight="1">
      <c r="B546" s="7" t="s">
        <v>15</v>
      </c>
      <c r="C546" s="7" t="s">
        <v>29</v>
      </c>
      <c r="D546" s="7" t="s">
        <v>10</v>
      </c>
      <c r="E546" s="7" t="s">
        <v>25</v>
      </c>
      <c r="F546" s="8">
        <v>117.0</v>
      </c>
      <c r="G546" s="9">
        <v>117.0</v>
      </c>
    </row>
    <row r="547" ht="14.25" hidden="1" customHeight="1">
      <c r="B547" s="7" t="s">
        <v>15</v>
      </c>
      <c r="C547" s="7" t="s">
        <v>30</v>
      </c>
      <c r="D547" s="7" t="s">
        <v>9</v>
      </c>
      <c r="E547" s="7" t="s">
        <v>28</v>
      </c>
      <c r="F547" s="8">
        <v>116.0</v>
      </c>
      <c r="G547" s="9">
        <v>58.0</v>
      </c>
    </row>
    <row r="548" ht="14.25" hidden="1" customHeight="1">
      <c r="B548" s="7" t="s">
        <v>15</v>
      </c>
      <c r="C548" s="7" t="s">
        <v>7</v>
      </c>
      <c r="D548" s="7" t="s">
        <v>10</v>
      </c>
      <c r="E548" s="7" t="s">
        <v>25</v>
      </c>
      <c r="F548" s="8">
        <v>116.0</v>
      </c>
      <c r="G548" s="9">
        <v>58.0</v>
      </c>
    </row>
    <row r="549" ht="14.25" hidden="1" customHeight="1">
      <c r="B549" s="7" t="s">
        <v>15</v>
      </c>
      <c r="C549" s="7" t="s">
        <v>29</v>
      </c>
      <c r="D549" s="7" t="s">
        <v>25</v>
      </c>
      <c r="E549" s="7" t="s">
        <v>8</v>
      </c>
      <c r="F549" s="8">
        <v>115.0</v>
      </c>
      <c r="G549" s="9">
        <v>115.0</v>
      </c>
    </row>
    <row r="550" ht="14.25" hidden="1" customHeight="1">
      <c r="B550" s="7" t="s">
        <v>15</v>
      </c>
      <c r="C550" s="7" t="s">
        <v>29</v>
      </c>
      <c r="D550" s="7" t="s">
        <v>28</v>
      </c>
      <c r="E550" s="7" t="s">
        <v>25</v>
      </c>
      <c r="F550" s="8">
        <v>115.0</v>
      </c>
      <c r="G550" s="9">
        <v>115.0</v>
      </c>
    </row>
    <row r="551" ht="14.25" hidden="1" customHeight="1">
      <c r="B551" s="7" t="s">
        <v>15</v>
      </c>
      <c r="C551" s="7" t="s">
        <v>7</v>
      </c>
      <c r="D551" s="7" t="s">
        <v>9</v>
      </c>
      <c r="E551" s="7" t="s">
        <v>33</v>
      </c>
      <c r="F551" s="8">
        <v>108.0</v>
      </c>
      <c r="G551" s="9">
        <v>54.0</v>
      </c>
    </row>
    <row r="552" ht="14.25" hidden="1" customHeight="1">
      <c r="B552" s="7" t="s">
        <v>15</v>
      </c>
      <c r="C552" s="7" t="s">
        <v>7</v>
      </c>
      <c r="D552" s="7" t="s">
        <v>10</v>
      </c>
      <c r="E552" s="7" t="s">
        <v>31</v>
      </c>
      <c r="F552" s="8">
        <v>106.0</v>
      </c>
      <c r="G552" s="9">
        <v>53.0</v>
      </c>
    </row>
    <row r="553" ht="14.25" hidden="1" customHeight="1">
      <c r="B553" s="7" t="s">
        <v>15</v>
      </c>
      <c r="C553" s="7" t="s">
        <v>7</v>
      </c>
      <c r="D553" s="7" t="s">
        <v>32</v>
      </c>
      <c r="E553" s="7" t="s">
        <v>25</v>
      </c>
      <c r="F553" s="8">
        <v>106.0</v>
      </c>
      <c r="G553" s="9">
        <v>53.0</v>
      </c>
    </row>
    <row r="554" ht="14.25" hidden="1" customHeight="1">
      <c r="B554" s="7" t="s">
        <v>15</v>
      </c>
      <c r="C554" s="7" t="s">
        <v>7</v>
      </c>
      <c r="D554" s="7" t="s">
        <v>28</v>
      </c>
      <c r="E554" s="7" t="s">
        <v>31</v>
      </c>
      <c r="F554" s="8">
        <v>102.0</v>
      </c>
      <c r="G554" s="9">
        <v>51.0</v>
      </c>
    </row>
    <row r="555" ht="14.25" hidden="1" customHeight="1">
      <c r="B555" s="7" t="s">
        <v>15</v>
      </c>
      <c r="C555" s="7" t="s">
        <v>7</v>
      </c>
      <c r="D555" s="7" t="s">
        <v>31</v>
      </c>
      <c r="E555" s="7" t="s">
        <v>31</v>
      </c>
      <c r="F555" s="8">
        <v>100.0</v>
      </c>
      <c r="G555" s="9">
        <v>50.0</v>
      </c>
    </row>
    <row r="556" ht="14.25" hidden="1" customHeight="1">
      <c r="B556" s="7" t="s">
        <v>15</v>
      </c>
      <c r="C556" s="7" t="s">
        <v>7</v>
      </c>
      <c r="D556" s="7" t="s">
        <v>8</v>
      </c>
      <c r="E556" s="7" t="s">
        <v>10</v>
      </c>
      <c r="F556" s="8">
        <v>100.0</v>
      </c>
      <c r="G556" s="9">
        <v>50.0</v>
      </c>
    </row>
    <row r="557" ht="14.25" hidden="1" customHeight="1">
      <c r="B557" s="7" t="s">
        <v>15</v>
      </c>
      <c r="C557" s="7" t="s">
        <v>7</v>
      </c>
      <c r="D557" s="7" t="s">
        <v>33</v>
      </c>
      <c r="E557" s="7" t="s">
        <v>9</v>
      </c>
      <c r="F557" s="8">
        <v>98.0</v>
      </c>
      <c r="G557" s="9">
        <v>49.0</v>
      </c>
    </row>
    <row r="558" ht="14.25" hidden="1" customHeight="1">
      <c r="B558" s="7" t="s">
        <v>15</v>
      </c>
      <c r="C558" s="7" t="s">
        <v>7</v>
      </c>
      <c r="D558" s="7" t="s">
        <v>9</v>
      </c>
      <c r="E558" s="7" t="s">
        <v>31</v>
      </c>
      <c r="F558" s="8">
        <v>98.0</v>
      </c>
      <c r="G558" s="9">
        <v>49.0</v>
      </c>
    </row>
    <row r="559" ht="14.25" hidden="1" customHeight="1">
      <c r="B559" s="7" t="s">
        <v>15</v>
      </c>
      <c r="C559" s="7" t="s">
        <v>30</v>
      </c>
      <c r="D559" s="7" t="s">
        <v>10</v>
      </c>
      <c r="E559" s="7" t="s">
        <v>9</v>
      </c>
      <c r="F559" s="8">
        <v>98.0</v>
      </c>
      <c r="G559" s="9">
        <v>49.0</v>
      </c>
    </row>
    <row r="560" ht="14.25" hidden="1" customHeight="1">
      <c r="B560" s="7" t="s">
        <v>15</v>
      </c>
      <c r="C560" s="7" t="s">
        <v>7</v>
      </c>
      <c r="D560" s="7" t="s">
        <v>32</v>
      </c>
      <c r="E560" s="7" t="s">
        <v>28</v>
      </c>
      <c r="F560" s="8">
        <v>98.0</v>
      </c>
      <c r="G560" s="9">
        <v>49.0</v>
      </c>
    </row>
    <row r="561" ht="14.25" hidden="1" customHeight="1">
      <c r="B561" s="7" t="s">
        <v>15</v>
      </c>
      <c r="C561" s="7" t="s">
        <v>30</v>
      </c>
      <c r="D561" s="7" t="s">
        <v>31</v>
      </c>
      <c r="E561" s="7" t="s">
        <v>10</v>
      </c>
      <c r="F561" s="8">
        <v>96.0</v>
      </c>
      <c r="G561" s="9">
        <v>48.0</v>
      </c>
    </row>
    <row r="562" ht="14.25" hidden="1" customHeight="1">
      <c r="B562" s="7" t="s">
        <v>15</v>
      </c>
      <c r="C562" s="7" t="s">
        <v>7</v>
      </c>
      <c r="D562" s="7" t="s">
        <v>31</v>
      </c>
      <c r="E562" s="7" t="s">
        <v>35</v>
      </c>
      <c r="F562" s="8">
        <v>90.0</v>
      </c>
      <c r="G562" s="9">
        <v>45.0</v>
      </c>
    </row>
    <row r="563" ht="14.25" hidden="1" customHeight="1">
      <c r="B563" s="7" t="s">
        <v>15</v>
      </c>
      <c r="C563" s="7" t="s">
        <v>7</v>
      </c>
      <c r="D563" s="7" t="s">
        <v>33</v>
      </c>
      <c r="E563" s="7" t="s">
        <v>32</v>
      </c>
      <c r="F563" s="8">
        <v>86.0</v>
      </c>
      <c r="G563" s="9">
        <v>43.0</v>
      </c>
    </row>
    <row r="564" ht="14.25" hidden="1" customHeight="1">
      <c r="B564" s="7" t="s">
        <v>15</v>
      </c>
      <c r="C564" s="7" t="s">
        <v>30</v>
      </c>
      <c r="D564" s="7" t="s">
        <v>33</v>
      </c>
      <c r="E564" s="7" t="s">
        <v>8</v>
      </c>
      <c r="F564" s="8">
        <v>84.0</v>
      </c>
      <c r="G564" s="9">
        <v>42.0</v>
      </c>
    </row>
    <row r="565" ht="14.25" customHeight="1">
      <c r="B565" s="7" t="s">
        <v>15</v>
      </c>
      <c r="C565" s="7" t="s">
        <v>29</v>
      </c>
      <c r="D565" s="7" t="s">
        <v>8</v>
      </c>
      <c r="E565" s="7" t="s">
        <v>31</v>
      </c>
      <c r="F565" s="8">
        <v>84.0</v>
      </c>
      <c r="G565" s="9">
        <v>84.0</v>
      </c>
    </row>
    <row r="566" ht="14.25" hidden="1" customHeight="1">
      <c r="B566" s="7" t="s">
        <v>15</v>
      </c>
      <c r="C566" s="7" t="s">
        <v>7</v>
      </c>
      <c r="D566" s="7" t="s">
        <v>10</v>
      </c>
      <c r="E566" s="7" t="s">
        <v>28</v>
      </c>
      <c r="F566" s="8">
        <v>82.0</v>
      </c>
      <c r="G566" s="9">
        <v>41.0</v>
      </c>
    </row>
    <row r="567" ht="14.25" hidden="1" customHeight="1">
      <c r="B567" s="7" t="s">
        <v>15</v>
      </c>
      <c r="C567" s="7" t="s">
        <v>29</v>
      </c>
      <c r="D567" s="7" t="s">
        <v>8</v>
      </c>
      <c r="E567" s="7" t="s">
        <v>10</v>
      </c>
      <c r="F567" s="8">
        <v>80.0</v>
      </c>
      <c r="G567" s="9">
        <v>80.0</v>
      </c>
    </row>
    <row r="568" ht="14.25" hidden="1" customHeight="1">
      <c r="B568" s="7" t="s">
        <v>15</v>
      </c>
      <c r="C568" s="7" t="s">
        <v>29</v>
      </c>
      <c r="D568" s="7" t="s">
        <v>28</v>
      </c>
      <c r="E568" s="7" t="s">
        <v>8</v>
      </c>
      <c r="F568" s="8">
        <v>79.0</v>
      </c>
      <c r="G568" s="9">
        <v>79.0</v>
      </c>
    </row>
    <row r="569" ht="14.25" hidden="1" customHeight="1">
      <c r="B569" s="7" t="s">
        <v>15</v>
      </c>
      <c r="C569" s="7" t="s">
        <v>29</v>
      </c>
      <c r="D569" s="7" t="s">
        <v>8</v>
      </c>
      <c r="E569" s="7" t="s">
        <v>25</v>
      </c>
      <c r="F569" s="8">
        <v>79.0</v>
      </c>
      <c r="G569" s="9">
        <v>79.0</v>
      </c>
    </row>
    <row r="570" ht="14.25" hidden="1" customHeight="1">
      <c r="B570" s="7" t="s">
        <v>15</v>
      </c>
      <c r="C570" s="7" t="s">
        <v>7</v>
      </c>
      <c r="D570" s="7" t="s">
        <v>10</v>
      </c>
      <c r="E570" s="7" t="s">
        <v>9</v>
      </c>
      <c r="F570" s="8">
        <v>78.0</v>
      </c>
      <c r="G570" s="9">
        <v>39.0</v>
      </c>
    </row>
    <row r="571" ht="14.25" hidden="1" customHeight="1">
      <c r="B571" s="7" t="s">
        <v>15</v>
      </c>
      <c r="C571" s="7" t="s">
        <v>29</v>
      </c>
      <c r="D571" s="7" t="s">
        <v>24</v>
      </c>
      <c r="E571" s="7" t="s">
        <v>31</v>
      </c>
      <c r="F571" s="8">
        <v>77.0</v>
      </c>
      <c r="G571" s="9">
        <v>77.0</v>
      </c>
    </row>
    <row r="572" ht="14.25" hidden="1" customHeight="1">
      <c r="B572" s="7" t="s">
        <v>15</v>
      </c>
      <c r="C572" s="7" t="s">
        <v>29</v>
      </c>
      <c r="D572" s="7" t="s">
        <v>25</v>
      </c>
      <c r="E572" s="7" t="s">
        <v>8</v>
      </c>
      <c r="F572" s="8">
        <v>74.0</v>
      </c>
      <c r="G572" s="9">
        <v>74.0</v>
      </c>
    </row>
    <row r="573" ht="14.25" hidden="1" customHeight="1">
      <c r="B573" s="7" t="s">
        <v>15</v>
      </c>
      <c r="C573" s="7" t="s">
        <v>7</v>
      </c>
      <c r="D573" s="7" t="s">
        <v>10</v>
      </c>
      <c r="E573" s="7" t="s">
        <v>8</v>
      </c>
      <c r="F573" s="8">
        <v>74.0</v>
      </c>
      <c r="G573" s="9">
        <v>37.0</v>
      </c>
    </row>
    <row r="574" ht="14.25" hidden="1" customHeight="1">
      <c r="B574" s="7" t="s">
        <v>15</v>
      </c>
      <c r="C574" s="7" t="s">
        <v>29</v>
      </c>
      <c r="D574" s="7" t="s">
        <v>10</v>
      </c>
      <c r="E574" s="7" t="s">
        <v>28</v>
      </c>
      <c r="F574" s="8">
        <v>73.0</v>
      </c>
      <c r="G574" s="9">
        <v>73.0</v>
      </c>
    </row>
    <row r="575" ht="14.25" hidden="1" customHeight="1">
      <c r="B575" s="7" t="s">
        <v>15</v>
      </c>
      <c r="C575" s="7" t="s">
        <v>7</v>
      </c>
      <c r="D575" s="7" t="s">
        <v>24</v>
      </c>
      <c r="E575" s="7" t="s">
        <v>31</v>
      </c>
      <c r="F575" s="8">
        <v>72.0</v>
      </c>
      <c r="G575" s="9">
        <v>36.0</v>
      </c>
    </row>
    <row r="576" ht="14.25" hidden="1" customHeight="1">
      <c r="B576" s="7" t="s">
        <v>15</v>
      </c>
      <c r="C576" s="7" t="s">
        <v>29</v>
      </c>
      <c r="D576" s="7" t="s">
        <v>9</v>
      </c>
      <c r="E576" s="7" t="s">
        <v>25</v>
      </c>
      <c r="F576" s="8">
        <v>71.0</v>
      </c>
      <c r="G576" s="9">
        <v>71.0</v>
      </c>
    </row>
    <row r="577" ht="14.25" hidden="1" customHeight="1">
      <c r="B577" s="7" t="s">
        <v>15</v>
      </c>
      <c r="C577" s="7" t="s">
        <v>29</v>
      </c>
      <c r="D577" s="7" t="s">
        <v>9</v>
      </c>
      <c r="E577" s="7" t="s">
        <v>8</v>
      </c>
      <c r="F577" s="8">
        <v>71.0</v>
      </c>
      <c r="G577" s="9">
        <v>71.0</v>
      </c>
    </row>
    <row r="578" ht="14.25" hidden="1" customHeight="1">
      <c r="B578" s="7" t="s">
        <v>15</v>
      </c>
      <c r="C578" s="7" t="s">
        <v>29</v>
      </c>
      <c r="D578" s="7" t="s">
        <v>31</v>
      </c>
      <c r="E578" s="7" t="s">
        <v>25</v>
      </c>
      <c r="F578" s="8">
        <v>71.0</v>
      </c>
      <c r="G578" s="9">
        <v>71.0</v>
      </c>
    </row>
    <row r="579" ht="14.25" hidden="1" customHeight="1">
      <c r="B579" s="7" t="s">
        <v>15</v>
      </c>
      <c r="C579" s="7" t="s">
        <v>29</v>
      </c>
      <c r="D579" s="7" t="s">
        <v>8</v>
      </c>
      <c r="E579" s="7" t="s">
        <v>28</v>
      </c>
      <c r="F579" s="8">
        <v>71.0</v>
      </c>
      <c r="G579" s="9">
        <v>71.0</v>
      </c>
    </row>
    <row r="580" ht="14.25" hidden="1" customHeight="1">
      <c r="B580" s="7" t="s">
        <v>15</v>
      </c>
      <c r="C580" s="7" t="s">
        <v>7</v>
      </c>
      <c r="D580" s="7" t="s">
        <v>33</v>
      </c>
      <c r="E580" s="7" t="s">
        <v>31</v>
      </c>
      <c r="F580" s="8">
        <v>68.0</v>
      </c>
      <c r="G580" s="9">
        <v>34.0</v>
      </c>
    </row>
    <row r="581" ht="14.25" hidden="1" customHeight="1">
      <c r="B581" s="7" t="s">
        <v>15</v>
      </c>
      <c r="C581" s="7" t="s">
        <v>7</v>
      </c>
      <c r="D581" s="7" t="s">
        <v>32</v>
      </c>
      <c r="E581" s="7" t="s">
        <v>9</v>
      </c>
      <c r="F581" s="8">
        <v>68.0</v>
      </c>
      <c r="G581" s="9">
        <v>34.0</v>
      </c>
    </row>
    <row r="582" ht="14.25" hidden="1" customHeight="1">
      <c r="B582" s="7" t="s">
        <v>15</v>
      </c>
      <c r="C582" s="7" t="s">
        <v>29</v>
      </c>
      <c r="D582" s="7" t="s">
        <v>25</v>
      </c>
      <c r="E582" s="7" t="s">
        <v>10</v>
      </c>
      <c r="F582" s="8">
        <v>67.0</v>
      </c>
      <c r="G582" s="9">
        <v>67.0</v>
      </c>
    </row>
    <row r="583" ht="14.25" hidden="1" customHeight="1">
      <c r="B583" s="7" t="s">
        <v>15</v>
      </c>
      <c r="C583" s="7" t="s">
        <v>29</v>
      </c>
      <c r="D583" s="7" t="s">
        <v>11</v>
      </c>
      <c r="E583" s="7" t="s">
        <v>25</v>
      </c>
      <c r="F583" s="8">
        <v>67.0</v>
      </c>
      <c r="G583" s="9">
        <v>67.0</v>
      </c>
    </row>
    <row r="584" ht="14.25" hidden="1" customHeight="1">
      <c r="B584" s="7" t="s">
        <v>15</v>
      </c>
      <c r="C584" s="7" t="s">
        <v>29</v>
      </c>
      <c r="D584" s="7" t="s">
        <v>31</v>
      </c>
      <c r="E584" s="7" t="s">
        <v>10</v>
      </c>
      <c r="F584" s="8">
        <v>67.0</v>
      </c>
      <c r="G584" s="9">
        <v>67.0</v>
      </c>
    </row>
    <row r="585" ht="14.25" hidden="1" customHeight="1">
      <c r="B585" s="7" t="s">
        <v>15</v>
      </c>
      <c r="C585" s="7" t="s">
        <v>7</v>
      </c>
      <c r="D585" s="7" t="s">
        <v>10</v>
      </c>
      <c r="E585" s="7" t="s">
        <v>8</v>
      </c>
      <c r="F585" s="8">
        <v>66.0</v>
      </c>
      <c r="G585" s="9">
        <v>33.0</v>
      </c>
    </row>
    <row r="586" ht="14.25" hidden="1" customHeight="1">
      <c r="B586" s="7" t="s">
        <v>15</v>
      </c>
      <c r="C586" s="7" t="s">
        <v>7</v>
      </c>
      <c r="D586" s="7" t="s">
        <v>28</v>
      </c>
      <c r="E586" s="7" t="s">
        <v>31</v>
      </c>
      <c r="F586" s="8">
        <v>64.0</v>
      </c>
      <c r="G586" s="9">
        <v>32.0</v>
      </c>
    </row>
    <row r="587" ht="14.25" hidden="1" customHeight="1">
      <c r="B587" s="7" t="s">
        <v>15</v>
      </c>
      <c r="C587" s="7" t="s">
        <v>29</v>
      </c>
      <c r="D587" s="7" t="s">
        <v>8</v>
      </c>
      <c r="E587" s="7" t="s">
        <v>10</v>
      </c>
      <c r="F587" s="8">
        <v>64.0</v>
      </c>
      <c r="G587" s="9">
        <v>64.0</v>
      </c>
    </row>
    <row r="588" ht="14.25" hidden="1" customHeight="1">
      <c r="B588" s="7" t="s">
        <v>15</v>
      </c>
      <c r="C588" s="7" t="s">
        <v>7</v>
      </c>
      <c r="D588" s="7" t="s">
        <v>28</v>
      </c>
      <c r="E588" s="7" t="s">
        <v>10</v>
      </c>
      <c r="F588" s="8">
        <v>62.0</v>
      </c>
      <c r="G588" s="9">
        <v>31.0</v>
      </c>
    </row>
    <row r="589" ht="14.25" hidden="1" customHeight="1">
      <c r="B589" s="7" t="s">
        <v>15</v>
      </c>
      <c r="C589" s="7" t="s">
        <v>29</v>
      </c>
      <c r="D589" s="7" t="s">
        <v>11</v>
      </c>
      <c r="E589" s="7" t="s">
        <v>8</v>
      </c>
      <c r="F589" s="8">
        <v>62.0</v>
      </c>
      <c r="G589" s="9">
        <v>62.0</v>
      </c>
    </row>
    <row r="590" ht="14.25" hidden="1" customHeight="1">
      <c r="B590" s="7" t="s">
        <v>15</v>
      </c>
      <c r="C590" s="7" t="s">
        <v>29</v>
      </c>
      <c r="D590" s="7" t="s">
        <v>9</v>
      </c>
      <c r="E590" s="7" t="s">
        <v>31</v>
      </c>
      <c r="F590" s="8">
        <v>60.0</v>
      </c>
      <c r="G590" s="9">
        <v>60.0</v>
      </c>
    </row>
    <row r="591" ht="14.25" hidden="1" customHeight="1">
      <c r="B591" s="7" t="s">
        <v>15</v>
      </c>
      <c r="C591" s="7" t="s">
        <v>29</v>
      </c>
      <c r="D591" s="7" t="s">
        <v>28</v>
      </c>
      <c r="E591" s="7" t="s">
        <v>10</v>
      </c>
      <c r="F591" s="8">
        <v>59.0</v>
      </c>
      <c r="G591" s="9">
        <v>59.0</v>
      </c>
    </row>
    <row r="592" ht="14.25" hidden="1" customHeight="1">
      <c r="B592" s="7" t="s">
        <v>15</v>
      </c>
      <c r="C592" s="7" t="s">
        <v>29</v>
      </c>
      <c r="D592" s="7" t="s">
        <v>28</v>
      </c>
      <c r="E592" s="7" t="s">
        <v>25</v>
      </c>
      <c r="F592" s="8">
        <v>58.0</v>
      </c>
      <c r="G592" s="9">
        <v>58.0</v>
      </c>
    </row>
    <row r="593" ht="14.25" hidden="1" customHeight="1">
      <c r="B593" s="7" t="s">
        <v>15</v>
      </c>
      <c r="C593" s="7" t="s">
        <v>29</v>
      </c>
      <c r="D593" s="7" t="s">
        <v>32</v>
      </c>
      <c r="E593" s="7" t="s">
        <v>9</v>
      </c>
      <c r="F593" s="8">
        <v>58.0</v>
      </c>
      <c r="G593" s="9">
        <v>58.0</v>
      </c>
    </row>
    <row r="594" ht="14.25" hidden="1" customHeight="1">
      <c r="B594" s="7" t="s">
        <v>15</v>
      </c>
      <c r="C594" s="7" t="s">
        <v>30</v>
      </c>
      <c r="D594" s="7" t="s">
        <v>33</v>
      </c>
      <c r="E594" s="7" t="s">
        <v>9</v>
      </c>
      <c r="F594" s="8">
        <v>54.0</v>
      </c>
      <c r="G594" s="9">
        <v>27.0</v>
      </c>
    </row>
    <row r="595" ht="14.25" hidden="1" customHeight="1">
      <c r="B595" s="7" t="s">
        <v>15</v>
      </c>
      <c r="C595" s="7" t="s">
        <v>7</v>
      </c>
      <c r="D595" s="7" t="s">
        <v>11</v>
      </c>
      <c r="E595" s="7" t="s">
        <v>8</v>
      </c>
      <c r="F595" s="8">
        <v>54.0</v>
      </c>
      <c r="G595" s="9">
        <v>27.0</v>
      </c>
    </row>
    <row r="596" ht="14.25" hidden="1" customHeight="1">
      <c r="B596" s="7" t="s">
        <v>15</v>
      </c>
      <c r="C596" s="7" t="s">
        <v>29</v>
      </c>
      <c r="D596" s="7" t="s">
        <v>31</v>
      </c>
      <c r="E596" s="7" t="s">
        <v>31</v>
      </c>
      <c r="F596" s="8">
        <v>54.0</v>
      </c>
      <c r="G596" s="9">
        <v>54.0</v>
      </c>
    </row>
    <row r="597" ht="14.25" customHeight="1">
      <c r="B597" s="7" t="s">
        <v>15</v>
      </c>
      <c r="C597" s="7" t="s">
        <v>29</v>
      </c>
      <c r="D597" s="7" t="s">
        <v>8</v>
      </c>
      <c r="E597" s="7" t="s">
        <v>31</v>
      </c>
      <c r="F597" s="8">
        <v>54.0</v>
      </c>
      <c r="G597" s="9">
        <v>54.0</v>
      </c>
    </row>
    <row r="598" ht="14.25" hidden="1" customHeight="1">
      <c r="B598" s="7" t="s">
        <v>15</v>
      </c>
      <c r="C598" s="7" t="s">
        <v>29</v>
      </c>
      <c r="D598" s="7" t="s">
        <v>9</v>
      </c>
      <c r="E598" s="7" t="s">
        <v>25</v>
      </c>
      <c r="F598" s="8">
        <v>53.0</v>
      </c>
      <c r="G598" s="9">
        <v>53.0</v>
      </c>
    </row>
    <row r="599" ht="14.25" hidden="1" customHeight="1">
      <c r="B599" s="7" t="s">
        <v>15</v>
      </c>
      <c r="C599" s="7" t="s">
        <v>29</v>
      </c>
      <c r="D599" s="7" t="s">
        <v>8</v>
      </c>
      <c r="E599" s="7" t="s">
        <v>28</v>
      </c>
      <c r="F599" s="8">
        <v>53.0</v>
      </c>
      <c r="G599" s="9">
        <v>53.0</v>
      </c>
    </row>
    <row r="600" ht="14.25" hidden="1" customHeight="1">
      <c r="B600" s="7" t="s">
        <v>15</v>
      </c>
      <c r="C600" s="7" t="s">
        <v>29</v>
      </c>
      <c r="D600" s="7" t="s">
        <v>10</v>
      </c>
      <c r="E600" s="7" t="s">
        <v>33</v>
      </c>
      <c r="F600" s="8">
        <v>52.0</v>
      </c>
      <c r="G600" s="9">
        <v>52.0</v>
      </c>
    </row>
    <row r="601" ht="14.25" hidden="1" customHeight="1">
      <c r="B601" s="7" t="s">
        <v>15</v>
      </c>
      <c r="C601" s="7" t="s">
        <v>7</v>
      </c>
      <c r="D601" s="7" t="s">
        <v>8</v>
      </c>
      <c r="E601" s="7" t="s">
        <v>9</v>
      </c>
      <c r="F601" s="8">
        <v>52.0</v>
      </c>
      <c r="G601" s="9">
        <v>26.0</v>
      </c>
    </row>
    <row r="602" ht="14.25" hidden="1" customHeight="1">
      <c r="B602" s="7" t="s">
        <v>15</v>
      </c>
      <c r="C602" s="7" t="s">
        <v>29</v>
      </c>
      <c r="D602" s="7" t="s">
        <v>32</v>
      </c>
      <c r="E602" s="7" t="s">
        <v>8</v>
      </c>
      <c r="F602" s="8">
        <v>51.0</v>
      </c>
      <c r="G602" s="9">
        <v>51.0</v>
      </c>
    </row>
    <row r="603" ht="14.25" hidden="1" customHeight="1">
      <c r="B603" s="7" t="s">
        <v>15</v>
      </c>
      <c r="C603" s="7" t="s">
        <v>7</v>
      </c>
      <c r="D603" s="7" t="s">
        <v>33</v>
      </c>
      <c r="E603" s="7" t="s">
        <v>10</v>
      </c>
      <c r="F603" s="8">
        <v>50.0</v>
      </c>
      <c r="G603" s="9">
        <v>25.0</v>
      </c>
    </row>
    <row r="604" ht="14.25" hidden="1" customHeight="1">
      <c r="B604" s="7" t="s">
        <v>15</v>
      </c>
      <c r="C604" s="7" t="s">
        <v>7</v>
      </c>
      <c r="D604" s="7" t="s">
        <v>34</v>
      </c>
      <c r="E604" s="7" t="s">
        <v>8</v>
      </c>
      <c r="F604" s="8">
        <v>50.0</v>
      </c>
      <c r="G604" s="9">
        <v>25.0</v>
      </c>
    </row>
    <row r="605" ht="14.25" hidden="1" customHeight="1">
      <c r="B605" s="7" t="s">
        <v>15</v>
      </c>
      <c r="C605" s="7" t="s">
        <v>7</v>
      </c>
      <c r="D605" s="7" t="s">
        <v>33</v>
      </c>
      <c r="E605" s="7" t="s">
        <v>25</v>
      </c>
      <c r="F605" s="8">
        <v>48.0</v>
      </c>
      <c r="G605" s="9">
        <v>24.0</v>
      </c>
    </row>
    <row r="606" ht="14.25" hidden="1" customHeight="1">
      <c r="B606" s="7" t="s">
        <v>15</v>
      </c>
      <c r="C606" s="7" t="s">
        <v>7</v>
      </c>
      <c r="D606" s="7" t="s">
        <v>11</v>
      </c>
      <c r="E606" s="7" t="s">
        <v>10</v>
      </c>
      <c r="F606" s="8">
        <v>48.0</v>
      </c>
      <c r="G606" s="9">
        <v>24.0</v>
      </c>
    </row>
    <row r="607" ht="14.25" hidden="1" customHeight="1">
      <c r="B607" s="7" t="s">
        <v>15</v>
      </c>
      <c r="C607" s="7" t="s">
        <v>7</v>
      </c>
      <c r="D607" s="7" t="s">
        <v>32</v>
      </c>
      <c r="E607" s="7" t="s">
        <v>8</v>
      </c>
      <c r="F607" s="8">
        <v>48.0</v>
      </c>
      <c r="G607" s="9">
        <v>24.0</v>
      </c>
    </row>
    <row r="608" ht="14.25" hidden="1" customHeight="1">
      <c r="B608" s="7" t="s">
        <v>15</v>
      </c>
      <c r="C608" s="7" t="s">
        <v>7</v>
      </c>
      <c r="D608" s="7" t="s">
        <v>8</v>
      </c>
      <c r="E608" s="7" t="s">
        <v>25</v>
      </c>
      <c r="F608" s="8">
        <v>48.0</v>
      </c>
      <c r="G608" s="9">
        <v>48.0</v>
      </c>
    </row>
    <row r="609" ht="14.25" hidden="1" customHeight="1">
      <c r="B609" s="7" t="s">
        <v>15</v>
      </c>
      <c r="C609" s="7" t="s">
        <v>7</v>
      </c>
      <c r="D609" s="7" t="s">
        <v>28</v>
      </c>
      <c r="E609" s="7" t="s">
        <v>33</v>
      </c>
      <c r="F609" s="8">
        <v>44.0</v>
      </c>
      <c r="G609" s="9">
        <v>22.0</v>
      </c>
    </row>
    <row r="610" ht="14.25" hidden="1" customHeight="1">
      <c r="B610" s="7" t="s">
        <v>15</v>
      </c>
      <c r="C610" s="7" t="s">
        <v>7</v>
      </c>
      <c r="D610" s="7" t="s">
        <v>28</v>
      </c>
      <c r="E610" s="7" t="s">
        <v>32</v>
      </c>
      <c r="F610" s="8">
        <v>44.0</v>
      </c>
      <c r="G610" s="9">
        <v>22.0</v>
      </c>
    </row>
    <row r="611" ht="14.25" hidden="1" customHeight="1">
      <c r="B611" s="7" t="s">
        <v>15</v>
      </c>
      <c r="C611" s="7" t="s">
        <v>7</v>
      </c>
      <c r="D611" s="7" t="s">
        <v>24</v>
      </c>
      <c r="E611" s="7" t="s">
        <v>31</v>
      </c>
      <c r="F611" s="8">
        <v>44.0</v>
      </c>
      <c r="G611" s="9">
        <v>22.0</v>
      </c>
    </row>
    <row r="612" ht="14.25" hidden="1" customHeight="1">
      <c r="B612" s="7" t="s">
        <v>15</v>
      </c>
      <c r="C612" s="7" t="s">
        <v>29</v>
      </c>
      <c r="D612" s="7" t="s">
        <v>11</v>
      </c>
      <c r="E612" s="7" t="s">
        <v>8</v>
      </c>
      <c r="F612" s="8">
        <v>43.0</v>
      </c>
      <c r="G612" s="9">
        <v>43.0</v>
      </c>
    </row>
    <row r="613" ht="14.25" hidden="1" customHeight="1">
      <c r="B613" s="7" t="s">
        <v>15</v>
      </c>
      <c r="C613" s="7" t="s">
        <v>7</v>
      </c>
      <c r="D613" s="7" t="s">
        <v>9</v>
      </c>
      <c r="E613" s="7" t="s">
        <v>28</v>
      </c>
      <c r="F613" s="8">
        <v>42.0</v>
      </c>
      <c r="G613" s="9">
        <v>21.0</v>
      </c>
    </row>
    <row r="614" ht="14.25" hidden="1" customHeight="1">
      <c r="B614" s="7" t="s">
        <v>15</v>
      </c>
      <c r="C614" s="7" t="s">
        <v>29</v>
      </c>
      <c r="D614" s="7" t="s">
        <v>10</v>
      </c>
      <c r="E614" s="7" t="s">
        <v>8</v>
      </c>
      <c r="F614" s="8">
        <v>42.0</v>
      </c>
      <c r="G614" s="9">
        <v>42.0</v>
      </c>
    </row>
    <row r="615" ht="14.25" hidden="1" customHeight="1">
      <c r="B615" s="7" t="s">
        <v>15</v>
      </c>
      <c r="C615" s="7" t="s">
        <v>7</v>
      </c>
      <c r="D615" s="7" t="s">
        <v>31</v>
      </c>
      <c r="E615" s="7" t="s">
        <v>8</v>
      </c>
      <c r="F615" s="8">
        <v>42.0</v>
      </c>
      <c r="G615" s="9">
        <v>21.0</v>
      </c>
    </row>
    <row r="616" ht="14.25" hidden="1" customHeight="1">
      <c r="B616" s="7" t="s">
        <v>15</v>
      </c>
      <c r="C616" s="7" t="s">
        <v>7</v>
      </c>
      <c r="D616" s="7" t="s">
        <v>9</v>
      </c>
      <c r="E616" s="7" t="s">
        <v>35</v>
      </c>
      <c r="F616" s="8">
        <v>40.0</v>
      </c>
      <c r="G616" s="9">
        <v>20.0</v>
      </c>
    </row>
    <row r="617" ht="14.25" hidden="1" customHeight="1">
      <c r="B617" s="7" t="s">
        <v>15</v>
      </c>
      <c r="C617" s="7" t="s">
        <v>29</v>
      </c>
      <c r="D617" s="7" t="s">
        <v>33</v>
      </c>
      <c r="E617" s="7" t="s">
        <v>32</v>
      </c>
      <c r="F617" s="8">
        <v>38.0</v>
      </c>
      <c r="G617" s="9">
        <v>38.0</v>
      </c>
    </row>
    <row r="618" ht="14.25" hidden="1" customHeight="1">
      <c r="B618" s="7" t="s">
        <v>15</v>
      </c>
      <c r="C618" s="7" t="s">
        <v>30</v>
      </c>
      <c r="D618" s="7" t="s">
        <v>34</v>
      </c>
      <c r="E618" s="7" t="s">
        <v>28</v>
      </c>
      <c r="F618" s="8">
        <v>38.0</v>
      </c>
      <c r="G618" s="9">
        <v>19.0</v>
      </c>
    </row>
    <row r="619" ht="14.25" hidden="1" customHeight="1">
      <c r="B619" s="7" t="s">
        <v>15</v>
      </c>
      <c r="C619" s="7" t="s">
        <v>29</v>
      </c>
      <c r="D619" s="7" t="s">
        <v>32</v>
      </c>
      <c r="E619" s="7" t="s">
        <v>8</v>
      </c>
      <c r="F619" s="8">
        <v>38.0</v>
      </c>
      <c r="G619" s="9">
        <v>38.0</v>
      </c>
    </row>
    <row r="620" ht="14.25" hidden="1" customHeight="1">
      <c r="B620" s="7" t="s">
        <v>15</v>
      </c>
      <c r="C620" s="7" t="s">
        <v>7</v>
      </c>
      <c r="D620" s="7" t="s">
        <v>8</v>
      </c>
      <c r="E620" s="7" t="s">
        <v>28</v>
      </c>
      <c r="F620" s="8">
        <v>38.0</v>
      </c>
      <c r="G620" s="9">
        <v>19.0</v>
      </c>
    </row>
    <row r="621" ht="14.25" hidden="1" customHeight="1">
      <c r="B621" s="7" t="s">
        <v>15</v>
      </c>
      <c r="C621" s="7" t="s">
        <v>29</v>
      </c>
      <c r="D621" s="7" t="s">
        <v>9</v>
      </c>
      <c r="E621" s="7" t="s">
        <v>25</v>
      </c>
      <c r="F621" s="8">
        <v>36.0</v>
      </c>
      <c r="G621" s="9">
        <v>36.0</v>
      </c>
    </row>
    <row r="622" ht="14.25" hidden="1" customHeight="1">
      <c r="B622" s="7" t="s">
        <v>15</v>
      </c>
      <c r="C622" s="7" t="s">
        <v>29</v>
      </c>
      <c r="D622" s="7" t="s">
        <v>32</v>
      </c>
      <c r="E622" s="7" t="s">
        <v>8</v>
      </c>
      <c r="F622" s="8">
        <v>35.0</v>
      </c>
      <c r="G622" s="9">
        <v>35.0</v>
      </c>
    </row>
    <row r="623" ht="14.25" hidden="1" customHeight="1">
      <c r="B623" s="7" t="s">
        <v>15</v>
      </c>
      <c r="C623" s="7" t="s">
        <v>29</v>
      </c>
      <c r="D623" s="7" t="s">
        <v>8</v>
      </c>
      <c r="E623" s="7" t="s">
        <v>33</v>
      </c>
      <c r="F623" s="8">
        <v>35.0</v>
      </c>
      <c r="G623" s="9">
        <v>35.0</v>
      </c>
    </row>
    <row r="624" ht="14.25" hidden="1" customHeight="1">
      <c r="B624" s="7" t="s">
        <v>15</v>
      </c>
      <c r="C624" s="7" t="s">
        <v>7</v>
      </c>
      <c r="D624" s="7" t="s">
        <v>9</v>
      </c>
      <c r="E624" s="7" t="s">
        <v>31</v>
      </c>
      <c r="F624" s="8">
        <v>34.0</v>
      </c>
      <c r="G624" s="9">
        <v>17.0</v>
      </c>
    </row>
    <row r="625" ht="14.25" hidden="1" customHeight="1">
      <c r="B625" s="7" t="s">
        <v>15</v>
      </c>
      <c r="C625" s="7" t="s">
        <v>30</v>
      </c>
      <c r="D625" s="7" t="s">
        <v>10</v>
      </c>
      <c r="E625" s="7" t="s">
        <v>31</v>
      </c>
      <c r="F625" s="8">
        <v>34.0</v>
      </c>
      <c r="G625" s="9">
        <v>17.0</v>
      </c>
    </row>
    <row r="626" ht="14.25" hidden="1" customHeight="1">
      <c r="B626" s="7" t="s">
        <v>15</v>
      </c>
      <c r="C626" s="7" t="s">
        <v>29</v>
      </c>
      <c r="D626" s="7" t="s">
        <v>31</v>
      </c>
      <c r="E626" s="7" t="s">
        <v>31</v>
      </c>
      <c r="F626" s="8">
        <v>34.0</v>
      </c>
      <c r="G626" s="9">
        <v>34.0</v>
      </c>
    </row>
    <row r="627" ht="14.25" hidden="1" customHeight="1">
      <c r="B627" s="7" t="s">
        <v>15</v>
      </c>
      <c r="C627" s="7" t="s">
        <v>7</v>
      </c>
      <c r="D627" s="7" t="s">
        <v>8</v>
      </c>
      <c r="E627" s="7" t="s">
        <v>28</v>
      </c>
      <c r="F627" s="8">
        <v>34.0</v>
      </c>
      <c r="G627" s="9">
        <v>17.0</v>
      </c>
    </row>
    <row r="628" ht="14.25" customHeight="1">
      <c r="B628" s="7" t="s">
        <v>15</v>
      </c>
      <c r="C628" s="7" t="s">
        <v>7</v>
      </c>
      <c r="D628" s="7" t="s">
        <v>8</v>
      </c>
      <c r="E628" s="7" t="s">
        <v>31</v>
      </c>
      <c r="F628" s="8">
        <v>34.0</v>
      </c>
      <c r="G628" s="9">
        <v>17.0</v>
      </c>
    </row>
    <row r="629" ht="14.25" hidden="1" customHeight="1">
      <c r="B629" s="7" t="s">
        <v>15</v>
      </c>
      <c r="C629" s="7" t="s">
        <v>29</v>
      </c>
      <c r="D629" s="7" t="s">
        <v>25</v>
      </c>
      <c r="E629" s="7" t="s">
        <v>9</v>
      </c>
      <c r="F629" s="8">
        <v>32.0</v>
      </c>
      <c r="G629" s="9">
        <v>32.0</v>
      </c>
    </row>
    <row r="630" ht="14.25" hidden="1" customHeight="1">
      <c r="B630" s="7" t="s">
        <v>15</v>
      </c>
      <c r="C630" s="7" t="s">
        <v>30</v>
      </c>
      <c r="D630" s="7" t="s">
        <v>10</v>
      </c>
      <c r="E630" s="7" t="s">
        <v>8</v>
      </c>
      <c r="F630" s="8">
        <v>32.0</v>
      </c>
      <c r="G630" s="9">
        <v>16.0</v>
      </c>
    </row>
    <row r="631" ht="14.25" hidden="1" customHeight="1">
      <c r="B631" s="7" t="s">
        <v>15</v>
      </c>
      <c r="C631" s="7" t="s">
        <v>30</v>
      </c>
      <c r="D631" s="7" t="s">
        <v>8</v>
      </c>
      <c r="E631" s="7" t="s">
        <v>33</v>
      </c>
      <c r="F631" s="8">
        <v>32.0</v>
      </c>
      <c r="G631" s="9">
        <v>16.0</v>
      </c>
    </row>
    <row r="632" ht="14.25" hidden="1" customHeight="1">
      <c r="B632" s="7" t="s">
        <v>15</v>
      </c>
      <c r="C632" s="7" t="s">
        <v>30</v>
      </c>
      <c r="D632" s="7" t="s">
        <v>33</v>
      </c>
      <c r="E632" s="7" t="s">
        <v>28</v>
      </c>
      <c r="F632" s="8">
        <v>30.0</v>
      </c>
      <c r="G632" s="9">
        <v>15.0</v>
      </c>
    </row>
    <row r="633" ht="14.25" hidden="1" customHeight="1">
      <c r="B633" s="7" t="s">
        <v>15</v>
      </c>
      <c r="C633" s="7" t="s">
        <v>30</v>
      </c>
      <c r="D633" s="7" t="s">
        <v>28</v>
      </c>
      <c r="E633" s="7" t="s">
        <v>8</v>
      </c>
      <c r="F633" s="8">
        <v>30.0</v>
      </c>
      <c r="G633" s="9">
        <v>15.0</v>
      </c>
    </row>
    <row r="634" ht="14.25" hidden="1" customHeight="1">
      <c r="B634" s="7" t="s">
        <v>15</v>
      </c>
      <c r="C634" s="7" t="s">
        <v>7</v>
      </c>
      <c r="D634" s="7" t="s">
        <v>11</v>
      </c>
      <c r="E634" s="7" t="s">
        <v>25</v>
      </c>
      <c r="F634" s="8">
        <v>30.0</v>
      </c>
      <c r="G634" s="9">
        <v>15.0</v>
      </c>
    </row>
    <row r="635" ht="14.25" hidden="1" customHeight="1">
      <c r="B635" s="7" t="s">
        <v>15</v>
      </c>
      <c r="C635" s="7" t="s">
        <v>29</v>
      </c>
      <c r="D635" s="7" t="s">
        <v>9</v>
      </c>
      <c r="E635" s="7" t="s">
        <v>8</v>
      </c>
      <c r="F635" s="8">
        <v>30.0</v>
      </c>
      <c r="G635" s="9">
        <v>30.0</v>
      </c>
    </row>
    <row r="636" ht="14.25" hidden="1" customHeight="1">
      <c r="B636" s="7" t="s">
        <v>15</v>
      </c>
      <c r="C636" s="7" t="s">
        <v>7</v>
      </c>
      <c r="D636" s="7" t="s">
        <v>10</v>
      </c>
      <c r="E636" s="7" t="s">
        <v>31</v>
      </c>
      <c r="F636" s="8">
        <v>30.0</v>
      </c>
      <c r="G636" s="9">
        <v>15.0</v>
      </c>
    </row>
    <row r="637" ht="14.25" hidden="1" customHeight="1">
      <c r="B637" s="7" t="s">
        <v>15</v>
      </c>
      <c r="C637" s="7" t="s">
        <v>29</v>
      </c>
      <c r="D637" s="7" t="s">
        <v>31</v>
      </c>
      <c r="E637" s="7" t="s">
        <v>25</v>
      </c>
      <c r="F637" s="8">
        <v>29.0</v>
      </c>
      <c r="G637" s="9">
        <v>29.0</v>
      </c>
    </row>
    <row r="638" ht="14.25" hidden="1" customHeight="1">
      <c r="B638" s="7" t="s">
        <v>15</v>
      </c>
      <c r="C638" s="7" t="s">
        <v>29</v>
      </c>
      <c r="D638" s="7" t="s">
        <v>34</v>
      </c>
      <c r="E638" s="7" t="s">
        <v>28</v>
      </c>
      <c r="F638" s="8">
        <v>28.0</v>
      </c>
      <c r="G638" s="9">
        <v>28.0</v>
      </c>
    </row>
    <row r="639" ht="14.25" hidden="1" customHeight="1">
      <c r="B639" s="7" t="s">
        <v>15</v>
      </c>
      <c r="C639" s="7" t="s">
        <v>7</v>
      </c>
      <c r="D639" s="7" t="s">
        <v>32</v>
      </c>
      <c r="E639" s="7" t="s">
        <v>28</v>
      </c>
      <c r="F639" s="8">
        <v>28.0</v>
      </c>
      <c r="G639" s="9">
        <v>14.0</v>
      </c>
    </row>
    <row r="640" ht="14.25" hidden="1" customHeight="1">
      <c r="B640" s="7" t="s">
        <v>15</v>
      </c>
      <c r="C640" s="7" t="s">
        <v>29</v>
      </c>
      <c r="D640" s="7" t="s">
        <v>31</v>
      </c>
      <c r="E640" s="7" t="s">
        <v>31</v>
      </c>
      <c r="F640" s="8">
        <v>27.0</v>
      </c>
      <c r="G640" s="9">
        <v>27.0</v>
      </c>
    </row>
    <row r="641" ht="14.25" hidden="1" customHeight="1">
      <c r="B641" s="7" t="s">
        <v>15</v>
      </c>
      <c r="C641" s="7" t="s">
        <v>29</v>
      </c>
      <c r="D641" s="7" t="s">
        <v>25</v>
      </c>
      <c r="E641" s="7" t="s">
        <v>28</v>
      </c>
      <c r="F641" s="8">
        <v>26.0</v>
      </c>
      <c r="G641" s="9">
        <v>26.0</v>
      </c>
    </row>
    <row r="642" ht="14.25" hidden="1" customHeight="1">
      <c r="B642" s="7" t="s">
        <v>15</v>
      </c>
      <c r="C642" s="7" t="s">
        <v>7</v>
      </c>
      <c r="D642" s="7" t="s">
        <v>28</v>
      </c>
      <c r="E642" s="7" t="s">
        <v>35</v>
      </c>
      <c r="F642" s="8">
        <v>26.0</v>
      </c>
      <c r="G642" s="9">
        <v>13.0</v>
      </c>
    </row>
    <row r="643" ht="14.25" hidden="1" customHeight="1">
      <c r="B643" s="7" t="s">
        <v>15</v>
      </c>
      <c r="C643" s="7" t="s">
        <v>30</v>
      </c>
      <c r="D643" s="7" t="s">
        <v>31</v>
      </c>
      <c r="E643" s="7" t="s">
        <v>8</v>
      </c>
      <c r="F643" s="8">
        <v>26.0</v>
      </c>
      <c r="G643" s="9">
        <v>13.0</v>
      </c>
    </row>
    <row r="644" ht="14.25" hidden="1" customHeight="1">
      <c r="B644" s="7" t="s">
        <v>15</v>
      </c>
      <c r="C644" s="7" t="s">
        <v>7</v>
      </c>
      <c r="D644" s="7" t="s">
        <v>8</v>
      </c>
      <c r="E644" s="7" t="s">
        <v>28</v>
      </c>
      <c r="F644" s="8">
        <v>26.0</v>
      </c>
      <c r="G644" s="9">
        <v>13.0</v>
      </c>
    </row>
    <row r="645" ht="14.25" hidden="1" customHeight="1">
      <c r="B645" s="7" t="s">
        <v>15</v>
      </c>
      <c r="C645" s="7" t="s">
        <v>29</v>
      </c>
      <c r="D645" s="7" t="s">
        <v>33</v>
      </c>
      <c r="E645" s="7" t="s">
        <v>9</v>
      </c>
      <c r="F645" s="8">
        <v>25.0</v>
      </c>
      <c r="G645" s="9">
        <v>25.0</v>
      </c>
    </row>
    <row r="646" ht="14.25" hidden="1" customHeight="1">
      <c r="B646" s="7" t="s">
        <v>15</v>
      </c>
      <c r="C646" s="7" t="s">
        <v>29</v>
      </c>
      <c r="D646" s="7" t="s">
        <v>33</v>
      </c>
      <c r="E646" s="7" t="s">
        <v>8</v>
      </c>
      <c r="F646" s="8">
        <v>25.0</v>
      </c>
      <c r="G646" s="9">
        <v>25.0</v>
      </c>
    </row>
    <row r="647" ht="14.25" hidden="1" customHeight="1">
      <c r="B647" s="7" t="s">
        <v>15</v>
      </c>
      <c r="C647" s="7" t="s">
        <v>30</v>
      </c>
      <c r="D647" s="7" t="s">
        <v>31</v>
      </c>
      <c r="E647" s="7" t="s">
        <v>24</v>
      </c>
      <c r="F647" s="8">
        <v>24.0</v>
      </c>
      <c r="G647" s="9">
        <v>12.0</v>
      </c>
    </row>
    <row r="648" ht="14.25" hidden="1" customHeight="1">
      <c r="B648" s="7" t="s">
        <v>15</v>
      </c>
      <c r="C648" s="7" t="s">
        <v>7</v>
      </c>
      <c r="D648" s="7" t="s">
        <v>31</v>
      </c>
      <c r="E648" s="7" t="s">
        <v>10</v>
      </c>
      <c r="F648" s="8">
        <v>24.0</v>
      </c>
      <c r="G648" s="9">
        <v>12.0</v>
      </c>
    </row>
    <row r="649" ht="14.25" hidden="1" customHeight="1">
      <c r="B649" s="7" t="s">
        <v>15</v>
      </c>
      <c r="C649" s="7" t="s">
        <v>29</v>
      </c>
      <c r="D649" s="7" t="s">
        <v>25</v>
      </c>
      <c r="E649" s="7" t="s">
        <v>31</v>
      </c>
      <c r="F649" s="8">
        <v>23.0</v>
      </c>
      <c r="G649" s="9">
        <v>23.0</v>
      </c>
    </row>
    <row r="650" ht="14.25" hidden="1" customHeight="1">
      <c r="B650" s="7" t="s">
        <v>15</v>
      </c>
      <c r="C650" s="7" t="s">
        <v>29</v>
      </c>
      <c r="D650" s="7" t="s">
        <v>10</v>
      </c>
      <c r="E650" s="7" t="s">
        <v>25</v>
      </c>
      <c r="F650" s="8">
        <v>23.0</v>
      </c>
      <c r="G650" s="9">
        <v>23.0</v>
      </c>
    </row>
    <row r="651" ht="14.25" hidden="1" customHeight="1">
      <c r="B651" s="7" t="s">
        <v>15</v>
      </c>
      <c r="C651" s="7" t="s">
        <v>30</v>
      </c>
      <c r="D651" s="7" t="s">
        <v>10</v>
      </c>
      <c r="E651" s="7" t="s">
        <v>33</v>
      </c>
      <c r="F651" s="8">
        <v>22.0</v>
      </c>
      <c r="G651" s="9">
        <v>11.0</v>
      </c>
    </row>
    <row r="652" ht="14.25" hidden="1" customHeight="1">
      <c r="B652" s="7" t="s">
        <v>15</v>
      </c>
      <c r="C652" s="7" t="s">
        <v>7</v>
      </c>
      <c r="D652" s="7" t="s">
        <v>31</v>
      </c>
      <c r="E652" s="7" t="s">
        <v>9</v>
      </c>
      <c r="F652" s="8">
        <v>22.0</v>
      </c>
      <c r="G652" s="9">
        <v>11.0</v>
      </c>
    </row>
    <row r="653" ht="14.25" hidden="1" customHeight="1">
      <c r="B653" s="7" t="s">
        <v>15</v>
      </c>
      <c r="C653" s="7" t="s">
        <v>7</v>
      </c>
      <c r="D653" s="7" t="s">
        <v>31</v>
      </c>
      <c r="E653" s="7" t="s">
        <v>9</v>
      </c>
      <c r="F653" s="8">
        <v>22.0</v>
      </c>
      <c r="G653" s="9">
        <v>11.0</v>
      </c>
    </row>
    <row r="654" ht="14.25" hidden="1" customHeight="1">
      <c r="B654" s="7" t="s">
        <v>15</v>
      </c>
      <c r="C654" s="7" t="s">
        <v>7</v>
      </c>
      <c r="D654" s="7" t="s">
        <v>31</v>
      </c>
      <c r="E654" s="7" t="s">
        <v>8</v>
      </c>
      <c r="F654" s="8">
        <v>22.0</v>
      </c>
      <c r="G654" s="9">
        <v>11.0</v>
      </c>
    </row>
    <row r="655" ht="14.25" hidden="1" customHeight="1">
      <c r="B655" s="7" t="s">
        <v>15</v>
      </c>
      <c r="C655" s="7" t="s">
        <v>7</v>
      </c>
      <c r="D655" s="7" t="s">
        <v>8</v>
      </c>
      <c r="E655" s="7" t="s">
        <v>28</v>
      </c>
      <c r="F655" s="8">
        <v>22.0</v>
      </c>
      <c r="G655" s="9">
        <v>11.0</v>
      </c>
    </row>
    <row r="656" ht="14.25" hidden="1" customHeight="1">
      <c r="B656" s="7" t="s">
        <v>15</v>
      </c>
      <c r="C656" s="7" t="s">
        <v>29</v>
      </c>
      <c r="D656" s="7" t="s">
        <v>33</v>
      </c>
      <c r="E656" s="7" t="s">
        <v>28</v>
      </c>
      <c r="F656" s="8">
        <v>21.0</v>
      </c>
      <c r="G656" s="9">
        <v>21.0</v>
      </c>
    </row>
    <row r="657" ht="14.25" hidden="1" customHeight="1">
      <c r="B657" s="7" t="s">
        <v>15</v>
      </c>
      <c r="C657" s="7" t="s">
        <v>30</v>
      </c>
      <c r="D657" s="7" t="s">
        <v>33</v>
      </c>
      <c r="E657" s="7" t="s">
        <v>10</v>
      </c>
      <c r="F657" s="8">
        <v>20.0</v>
      </c>
      <c r="G657" s="9">
        <v>10.0</v>
      </c>
    </row>
    <row r="658" ht="14.25" hidden="1" customHeight="1">
      <c r="B658" s="7" t="s">
        <v>15</v>
      </c>
      <c r="C658" s="7" t="s">
        <v>29</v>
      </c>
      <c r="D658" s="7" t="s">
        <v>11</v>
      </c>
      <c r="E658" s="7" t="s">
        <v>10</v>
      </c>
      <c r="F658" s="8">
        <v>20.0</v>
      </c>
      <c r="G658" s="9">
        <v>20.0</v>
      </c>
    </row>
    <row r="659" ht="14.25" hidden="1" customHeight="1">
      <c r="B659" s="7" t="s">
        <v>15</v>
      </c>
      <c r="C659" s="7" t="s">
        <v>29</v>
      </c>
      <c r="D659" s="7" t="s">
        <v>9</v>
      </c>
      <c r="E659" s="7" t="s">
        <v>31</v>
      </c>
      <c r="F659" s="8">
        <v>20.0</v>
      </c>
      <c r="G659" s="9">
        <v>20.0</v>
      </c>
    </row>
    <row r="660" ht="14.25" hidden="1" customHeight="1">
      <c r="B660" s="7" t="s">
        <v>15</v>
      </c>
      <c r="C660" s="7" t="s">
        <v>7</v>
      </c>
      <c r="D660" s="7" t="s">
        <v>10</v>
      </c>
      <c r="E660" s="7" t="s">
        <v>9</v>
      </c>
      <c r="F660" s="8">
        <v>20.0</v>
      </c>
      <c r="G660" s="9">
        <v>10.0</v>
      </c>
    </row>
    <row r="661" ht="14.25" hidden="1" customHeight="1">
      <c r="B661" s="7" t="s">
        <v>15</v>
      </c>
      <c r="C661" s="7" t="s">
        <v>7</v>
      </c>
      <c r="D661" s="7" t="s">
        <v>32</v>
      </c>
      <c r="E661" s="7" t="s">
        <v>35</v>
      </c>
      <c r="F661" s="8">
        <v>20.0</v>
      </c>
      <c r="G661" s="9">
        <v>10.0</v>
      </c>
    </row>
    <row r="662" ht="14.25" hidden="1" customHeight="1">
      <c r="B662" s="7" t="s">
        <v>15</v>
      </c>
      <c r="C662" s="7" t="s">
        <v>7</v>
      </c>
      <c r="D662" s="7" t="s">
        <v>32</v>
      </c>
      <c r="E662" s="7" t="s">
        <v>8</v>
      </c>
      <c r="F662" s="8">
        <v>20.0</v>
      </c>
      <c r="G662" s="9">
        <v>10.0</v>
      </c>
    </row>
    <row r="663" ht="14.25" hidden="1" customHeight="1">
      <c r="B663" s="7" t="s">
        <v>15</v>
      </c>
      <c r="C663" s="7" t="s">
        <v>7</v>
      </c>
      <c r="D663" s="7" t="s">
        <v>31</v>
      </c>
      <c r="E663" s="7" t="s">
        <v>10</v>
      </c>
      <c r="F663" s="8">
        <v>20.0</v>
      </c>
      <c r="G663" s="9">
        <v>10.0</v>
      </c>
    </row>
    <row r="664" ht="14.25" hidden="1" customHeight="1">
      <c r="B664" s="7" t="s">
        <v>15</v>
      </c>
      <c r="C664" s="7" t="s">
        <v>7</v>
      </c>
      <c r="D664" s="7" t="s">
        <v>8</v>
      </c>
      <c r="E664" s="7" t="s">
        <v>9</v>
      </c>
      <c r="F664" s="8">
        <v>20.0</v>
      </c>
      <c r="G664" s="9">
        <v>20.0</v>
      </c>
    </row>
    <row r="665" ht="14.25" hidden="1" customHeight="1">
      <c r="B665" s="7" t="s">
        <v>15</v>
      </c>
      <c r="C665" s="7" t="s">
        <v>7</v>
      </c>
      <c r="D665" s="7" t="s">
        <v>8</v>
      </c>
      <c r="E665" s="7" t="s">
        <v>10</v>
      </c>
      <c r="F665" s="8">
        <v>20.0</v>
      </c>
      <c r="G665" s="9">
        <v>10.0</v>
      </c>
    </row>
    <row r="666" ht="14.25" hidden="1" customHeight="1">
      <c r="B666" s="7" t="s">
        <v>15</v>
      </c>
      <c r="C666" s="7" t="s">
        <v>29</v>
      </c>
      <c r="D666" s="7" t="s">
        <v>25</v>
      </c>
      <c r="E666" s="7" t="s">
        <v>33</v>
      </c>
      <c r="F666" s="8">
        <v>18.0</v>
      </c>
      <c r="G666" s="9">
        <v>18.0</v>
      </c>
    </row>
    <row r="667" ht="14.25" hidden="1" customHeight="1">
      <c r="B667" s="7" t="s">
        <v>15</v>
      </c>
      <c r="C667" s="7" t="s">
        <v>29</v>
      </c>
      <c r="D667" s="7" t="s">
        <v>25</v>
      </c>
      <c r="E667" s="7" t="s">
        <v>28</v>
      </c>
      <c r="F667" s="8">
        <v>18.0</v>
      </c>
      <c r="G667" s="9">
        <v>18.0</v>
      </c>
    </row>
    <row r="668" ht="14.25" hidden="1" customHeight="1">
      <c r="B668" s="7" t="s">
        <v>15</v>
      </c>
      <c r="C668" s="7" t="s">
        <v>7</v>
      </c>
      <c r="D668" s="7" t="s">
        <v>33</v>
      </c>
      <c r="E668" s="7" t="s">
        <v>8</v>
      </c>
      <c r="F668" s="8">
        <v>18.0</v>
      </c>
      <c r="G668" s="9">
        <v>9.0</v>
      </c>
    </row>
    <row r="669" ht="14.25" hidden="1" customHeight="1">
      <c r="B669" s="7" t="s">
        <v>15</v>
      </c>
      <c r="C669" s="7" t="s">
        <v>7</v>
      </c>
      <c r="D669" s="7" t="s">
        <v>9</v>
      </c>
      <c r="E669" s="7" t="s">
        <v>8</v>
      </c>
      <c r="F669" s="8">
        <v>18.0</v>
      </c>
      <c r="G669" s="9">
        <v>9.0</v>
      </c>
    </row>
    <row r="670" ht="14.25" hidden="1" customHeight="1">
      <c r="B670" s="7" t="s">
        <v>15</v>
      </c>
      <c r="C670" s="7" t="s">
        <v>29</v>
      </c>
      <c r="D670" s="7" t="s">
        <v>10</v>
      </c>
      <c r="E670" s="7" t="s">
        <v>8</v>
      </c>
      <c r="F670" s="8">
        <v>18.0</v>
      </c>
      <c r="G670" s="9">
        <v>18.0</v>
      </c>
    </row>
    <row r="671" ht="14.25" hidden="1" customHeight="1">
      <c r="B671" s="7" t="s">
        <v>15</v>
      </c>
      <c r="C671" s="7" t="s">
        <v>30</v>
      </c>
      <c r="D671" s="7" t="s">
        <v>32</v>
      </c>
      <c r="E671" s="7" t="s">
        <v>28</v>
      </c>
      <c r="F671" s="8">
        <v>18.0</v>
      </c>
      <c r="G671" s="9">
        <v>9.0</v>
      </c>
    </row>
    <row r="672" ht="14.25" hidden="1" customHeight="1">
      <c r="B672" s="7" t="s">
        <v>15</v>
      </c>
      <c r="C672" s="7" t="s">
        <v>7</v>
      </c>
      <c r="D672" s="7" t="s">
        <v>31</v>
      </c>
      <c r="E672" s="7" t="s">
        <v>31</v>
      </c>
      <c r="F672" s="8">
        <v>18.0</v>
      </c>
      <c r="G672" s="9">
        <v>9.0</v>
      </c>
    </row>
    <row r="673" ht="14.25" hidden="1" customHeight="1">
      <c r="B673" s="7" t="s">
        <v>15</v>
      </c>
      <c r="C673" s="7" t="s">
        <v>7</v>
      </c>
      <c r="D673" s="7" t="s">
        <v>8</v>
      </c>
      <c r="E673" s="7" t="s">
        <v>25</v>
      </c>
      <c r="F673" s="8">
        <v>18.0</v>
      </c>
      <c r="G673" s="9">
        <v>9.0</v>
      </c>
    </row>
    <row r="674" ht="14.25" hidden="1" customHeight="1">
      <c r="B674" s="7" t="s">
        <v>15</v>
      </c>
      <c r="C674" s="7" t="s">
        <v>29</v>
      </c>
      <c r="D674" s="7" t="s">
        <v>8</v>
      </c>
      <c r="E674" s="7" t="s">
        <v>9</v>
      </c>
      <c r="F674" s="8">
        <v>18.0</v>
      </c>
      <c r="G674" s="9">
        <v>18.0</v>
      </c>
    </row>
    <row r="675" ht="14.25" hidden="1" customHeight="1">
      <c r="B675" s="7" t="s">
        <v>15</v>
      </c>
      <c r="C675" s="7" t="s">
        <v>29</v>
      </c>
      <c r="D675" s="7" t="s">
        <v>9</v>
      </c>
      <c r="E675" s="7" t="s">
        <v>32</v>
      </c>
      <c r="F675" s="8">
        <v>17.0</v>
      </c>
      <c r="G675" s="9">
        <v>17.0</v>
      </c>
    </row>
    <row r="676" ht="14.25" hidden="1" customHeight="1">
      <c r="B676" s="7" t="s">
        <v>15</v>
      </c>
      <c r="C676" s="7" t="s">
        <v>29</v>
      </c>
      <c r="D676" s="7" t="s">
        <v>10</v>
      </c>
      <c r="E676" s="7" t="s">
        <v>31</v>
      </c>
      <c r="F676" s="8">
        <v>17.0</v>
      </c>
      <c r="G676" s="9">
        <v>17.0</v>
      </c>
    </row>
    <row r="677" ht="14.25" hidden="1" customHeight="1">
      <c r="B677" s="7" t="s">
        <v>15</v>
      </c>
      <c r="C677" s="7" t="s">
        <v>29</v>
      </c>
      <c r="D677" s="7" t="s">
        <v>8</v>
      </c>
      <c r="E677" s="7" t="s">
        <v>25</v>
      </c>
      <c r="F677" s="8">
        <v>17.0</v>
      </c>
      <c r="G677" s="9">
        <v>17.0</v>
      </c>
    </row>
    <row r="678" ht="14.25" hidden="1" customHeight="1">
      <c r="B678" s="7" t="s">
        <v>15</v>
      </c>
      <c r="C678" s="7" t="s">
        <v>29</v>
      </c>
      <c r="D678" s="7" t="s">
        <v>8</v>
      </c>
      <c r="E678" s="7" t="s">
        <v>9</v>
      </c>
      <c r="F678" s="8">
        <v>17.0</v>
      </c>
      <c r="G678" s="9">
        <v>17.0</v>
      </c>
    </row>
    <row r="679" ht="14.25" hidden="1" customHeight="1">
      <c r="B679" s="7" t="s">
        <v>15</v>
      </c>
      <c r="C679" s="7" t="s">
        <v>29</v>
      </c>
      <c r="D679" s="7" t="s">
        <v>28</v>
      </c>
      <c r="E679" s="7" t="s">
        <v>33</v>
      </c>
      <c r="F679" s="8">
        <v>16.0</v>
      </c>
      <c r="G679" s="9">
        <v>16.0</v>
      </c>
    </row>
    <row r="680" ht="14.25" hidden="1" customHeight="1">
      <c r="B680" s="7" t="s">
        <v>15</v>
      </c>
      <c r="C680" s="7" t="s">
        <v>29</v>
      </c>
      <c r="D680" s="7" t="s">
        <v>28</v>
      </c>
      <c r="E680" s="7" t="s">
        <v>31</v>
      </c>
      <c r="F680" s="8">
        <v>16.0</v>
      </c>
      <c r="G680" s="9">
        <v>16.0</v>
      </c>
    </row>
    <row r="681" ht="14.25" hidden="1" customHeight="1">
      <c r="B681" s="7" t="s">
        <v>15</v>
      </c>
      <c r="C681" s="7" t="s">
        <v>7</v>
      </c>
      <c r="D681" s="7" t="s">
        <v>9</v>
      </c>
      <c r="E681" s="7" t="s">
        <v>28</v>
      </c>
      <c r="F681" s="8">
        <v>16.0</v>
      </c>
      <c r="G681" s="9">
        <v>8.0</v>
      </c>
    </row>
    <row r="682" ht="14.25" hidden="1" customHeight="1">
      <c r="B682" s="7" t="s">
        <v>15</v>
      </c>
      <c r="C682" s="7" t="s">
        <v>7</v>
      </c>
      <c r="D682" s="7" t="s">
        <v>32</v>
      </c>
      <c r="E682" s="7" t="s">
        <v>25</v>
      </c>
      <c r="F682" s="8">
        <v>16.0</v>
      </c>
      <c r="G682" s="9">
        <v>8.0</v>
      </c>
    </row>
    <row r="683" ht="14.25" hidden="1" customHeight="1">
      <c r="B683" s="7" t="s">
        <v>15</v>
      </c>
      <c r="C683" s="7" t="s">
        <v>7</v>
      </c>
      <c r="D683" s="7" t="s">
        <v>31</v>
      </c>
      <c r="E683" s="7" t="s">
        <v>10</v>
      </c>
      <c r="F683" s="8">
        <v>16.0</v>
      </c>
      <c r="G683" s="9">
        <v>8.0</v>
      </c>
    </row>
    <row r="684" ht="14.25" customHeight="1">
      <c r="B684" s="7" t="s">
        <v>15</v>
      </c>
      <c r="C684" s="7" t="s">
        <v>29</v>
      </c>
      <c r="D684" s="7" t="s">
        <v>8</v>
      </c>
      <c r="E684" s="7" t="s">
        <v>31</v>
      </c>
      <c r="F684" s="8">
        <v>16.0</v>
      </c>
      <c r="G684" s="9">
        <v>16.0</v>
      </c>
    </row>
    <row r="685" ht="14.25" hidden="1" customHeight="1">
      <c r="B685" s="7" t="s">
        <v>15</v>
      </c>
      <c r="C685" s="7" t="s">
        <v>29</v>
      </c>
      <c r="D685" s="7" t="s">
        <v>9</v>
      </c>
      <c r="E685" s="7" t="s">
        <v>32</v>
      </c>
      <c r="F685" s="8">
        <v>15.0</v>
      </c>
      <c r="G685" s="9">
        <v>15.0</v>
      </c>
    </row>
    <row r="686" ht="14.25" hidden="1" customHeight="1">
      <c r="B686" s="7" t="s">
        <v>15</v>
      </c>
      <c r="C686" s="7" t="s">
        <v>7</v>
      </c>
      <c r="D686" s="7" t="s">
        <v>25</v>
      </c>
      <c r="E686" s="7" t="s">
        <v>33</v>
      </c>
      <c r="F686" s="8">
        <v>14.0</v>
      </c>
      <c r="G686" s="9">
        <v>7.0</v>
      </c>
    </row>
    <row r="687" ht="14.25" hidden="1" customHeight="1">
      <c r="B687" s="7" t="s">
        <v>15</v>
      </c>
      <c r="C687" s="7" t="s">
        <v>7</v>
      </c>
      <c r="D687" s="7" t="s">
        <v>25</v>
      </c>
      <c r="E687" s="7" t="s">
        <v>8</v>
      </c>
      <c r="F687" s="8">
        <v>14.0</v>
      </c>
      <c r="G687" s="9">
        <v>7.0</v>
      </c>
    </row>
    <row r="688" ht="14.25" hidden="1" customHeight="1">
      <c r="B688" s="7" t="s">
        <v>15</v>
      </c>
      <c r="C688" s="7" t="s">
        <v>7</v>
      </c>
      <c r="D688" s="7" t="s">
        <v>33</v>
      </c>
      <c r="E688" s="7" t="s">
        <v>28</v>
      </c>
      <c r="F688" s="8">
        <v>14.0</v>
      </c>
      <c r="G688" s="9">
        <v>7.0</v>
      </c>
    </row>
    <row r="689" ht="14.25" hidden="1" customHeight="1">
      <c r="B689" s="7" t="s">
        <v>15</v>
      </c>
      <c r="C689" s="7" t="s">
        <v>7</v>
      </c>
      <c r="D689" s="7" t="s">
        <v>33</v>
      </c>
      <c r="E689" s="7" t="s">
        <v>8</v>
      </c>
      <c r="F689" s="8">
        <v>14.0</v>
      </c>
      <c r="G689" s="9">
        <v>7.0</v>
      </c>
    </row>
    <row r="690" ht="14.25" hidden="1" customHeight="1">
      <c r="B690" s="7" t="s">
        <v>15</v>
      </c>
      <c r="C690" s="7" t="s">
        <v>30</v>
      </c>
      <c r="D690" s="7" t="s">
        <v>28</v>
      </c>
      <c r="E690" s="7" t="s">
        <v>25</v>
      </c>
      <c r="F690" s="8">
        <v>14.0</v>
      </c>
      <c r="G690" s="9">
        <v>7.0</v>
      </c>
    </row>
    <row r="691" ht="14.25" hidden="1" customHeight="1">
      <c r="B691" s="7" t="s">
        <v>15</v>
      </c>
      <c r="C691" s="7" t="s">
        <v>30</v>
      </c>
      <c r="D691" s="7" t="s">
        <v>28</v>
      </c>
      <c r="E691" s="7" t="s">
        <v>10</v>
      </c>
      <c r="F691" s="8">
        <v>14.0</v>
      </c>
      <c r="G691" s="9">
        <v>7.0</v>
      </c>
    </row>
    <row r="692" ht="14.25" hidden="1" customHeight="1">
      <c r="B692" s="7" t="s">
        <v>15</v>
      </c>
      <c r="C692" s="7" t="s">
        <v>7</v>
      </c>
      <c r="D692" s="7" t="s">
        <v>32</v>
      </c>
      <c r="E692" s="7" t="s">
        <v>31</v>
      </c>
      <c r="F692" s="8">
        <v>14.0</v>
      </c>
      <c r="G692" s="9">
        <v>7.0</v>
      </c>
    </row>
    <row r="693" ht="14.25" hidden="1" customHeight="1">
      <c r="B693" s="7" t="s">
        <v>15</v>
      </c>
      <c r="C693" s="7" t="s">
        <v>30</v>
      </c>
      <c r="D693" s="7" t="s">
        <v>32</v>
      </c>
      <c r="E693" s="7" t="s">
        <v>8</v>
      </c>
      <c r="F693" s="8">
        <v>14.0</v>
      </c>
      <c r="G693" s="9">
        <v>7.0</v>
      </c>
    </row>
    <row r="694" ht="14.25" hidden="1" customHeight="1">
      <c r="B694" s="7" t="s">
        <v>15</v>
      </c>
      <c r="C694" s="7" t="s">
        <v>7</v>
      </c>
      <c r="D694" s="7" t="s">
        <v>31</v>
      </c>
      <c r="E694" s="7" t="s">
        <v>25</v>
      </c>
      <c r="F694" s="8">
        <v>14.0</v>
      </c>
      <c r="G694" s="9">
        <v>14.0</v>
      </c>
    </row>
    <row r="695" ht="14.25" hidden="1" customHeight="1">
      <c r="B695" s="7" t="s">
        <v>15</v>
      </c>
      <c r="C695" s="7" t="s">
        <v>7</v>
      </c>
      <c r="D695" s="7" t="s">
        <v>8</v>
      </c>
      <c r="E695" s="7" t="s">
        <v>25</v>
      </c>
      <c r="F695" s="8">
        <v>14.0</v>
      </c>
      <c r="G695" s="9">
        <v>7.0</v>
      </c>
    </row>
    <row r="696" ht="14.25" hidden="1" customHeight="1">
      <c r="B696" s="7" t="s">
        <v>15</v>
      </c>
      <c r="C696" s="7" t="s">
        <v>29</v>
      </c>
      <c r="D696" s="7" t="s">
        <v>10</v>
      </c>
      <c r="E696" s="7" t="s">
        <v>8</v>
      </c>
      <c r="F696" s="8">
        <v>13.0</v>
      </c>
      <c r="G696" s="9">
        <v>13.0</v>
      </c>
    </row>
    <row r="697" ht="14.25" hidden="1" customHeight="1">
      <c r="B697" s="7" t="s">
        <v>15</v>
      </c>
      <c r="C697" s="7" t="s">
        <v>7</v>
      </c>
      <c r="D697" s="7" t="s">
        <v>25</v>
      </c>
      <c r="E697" s="7" t="s">
        <v>33</v>
      </c>
      <c r="F697" s="8">
        <v>12.0</v>
      </c>
      <c r="G697" s="9">
        <v>6.0</v>
      </c>
    </row>
    <row r="698" ht="14.25" hidden="1" customHeight="1">
      <c r="B698" s="7" t="s">
        <v>15</v>
      </c>
      <c r="C698" s="7" t="s">
        <v>7</v>
      </c>
      <c r="D698" s="7" t="s">
        <v>33</v>
      </c>
      <c r="E698" s="7" t="s">
        <v>31</v>
      </c>
      <c r="F698" s="8">
        <v>12.0</v>
      </c>
      <c r="G698" s="9">
        <v>6.0</v>
      </c>
    </row>
    <row r="699" ht="14.25" hidden="1" customHeight="1">
      <c r="B699" s="7" t="s">
        <v>15</v>
      </c>
      <c r="C699" s="7" t="s">
        <v>30</v>
      </c>
      <c r="D699" s="7" t="s">
        <v>28</v>
      </c>
      <c r="E699" s="7" t="s">
        <v>9</v>
      </c>
      <c r="F699" s="8">
        <v>12.0</v>
      </c>
      <c r="G699" s="9">
        <v>6.0</v>
      </c>
    </row>
    <row r="700" ht="14.25" hidden="1" customHeight="1">
      <c r="B700" s="7" t="s">
        <v>15</v>
      </c>
      <c r="C700" s="7" t="s">
        <v>30</v>
      </c>
      <c r="D700" s="7" t="s">
        <v>32</v>
      </c>
      <c r="E700" s="7" t="s">
        <v>9</v>
      </c>
      <c r="F700" s="8">
        <v>12.0</v>
      </c>
      <c r="G700" s="9">
        <v>6.0</v>
      </c>
    </row>
    <row r="701" ht="14.25" hidden="1" customHeight="1">
      <c r="B701" s="7" t="s">
        <v>15</v>
      </c>
      <c r="C701" s="7" t="s">
        <v>29</v>
      </c>
      <c r="D701" s="7" t="s">
        <v>31</v>
      </c>
      <c r="E701" s="7" t="s">
        <v>9</v>
      </c>
      <c r="F701" s="8">
        <v>12.0</v>
      </c>
      <c r="G701" s="9">
        <v>12.0</v>
      </c>
    </row>
    <row r="702" ht="14.25" hidden="1" customHeight="1">
      <c r="B702" s="7" t="s">
        <v>15</v>
      </c>
      <c r="C702" s="7" t="s">
        <v>7</v>
      </c>
      <c r="D702" s="7" t="s">
        <v>31</v>
      </c>
      <c r="E702" s="7" t="s">
        <v>10</v>
      </c>
      <c r="F702" s="8">
        <v>12.0</v>
      </c>
      <c r="G702" s="9">
        <v>6.0</v>
      </c>
    </row>
    <row r="703" ht="14.25" hidden="1" customHeight="1">
      <c r="B703" s="7" t="s">
        <v>15</v>
      </c>
      <c r="C703" s="7" t="s">
        <v>29</v>
      </c>
      <c r="D703" s="7" t="s">
        <v>25</v>
      </c>
      <c r="E703" s="7" t="s">
        <v>8</v>
      </c>
      <c r="F703" s="8">
        <v>11.0</v>
      </c>
      <c r="G703" s="9">
        <v>11.0</v>
      </c>
    </row>
    <row r="704" ht="14.25" hidden="1" customHeight="1">
      <c r="B704" s="7" t="s">
        <v>15</v>
      </c>
      <c r="C704" s="7" t="s">
        <v>29</v>
      </c>
      <c r="D704" s="7" t="s">
        <v>10</v>
      </c>
      <c r="E704" s="7" t="s">
        <v>8</v>
      </c>
      <c r="F704" s="8">
        <v>11.0</v>
      </c>
      <c r="G704" s="9">
        <v>11.0</v>
      </c>
    </row>
    <row r="705" ht="14.25" hidden="1" customHeight="1">
      <c r="B705" s="7" t="s">
        <v>15</v>
      </c>
      <c r="C705" s="7" t="s">
        <v>29</v>
      </c>
      <c r="D705" s="7" t="s">
        <v>31</v>
      </c>
      <c r="E705" s="7" t="s">
        <v>28</v>
      </c>
      <c r="F705" s="8">
        <v>11.0</v>
      </c>
      <c r="G705" s="9">
        <v>11.0</v>
      </c>
    </row>
    <row r="706" ht="14.25" hidden="1" customHeight="1">
      <c r="B706" s="7" t="s">
        <v>15</v>
      </c>
      <c r="C706" s="7" t="s">
        <v>7</v>
      </c>
      <c r="D706" s="7" t="s">
        <v>25</v>
      </c>
      <c r="E706" s="7" t="s">
        <v>8</v>
      </c>
      <c r="F706" s="8">
        <v>10.0</v>
      </c>
      <c r="G706" s="9">
        <v>5.0</v>
      </c>
    </row>
    <row r="707" ht="14.25" hidden="1" customHeight="1">
      <c r="B707" s="7" t="s">
        <v>15</v>
      </c>
      <c r="C707" s="7" t="s">
        <v>29</v>
      </c>
      <c r="D707" s="7" t="s">
        <v>33</v>
      </c>
      <c r="E707" s="7" t="s">
        <v>25</v>
      </c>
      <c r="F707" s="8">
        <v>10.0</v>
      </c>
      <c r="G707" s="9">
        <v>10.0</v>
      </c>
    </row>
    <row r="708" ht="14.25" hidden="1" customHeight="1">
      <c r="B708" s="7" t="s">
        <v>15</v>
      </c>
      <c r="C708" s="7" t="s">
        <v>30</v>
      </c>
      <c r="D708" s="7" t="s">
        <v>33</v>
      </c>
      <c r="E708" s="7" t="s">
        <v>25</v>
      </c>
      <c r="F708" s="8">
        <v>10.0</v>
      </c>
      <c r="G708" s="9">
        <v>5.0</v>
      </c>
    </row>
    <row r="709" ht="14.25" hidden="1" customHeight="1">
      <c r="B709" s="7" t="s">
        <v>15</v>
      </c>
      <c r="C709" s="7" t="s">
        <v>30</v>
      </c>
      <c r="D709" s="7" t="s">
        <v>28</v>
      </c>
      <c r="E709" s="7" t="s">
        <v>35</v>
      </c>
      <c r="F709" s="8">
        <v>10.0</v>
      </c>
      <c r="G709" s="9">
        <v>5.0</v>
      </c>
    </row>
    <row r="710" ht="14.25" hidden="1" customHeight="1">
      <c r="B710" s="7" t="s">
        <v>15</v>
      </c>
      <c r="C710" s="7" t="s">
        <v>30</v>
      </c>
      <c r="D710" s="7" t="s">
        <v>28</v>
      </c>
      <c r="E710" s="7" t="s">
        <v>31</v>
      </c>
      <c r="F710" s="8">
        <v>10.0</v>
      </c>
      <c r="G710" s="9">
        <v>5.0</v>
      </c>
    </row>
    <row r="711" ht="14.25" hidden="1" customHeight="1">
      <c r="B711" s="7" t="s">
        <v>15</v>
      </c>
      <c r="C711" s="7" t="s">
        <v>29</v>
      </c>
      <c r="D711" s="7" t="s">
        <v>11</v>
      </c>
      <c r="E711" s="7" t="s">
        <v>31</v>
      </c>
      <c r="F711" s="8">
        <v>10.0</v>
      </c>
      <c r="G711" s="9">
        <v>10.0</v>
      </c>
    </row>
    <row r="712" ht="14.25" hidden="1" customHeight="1">
      <c r="B712" s="7" t="s">
        <v>15</v>
      </c>
      <c r="C712" s="7" t="s">
        <v>30</v>
      </c>
      <c r="D712" s="7" t="s">
        <v>11</v>
      </c>
      <c r="E712" s="7" t="s">
        <v>8</v>
      </c>
      <c r="F712" s="8">
        <v>10.0</v>
      </c>
      <c r="G712" s="9">
        <v>5.0</v>
      </c>
    </row>
    <row r="713" ht="14.25" hidden="1" customHeight="1">
      <c r="B713" s="7" t="s">
        <v>15</v>
      </c>
      <c r="C713" s="7" t="s">
        <v>29</v>
      </c>
      <c r="D713" s="7" t="s">
        <v>24</v>
      </c>
      <c r="E713" s="7" t="s">
        <v>31</v>
      </c>
      <c r="F713" s="8">
        <v>10.0</v>
      </c>
      <c r="G713" s="9">
        <v>10.0</v>
      </c>
    </row>
    <row r="714" ht="14.25" hidden="1" customHeight="1">
      <c r="B714" s="7" t="s">
        <v>15</v>
      </c>
      <c r="C714" s="7" t="s">
        <v>29</v>
      </c>
      <c r="D714" s="7" t="s">
        <v>10</v>
      </c>
      <c r="E714" s="7" t="s">
        <v>33</v>
      </c>
      <c r="F714" s="8">
        <v>10.0</v>
      </c>
      <c r="G714" s="9">
        <v>10.0</v>
      </c>
    </row>
    <row r="715" ht="14.25" customHeight="1">
      <c r="B715" s="7" t="s">
        <v>15</v>
      </c>
      <c r="C715" s="7" t="s">
        <v>7</v>
      </c>
      <c r="D715" s="7" t="s">
        <v>8</v>
      </c>
      <c r="E715" s="7" t="s">
        <v>31</v>
      </c>
      <c r="F715" s="8">
        <v>10.0</v>
      </c>
      <c r="G715" s="9">
        <v>5.0</v>
      </c>
    </row>
    <row r="716" ht="14.25" hidden="1" customHeight="1">
      <c r="B716" s="7" t="s">
        <v>15</v>
      </c>
      <c r="C716" s="7" t="s">
        <v>29</v>
      </c>
      <c r="D716" s="7" t="s">
        <v>10</v>
      </c>
      <c r="E716" s="7" t="s">
        <v>9</v>
      </c>
      <c r="F716" s="8">
        <v>9.0</v>
      </c>
      <c r="G716" s="9">
        <v>9.0</v>
      </c>
    </row>
    <row r="717" ht="14.25" hidden="1" customHeight="1">
      <c r="B717" s="7" t="s">
        <v>15</v>
      </c>
      <c r="C717" s="7" t="s">
        <v>7</v>
      </c>
      <c r="D717" s="7" t="s">
        <v>25</v>
      </c>
      <c r="E717" s="7" t="s">
        <v>28</v>
      </c>
      <c r="F717" s="8">
        <v>8.0</v>
      </c>
      <c r="G717" s="9">
        <v>4.0</v>
      </c>
    </row>
    <row r="718" ht="14.25" hidden="1" customHeight="1">
      <c r="B718" s="7" t="s">
        <v>15</v>
      </c>
      <c r="C718" s="7" t="s">
        <v>29</v>
      </c>
      <c r="D718" s="7" t="s">
        <v>25</v>
      </c>
      <c r="E718" s="7" t="s">
        <v>8</v>
      </c>
      <c r="F718" s="8">
        <v>8.0</v>
      </c>
      <c r="G718" s="9">
        <v>8.0</v>
      </c>
    </row>
    <row r="719" ht="14.25" hidden="1" customHeight="1">
      <c r="B719" s="7" t="s">
        <v>15</v>
      </c>
      <c r="C719" s="7" t="s">
        <v>29</v>
      </c>
      <c r="D719" s="7" t="s">
        <v>33</v>
      </c>
      <c r="E719" s="7" t="s">
        <v>25</v>
      </c>
      <c r="F719" s="8">
        <v>8.0</v>
      </c>
      <c r="G719" s="9">
        <v>8.0</v>
      </c>
    </row>
    <row r="720" ht="14.25" hidden="1" customHeight="1">
      <c r="B720" s="7" t="s">
        <v>15</v>
      </c>
      <c r="C720" s="7" t="s">
        <v>7</v>
      </c>
      <c r="D720" s="7" t="s">
        <v>33</v>
      </c>
      <c r="E720" s="7" t="s">
        <v>28</v>
      </c>
      <c r="F720" s="8">
        <v>8.0</v>
      </c>
      <c r="G720" s="9">
        <v>4.0</v>
      </c>
    </row>
    <row r="721" ht="14.25" hidden="1" customHeight="1">
      <c r="B721" s="7" t="s">
        <v>15</v>
      </c>
      <c r="C721" s="7" t="s">
        <v>7</v>
      </c>
      <c r="D721" s="7" t="s">
        <v>33</v>
      </c>
      <c r="E721" s="7" t="s">
        <v>31</v>
      </c>
      <c r="F721" s="8">
        <v>8.0</v>
      </c>
      <c r="G721" s="9">
        <v>4.0</v>
      </c>
    </row>
    <row r="722" ht="14.25" hidden="1" customHeight="1">
      <c r="B722" s="7" t="s">
        <v>15</v>
      </c>
      <c r="C722" s="7" t="s">
        <v>30</v>
      </c>
      <c r="D722" s="7" t="s">
        <v>33</v>
      </c>
      <c r="E722" s="7" t="s">
        <v>31</v>
      </c>
      <c r="F722" s="8">
        <v>8.0</v>
      </c>
      <c r="G722" s="9">
        <v>4.0</v>
      </c>
    </row>
    <row r="723" ht="14.25" hidden="1" customHeight="1">
      <c r="B723" s="7" t="s">
        <v>15</v>
      </c>
      <c r="C723" s="7" t="s">
        <v>7</v>
      </c>
      <c r="D723" s="7" t="s">
        <v>28</v>
      </c>
      <c r="E723" s="7" t="s">
        <v>33</v>
      </c>
      <c r="F723" s="8">
        <v>8.0</v>
      </c>
      <c r="G723" s="9">
        <v>4.0</v>
      </c>
    </row>
    <row r="724" ht="14.25" hidden="1" customHeight="1">
      <c r="B724" s="7" t="s">
        <v>15</v>
      </c>
      <c r="C724" s="7" t="s">
        <v>29</v>
      </c>
      <c r="D724" s="7" t="s">
        <v>28</v>
      </c>
      <c r="E724" s="7" t="s">
        <v>32</v>
      </c>
      <c r="F724" s="8">
        <v>8.0</v>
      </c>
      <c r="G724" s="9">
        <v>8.0</v>
      </c>
    </row>
    <row r="725" ht="14.25" hidden="1" customHeight="1">
      <c r="B725" s="7" t="s">
        <v>15</v>
      </c>
      <c r="C725" s="7" t="s">
        <v>29</v>
      </c>
      <c r="D725" s="7" t="s">
        <v>9</v>
      </c>
      <c r="E725" s="7" t="s">
        <v>8</v>
      </c>
      <c r="F725" s="8">
        <v>8.0</v>
      </c>
      <c r="G725" s="9">
        <v>8.0</v>
      </c>
    </row>
    <row r="726" ht="14.25" hidden="1" customHeight="1">
      <c r="B726" s="7" t="s">
        <v>15</v>
      </c>
      <c r="C726" s="7" t="s">
        <v>30</v>
      </c>
      <c r="D726" s="7" t="s">
        <v>24</v>
      </c>
      <c r="E726" s="7" t="s">
        <v>10</v>
      </c>
      <c r="F726" s="8">
        <v>8.0</v>
      </c>
      <c r="G726" s="9">
        <v>4.0</v>
      </c>
    </row>
    <row r="727" ht="14.25" hidden="1" customHeight="1">
      <c r="B727" s="7" t="s">
        <v>15</v>
      </c>
      <c r="C727" s="7" t="s">
        <v>30</v>
      </c>
      <c r="D727" s="7" t="s">
        <v>24</v>
      </c>
      <c r="E727" s="7" t="s">
        <v>31</v>
      </c>
      <c r="F727" s="8">
        <v>8.0</v>
      </c>
      <c r="G727" s="9">
        <v>4.0</v>
      </c>
    </row>
    <row r="728" ht="14.25" hidden="1" customHeight="1">
      <c r="B728" s="7" t="s">
        <v>15</v>
      </c>
      <c r="C728" s="7" t="s">
        <v>30</v>
      </c>
      <c r="D728" s="7" t="s">
        <v>24</v>
      </c>
      <c r="E728" s="7" t="s">
        <v>8</v>
      </c>
      <c r="F728" s="8">
        <v>8.0</v>
      </c>
      <c r="G728" s="9">
        <v>4.0</v>
      </c>
    </row>
    <row r="729" ht="14.25" hidden="1" customHeight="1">
      <c r="B729" s="7" t="s">
        <v>15</v>
      </c>
      <c r="C729" s="7" t="s">
        <v>7</v>
      </c>
      <c r="D729" s="7" t="s">
        <v>10</v>
      </c>
      <c r="E729" s="7" t="s">
        <v>33</v>
      </c>
      <c r="F729" s="8">
        <v>8.0</v>
      </c>
      <c r="G729" s="9">
        <v>4.0</v>
      </c>
    </row>
    <row r="730" ht="14.25" hidden="1" customHeight="1">
      <c r="B730" s="7" t="s">
        <v>15</v>
      </c>
      <c r="C730" s="7" t="s">
        <v>29</v>
      </c>
      <c r="D730" s="7" t="s">
        <v>10</v>
      </c>
      <c r="E730" s="7" t="s">
        <v>28</v>
      </c>
      <c r="F730" s="8">
        <v>8.0</v>
      </c>
      <c r="G730" s="9">
        <v>8.0</v>
      </c>
    </row>
    <row r="731" ht="14.25" hidden="1" customHeight="1">
      <c r="B731" s="7" t="s">
        <v>15</v>
      </c>
      <c r="C731" s="7" t="s">
        <v>7</v>
      </c>
      <c r="D731" s="7" t="s">
        <v>31</v>
      </c>
      <c r="E731" s="7" t="s">
        <v>28</v>
      </c>
      <c r="F731" s="8">
        <v>8.0</v>
      </c>
      <c r="G731" s="9">
        <v>4.0</v>
      </c>
    </row>
    <row r="732" ht="14.25" hidden="1" customHeight="1">
      <c r="B732" s="7" t="s">
        <v>15</v>
      </c>
      <c r="C732" s="7" t="s">
        <v>29</v>
      </c>
      <c r="D732" s="7" t="s">
        <v>8</v>
      </c>
      <c r="E732" s="7" t="s">
        <v>28</v>
      </c>
      <c r="F732" s="8">
        <v>8.0</v>
      </c>
      <c r="G732" s="9">
        <v>8.0</v>
      </c>
    </row>
    <row r="733" ht="14.25" hidden="1" customHeight="1">
      <c r="B733" s="7" t="s">
        <v>15</v>
      </c>
      <c r="C733" s="7" t="s">
        <v>7</v>
      </c>
      <c r="D733" s="7" t="s">
        <v>8</v>
      </c>
      <c r="E733" s="7" t="s">
        <v>9</v>
      </c>
      <c r="F733" s="8">
        <v>8.0</v>
      </c>
      <c r="G733" s="9">
        <v>4.0</v>
      </c>
    </row>
    <row r="734" ht="14.25" hidden="1" customHeight="1">
      <c r="B734" s="7" t="s">
        <v>15</v>
      </c>
      <c r="C734" s="7" t="s">
        <v>29</v>
      </c>
      <c r="D734" s="7" t="s">
        <v>25</v>
      </c>
      <c r="E734" s="7" t="s">
        <v>31</v>
      </c>
      <c r="F734" s="8">
        <v>7.0</v>
      </c>
      <c r="G734" s="9">
        <v>7.0</v>
      </c>
    </row>
    <row r="735" ht="14.25" hidden="1" customHeight="1">
      <c r="B735" s="7" t="s">
        <v>15</v>
      </c>
      <c r="C735" s="7" t="s">
        <v>29</v>
      </c>
      <c r="D735" s="7" t="s">
        <v>31</v>
      </c>
      <c r="E735" s="7" t="s">
        <v>10</v>
      </c>
      <c r="F735" s="8">
        <v>7.0</v>
      </c>
      <c r="G735" s="9">
        <v>7.0</v>
      </c>
    </row>
    <row r="736" ht="14.25" hidden="1" customHeight="1">
      <c r="B736" s="7" t="s">
        <v>15</v>
      </c>
      <c r="C736" s="7" t="s">
        <v>29</v>
      </c>
      <c r="D736" s="7" t="s">
        <v>31</v>
      </c>
      <c r="E736" s="7" t="s">
        <v>31</v>
      </c>
      <c r="F736" s="8">
        <v>7.0</v>
      </c>
      <c r="G736" s="9">
        <v>7.0</v>
      </c>
    </row>
    <row r="737" ht="14.25" hidden="1" customHeight="1">
      <c r="B737" s="7" t="s">
        <v>15</v>
      </c>
      <c r="C737" s="7" t="s">
        <v>29</v>
      </c>
      <c r="D737" s="7" t="s">
        <v>8</v>
      </c>
      <c r="E737" s="7" t="s">
        <v>25</v>
      </c>
      <c r="F737" s="8">
        <v>7.0</v>
      </c>
      <c r="G737" s="9">
        <v>7.0</v>
      </c>
    </row>
    <row r="738" ht="14.25" hidden="1" customHeight="1">
      <c r="B738" s="7" t="s">
        <v>15</v>
      </c>
      <c r="C738" s="7" t="s">
        <v>29</v>
      </c>
      <c r="D738" s="7" t="s">
        <v>8</v>
      </c>
      <c r="E738" s="7" t="s">
        <v>9</v>
      </c>
      <c r="F738" s="8">
        <v>7.0</v>
      </c>
      <c r="G738" s="9">
        <v>7.0</v>
      </c>
    </row>
    <row r="739" ht="14.25" hidden="1" customHeight="1">
      <c r="B739" s="7" t="s">
        <v>15</v>
      </c>
      <c r="C739" s="7" t="s">
        <v>7</v>
      </c>
      <c r="D739" s="7" t="s">
        <v>25</v>
      </c>
      <c r="E739" s="7" t="s">
        <v>28</v>
      </c>
      <c r="F739" s="8">
        <v>6.0</v>
      </c>
      <c r="G739" s="9">
        <v>3.0</v>
      </c>
    </row>
    <row r="740" ht="14.25" hidden="1" customHeight="1">
      <c r="B740" s="7" t="s">
        <v>15</v>
      </c>
      <c r="C740" s="7" t="s">
        <v>30</v>
      </c>
      <c r="D740" s="7" t="s">
        <v>25</v>
      </c>
      <c r="E740" s="7" t="s">
        <v>31</v>
      </c>
      <c r="F740" s="8">
        <v>6.0</v>
      </c>
      <c r="G740" s="9">
        <v>3.0</v>
      </c>
    </row>
    <row r="741" ht="14.25" hidden="1" customHeight="1">
      <c r="B741" s="7" t="s">
        <v>15</v>
      </c>
      <c r="C741" s="7" t="s">
        <v>7</v>
      </c>
      <c r="D741" s="7" t="s">
        <v>33</v>
      </c>
      <c r="E741" s="7" t="s">
        <v>25</v>
      </c>
      <c r="F741" s="8">
        <v>6.0</v>
      </c>
      <c r="G741" s="9">
        <v>3.0</v>
      </c>
    </row>
    <row r="742" ht="14.25" hidden="1" customHeight="1">
      <c r="B742" s="7" t="s">
        <v>15</v>
      </c>
      <c r="C742" s="7" t="s">
        <v>29</v>
      </c>
      <c r="D742" s="7" t="s">
        <v>28</v>
      </c>
      <c r="E742" s="7" t="s">
        <v>8</v>
      </c>
      <c r="F742" s="8">
        <v>6.0</v>
      </c>
      <c r="G742" s="9">
        <v>6.0</v>
      </c>
    </row>
    <row r="743" ht="14.25" hidden="1" customHeight="1">
      <c r="B743" s="7" t="s">
        <v>15</v>
      </c>
      <c r="C743" s="7" t="s">
        <v>30</v>
      </c>
      <c r="D743" s="7" t="s">
        <v>34</v>
      </c>
      <c r="E743" s="7" t="s">
        <v>33</v>
      </c>
      <c r="F743" s="8">
        <v>6.0</v>
      </c>
      <c r="G743" s="9">
        <v>3.0</v>
      </c>
    </row>
    <row r="744" ht="14.25" hidden="1" customHeight="1">
      <c r="B744" s="7" t="s">
        <v>15</v>
      </c>
      <c r="C744" s="7" t="s">
        <v>7</v>
      </c>
      <c r="D744" s="7" t="s">
        <v>34</v>
      </c>
      <c r="E744" s="7" t="s">
        <v>28</v>
      </c>
      <c r="F744" s="8">
        <v>6.0</v>
      </c>
      <c r="G744" s="9">
        <v>3.0</v>
      </c>
    </row>
    <row r="745" ht="14.25" hidden="1" customHeight="1">
      <c r="B745" s="7" t="s">
        <v>15</v>
      </c>
      <c r="C745" s="7" t="s">
        <v>7</v>
      </c>
      <c r="D745" s="7" t="s">
        <v>9</v>
      </c>
      <c r="E745" s="7" t="s">
        <v>25</v>
      </c>
      <c r="F745" s="8">
        <v>6.0</v>
      </c>
      <c r="G745" s="9">
        <v>6.0</v>
      </c>
    </row>
    <row r="746" ht="14.25" hidden="1" customHeight="1">
      <c r="B746" s="7" t="s">
        <v>15</v>
      </c>
      <c r="C746" s="7" t="s">
        <v>7</v>
      </c>
      <c r="D746" s="7" t="s">
        <v>9</v>
      </c>
      <c r="E746" s="7" t="s">
        <v>31</v>
      </c>
      <c r="F746" s="8">
        <v>6.0</v>
      </c>
      <c r="G746" s="9">
        <v>3.0</v>
      </c>
    </row>
    <row r="747" ht="14.25" hidden="1" customHeight="1">
      <c r="B747" s="7" t="s">
        <v>15</v>
      </c>
      <c r="C747" s="7" t="s">
        <v>30</v>
      </c>
      <c r="D747" s="7" t="s">
        <v>9</v>
      </c>
      <c r="E747" s="7" t="s">
        <v>8</v>
      </c>
      <c r="F747" s="8">
        <v>6.0</v>
      </c>
      <c r="G747" s="9">
        <v>3.0</v>
      </c>
    </row>
    <row r="748" ht="14.25" hidden="1" customHeight="1">
      <c r="B748" s="7" t="s">
        <v>15</v>
      </c>
      <c r="C748" s="7" t="s">
        <v>7</v>
      </c>
      <c r="D748" s="7" t="s">
        <v>10</v>
      </c>
      <c r="E748" s="7" t="s">
        <v>25</v>
      </c>
      <c r="F748" s="8">
        <v>6.0</v>
      </c>
      <c r="G748" s="9">
        <v>3.0</v>
      </c>
    </row>
    <row r="749" ht="14.25" hidden="1" customHeight="1">
      <c r="B749" s="7" t="s">
        <v>15</v>
      </c>
      <c r="C749" s="7" t="s">
        <v>7</v>
      </c>
      <c r="D749" s="7" t="s">
        <v>10</v>
      </c>
      <c r="E749" s="7" t="s">
        <v>9</v>
      </c>
      <c r="F749" s="8">
        <v>6.0</v>
      </c>
      <c r="G749" s="9">
        <v>3.0</v>
      </c>
    </row>
    <row r="750" ht="14.25" hidden="1" customHeight="1">
      <c r="B750" s="7" t="s">
        <v>15</v>
      </c>
      <c r="C750" s="7" t="s">
        <v>29</v>
      </c>
      <c r="D750" s="7" t="s">
        <v>31</v>
      </c>
      <c r="E750" s="7" t="s">
        <v>33</v>
      </c>
      <c r="F750" s="8">
        <v>6.0</v>
      </c>
      <c r="G750" s="9">
        <v>6.0</v>
      </c>
    </row>
    <row r="751" ht="14.25" hidden="1" customHeight="1">
      <c r="B751" s="7" t="s">
        <v>15</v>
      </c>
      <c r="C751" s="7" t="s">
        <v>7</v>
      </c>
      <c r="D751" s="7" t="s">
        <v>31</v>
      </c>
      <c r="E751" s="7" t="s">
        <v>33</v>
      </c>
      <c r="F751" s="8">
        <v>6.0</v>
      </c>
      <c r="G751" s="9">
        <v>3.0</v>
      </c>
    </row>
    <row r="752" ht="14.25" hidden="1" customHeight="1">
      <c r="B752" s="7" t="s">
        <v>15</v>
      </c>
      <c r="C752" s="7" t="s">
        <v>29</v>
      </c>
      <c r="D752" s="7" t="s">
        <v>31</v>
      </c>
      <c r="E752" s="7" t="s">
        <v>28</v>
      </c>
      <c r="F752" s="8">
        <v>6.0</v>
      </c>
      <c r="G752" s="9">
        <v>6.0</v>
      </c>
    </row>
    <row r="753" ht="14.25" hidden="1" customHeight="1">
      <c r="B753" s="7" t="s">
        <v>15</v>
      </c>
      <c r="C753" s="7" t="s">
        <v>29</v>
      </c>
      <c r="D753" s="7" t="s">
        <v>31</v>
      </c>
      <c r="E753" s="7" t="s">
        <v>28</v>
      </c>
      <c r="F753" s="8">
        <v>6.0</v>
      </c>
      <c r="G753" s="9">
        <v>6.0</v>
      </c>
    </row>
    <row r="754" ht="14.25" hidden="1" customHeight="1">
      <c r="B754" s="7" t="s">
        <v>15</v>
      </c>
      <c r="C754" s="7" t="s">
        <v>30</v>
      </c>
      <c r="D754" s="7" t="s">
        <v>8</v>
      </c>
      <c r="E754" s="7" t="s">
        <v>35</v>
      </c>
      <c r="F754" s="8">
        <v>6.0</v>
      </c>
      <c r="G754" s="9">
        <v>3.0</v>
      </c>
    </row>
    <row r="755" ht="14.25" customHeight="1">
      <c r="B755" s="7" t="s">
        <v>15</v>
      </c>
      <c r="C755" s="7" t="s">
        <v>7</v>
      </c>
      <c r="D755" s="7" t="s">
        <v>8</v>
      </c>
      <c r="E755" s="7" t="s">
        <v>31</v>
      </c>
      <c r="F755" s="8">
        <v>6.0</v>
      </c>
      <c r="G755" s="9">
        <v>3.0</v>
      </c>
    </row>
    <row r="756" ht="14.25" hidden="1" customHeight="1">
      <c r="B756" s="7" t="s">
        <v>15</v>
      </c>
      <c r="C756" s="7" t="s">
        <v>29</v>
      </c>
      <c r="D756" s="7" t="s">
        <v>33</v>
      </c>
      <c r="E756" s="7" t="s">
        <v>25</v>
      </c>
      <c r="F756" s="8">
        <v>5.0</v>
      </c>
      <c r="G756" s="9">
        <v>5.0</v>
      </c>
    </row>
    <row r="757" ht="14.25" hidden="1" customHeight="1">
      <c r="B757" s="7" t="s">
        <v>15</v>
      </c>
      <c r="C757" s="7" t="s">
        <v>29</v>
      </c>
      <c r="D757" s="7" t="s">
        <v>28</v>
      </c>
      <c r="E757" s="7" t="s">
        <v>8</v>
      </c>
      <c r="F757" s="8">
        <v>5.0</v>
      </c>
      <c r="G757" s="9">
        <v>5.0</v>
      </c>
    </row>
    <row r="758" ht="14.25" hidden="1" customHeight="1">
      <c r="B758" s="7" t="s">
        <v>15</v>
      </c>
      <c r="C758" s="7" t="s">
        <v>29</v>
      </c>
      <c r="D758" s="7" t="s">
        <v>34</v>
      </c>
      <c r="E758" s="7" t="s">
        <v>33</v>
      </c>
      <c r="F758" s="8">
        <v>5.0</v>
      </c>
      <c r="G758" s="9">
        <v>5.0</v>
      </c>
    </row>
    <row r="759" ht="14.25" hidden="1" customHeight="1">
      <c r="B759" s="7" t="s">
        <v>15</v>
      </c>
      <c r="C759" s="7" t="s">
        <v>29</v>
      </c>
      <c r="D759" s="7" t="s">
        <v>32</v>
      </c>
      <c r="E759" s="7" t="s">
        <v>25</v>
      </c>
      <c r="F759" s="8">
        <v>5.0</v>
      </c>
      <c r="G759" s="9">
        <v>5.0</v>
      </c>
    </row>
    <row r="760" ht="14.25" hidden="1" customHeight="1">
      <c r="B760" s="7" t="s">
        <v>15</v>
      </c>
      <c r="C760" s="7" t="s">
        <v>7</v>
      </c>
      <c r="D760" s="7" t="s">
        <v>25</v>
      </c>
      <c r="E760" s="7" t="s">
        <v>35</v>
      </c>
      <c r="F760" s="8">
        <v>4.0</v>
      </c>
      <c r="G760" s="9">
        <v>2.0</v>
      </c>
    </row>
    <row r="761" ht="14.25" hidden="1" customHeight="1">
      <c r="B761" s="7" t="s">
        <v>15</v>
      </c>
      <c r="C761" s="7" t="s">
        <v>29</v>
      </c>
      <c r="D761" s="7" t="s">
        <v>25</v>
      </c>
      <c r="E761" s="7" t="s">
        <v>9</v>
      </c>
      <c r="F761" s="8">
        <v>4.0</v>
      </c>
      <c r="G761" s="9">
        <v>4.0</v>
      </c>
    </row>
    <row r="762" ht="14.25" hidden="1" customHeight="1">
      <c r="B762" s="7" t="s">
        <v>15</v>
      </c>
      <c r="C762" s="7" t="s">
        <v>7</v>
      </c>
      <c r="D762" s="7" t="s">
        <v>25</v>
      </c>
      <c r="E762" s="7" t="s">
        <v>9</v>
      </c>
      <c r="F762" s="8">
        <v>4.0</v>
      </c>
      <c r="G762" s="9">
        <v>2.0</v>
      </c>
    </row>
    <row r="763" ht="14.25" hidden="1" customHeight="1">
      <c r="B763" s="7" t="s">
        <v>15</v>
      </c>
      <c r="C763" s="7" t="s">
        <v>7</v>
      </c>
      <c r="D763" s="7" t="s">
        <v>25</v>
      </c>
      <c r="E763" s="7" t="s">
        <v>10</v>
      </c>
      <c r="F763" s="8">
        <v>4.0</v>
      </c>
      <c r="G763" s="9">
        <v>2.0</v>
      </c>
    </row>
    <row r="764" ht="14.25" hidden="1" customHeight="1">
      <c r="B764" s="7" t="s">
        <v>15</v>
      </c>
      <c r="C764" s="7" t="s">
        <v>29</v>
      </c>
      <c r="D764" s="7" t="s">
        <v>25</v>
      </c>
      <c r="E764" s="7" t="s">
        <v>31</v>
      </c>
      <c r="F764" s="8">
        <v>4.0</v>
      </c>
      <c r="G764" s="9">
        <v>4.0</v>
      </c>
    </row>
    <row r="765" ht="14.25" hidden="1" customHeight="1">
      <c r="B765" s="7" t="s">
        <v>15</v>
      </c>
      <c r="C765" s="7" t="s">
        <v>7</v>
      </c>
      <c r="D765" s="7" t="s">
        <v>33</v>
      </c>
      <c r="E765" s="7" t="s">
        <v>25</v>
      </c>
      <c r="F765" s="8">
        <v>4.0</v>
      </c>
      <c r="G765" s="9">
        <v>2.0</v>
      </c>
    </row>
    <row r="766" ht="14.25" hidden="1" customHeight="1">
      <c r="B766" s="7" t="s">
        <v>15</v>
      </c>
      <c r="C766" s="7" t="s">
        <v>7</v>
      </c>
      <c r="D766" s="7" t="s">
        <v>33</v>
      </c>
      <c r="E766" s="7" t="s">
        <v>28</v>
      </c>
      <c r="F766" s="8">
        <v>4.0</v>
      </c>
      <c r="G766" s="9">
        <v>2.0</v>
      </c>
    </row>
    <row r="767" ht="14.25" hidden="1" customHeight="1">
      <c r="B767" s="7" t="s">
        <v>15</v>
      </c>
      <c r="C767" s="7" t="s">
        <v>7</v>
      </c>
      <c r="D767" s="7" t="s">
        <v>33</v>
      </c>
      <c r="E767" s="7" t="s">
        <v>35</v>
      </c>
      <c r="F767" s="8">
        <v>4.0</v>
      </c>
      <c r="G767" s="9">
        <v>2.0</v>
      </c>
    </row>
    <row r="768" ht="14.25" hidden="1" customHeight="1">
      <c r="B768" s="7" t="s">
        <v>15</v>
      </c>
      <c r="C768" s="7" t="s">
        <v>29</v>
      </c>
      <c r="D768" s="7" t="s">
        <v>28</v>
      </c>
      <c r="E768" s="7" t="s">
        <v>9</v>
      </c>
      <c r="F768" s="8">
        <v>4.0</v>
      </c>
      <c r="G768" s="9">
        <v>4.0</v>
      </c>
    </row>
    <row r="769" ht="14.25" hidden="1" customHeight="1">
      <c r="B769" s="7" t="s">
        <v>15</v>
      </c>
      <c r="C769" s="7" t="s">
        <v>7</v>
      </c>
      <c r="D769" s="7" t="s">
        <v>28</v>
      </c>
      <c r="E769" s="7" t="s">
        <v>31</v>
      </c>
      <c r="F769" s="8">
        <v>4.0</v>
      </c>
      <c r="G769" s="9">
        <v>2.0</v>
      </c>
    </row>
    <row r="770" ht="14.25" hidden="1" customHeight="1">
      <c r="B770" s="7" t="s">
        <v>15</v>
      </c>
      <c r="C770" s="7" t="s">
        <v>29</v>
      </c>
      <c r="D770" s="7" t="s">
        <v>11</v>
      </c>
      <c r="E770" s="7" t="s">
        <v>25</v>
      </c>
      <c r="F770" s="8">
        <v>4.0</v>
      </c>
      <c r="G770" s="9">
        <v>4.0</v>
      </c>
    </row>
    <row r="771" ht="14.25" hidden="1" customHeight="1">
      <c r="B771" s="7" t="s">
        <v>15</v>
      </c>
      <c r="C771" s="7" t="s">
        <v>30</v>
      </c>
      <c r="D771" s="7" t="s">
        <v>11</v>
      </c>
      <c r="E771" s="7" t="s">
        <v>10</v>
      </c>
      <c r="F771" s="8">
        <v>4.0</v>
      </c>
      <c r="G771" s="9">
        <v>2.0</v>
      </c>
    </row>
    <row r="772" ht="14.25" hidden="1" customHeight="1">
      <c r="B772" s="7" t="s">
        <v>15</v>
      </c>
      <c r="C772" s="7" t="s">
        <v>29</v>
      </c>
      <c r="D772" s="7" t="s">
        <v>11</v>
      </c>
      <c r="E772" s="7" t="s">
        <v>8</v>
      </c>
      <c r="F772" s="8">
        <v>4.0</v>
      </c>
      <c r="G772" s="9">
        <v>4.0</v>
      </c>
    </row>
    <row r="773" ht="14.25" hidden="1" customHeight="1">
      <c r="B773" s="7" t="s">
        <v>15</v>
      </c>
      <c r="C773" s="7" t="s">
        <v>7</v>
      </c>
      <c r="D773" s="7" t="s">
        <v>9</v>
      </c>
      <c r="E773" s="7" t="s">
        <v>25</v>
      </c>
      <c r="F773" s="8">
        <v>4.0</v>
      </c>
      <c r="G773" s="9">
        <v>2.0</v>
      </c>
    </row>
    <row r="774" ht="14.25" hidden="1" customHeight="1">
      <c r="B774" s="7" t="s">
        <v>15</v>
      </c>
      <c r="C774" s="7" t="s">
        <v>7</v>
      </c>
      <c r="D774" s="7" t="s">
        <v>9</v>
      </c>
      <c r="E774" s="7" t="s">
        <v>33</v>
      </c>
      <c r="F774" s="8">
        <v>4.0</v>
      </c>
      <c r="G774" s="9">
        <v>2.0</v>
      </c>
    </row>
    <row r="775" ht="14.25" hidden="1" customHeight="1">
      <c r="B775" s="7" t="s">
        <v>15</v>
      </c>
      <c r="C775" s="7" t="s">
        <v>30</v>
      </c>
      <c r="D775" s="7" t="s">
        <v>9</v>
      </c>
      <c r="E775" s="7" t="s">
        <v>10</v>
      </c>
      <c r="F775" s="8">
        <v>4.0</v>
      </c>
      <c r="G775" s="9">
        <v>2.0</v>
      </c>
    </row>
    <row r="776" ht="14.25" hidden="1" customHeight="1">
      <c r="B776" s="7" t="s">
        <v>15</v>
      </c>
      <c r="C776" s="7" t="s">
        <v>29</v>
      </c>
      <c r="D776" s="7" t="s">
        <v>9</v>
      </c>
      <c r="E776" s="7" t="s">
        <v>8</v>
      </c>
      <c r="F776" s="8">
        <v>4.0</v>
      </c>
      <c r="G776" s="9">
        <v>4.0</v>
      </c>
    </row>
    <row r="777" ht="14.25" hidden="1" customHeight="1">
      <c r="B777" s="7" t="s">
        <v>15</v>
      </c>
      <c r="C777" s="7" t="s">
        <v>29</v>
      </c>
      <c r="D777" s="7" t="s">
        <v>10</v>
      </c>
      <c r="E777" s="7" t="s">
        <v>25</v>
      </c>
      <c r="F777" s="8">
        <v>4.0</v>
      </c>
      <c r="G777" s="9">
        <v>4.0</v>
      </c>
    </row>
    <row r="778" ht="14.25" hidden="1" customHeight="1">
      <c r="B778" s="7" t="s">
        <v>15</v>
      </c>
      <c r="C778" s="7" t="s">
        <v>30</v>
      </c>
      <c r="D778" s="7" t="s">
        <v>10</v>
      </c>
      <c r="E778" s="7" t="s">
        <v>25</v>
      </c>
      <c r="F778" s="8">
        <v>4.0</v>
      </c>
      <c r="G778" s="9">
        <v>2.0</v>
      </c>
    </row>
    <row r="779" ht="14.25" hidden="1" customHeight="1">
      <c r="B779" s="7" t="s">
        <v>15</v>
      </c>
      <c r="C779" s="7" t="s">
        <v>7</v>
      </c>
      <c r="D779" s="7" t="s">
        <v>10</v>
      </c>
      <c r="E779" s="7" t="s">
        <v>32</v>
      </c>
      <c r="F779" s="8">
        <v>4.0</v>
      </c>
      <c r="G779" s="9">
        <v>2.0</v>
      </c>
    </row>
    <row r="780" ht="14.25" hidden="1" customHeight="1">
      <c r="B780" s="7" t="s">
        <v>15</v>
      </c>
      <c r="C780" s="7" t="s">
        <v>7</v>
      </c>
      <c r="D780" s="7" t="s">
        <v>10</v>
      </c>
      <c r="E780" s="7" t="s">
        <v>31</v>
      </c>
      <c r="F780" s="8">
        <v>4.0</v>
      </c>
      <c r="G780" s="9">
        <v>2.0</v>
      </c>
    </row>
    <row r="781" ht="14.25" hidden="1" customHeight="1">
      <c r="B781" s="7" t="s">
        <v>15</v>
      </c>
      <c r="C781" s="7" t="s">
        <v>7</v>
      </c>
      <c r="D781" s="7" t="s">
        <v>10</v>
      </c>
      <c r="E781" s="7" t="s">
        <v>31</v>
      </c>
      <c r="F781" s="8">
        <v>4.0</v>
      </c>
      <c r="G781" s="9">
        <v>2.0</v>
      </c>
    </row>
    <row r="782" ht="14.25" hidden="1" customHeight="1">
      <c r="B782" s="7" t="s">
        <v>15</v>
      </c>
      <c r="C782" s="7" t="s">
        <v>7</v>
      </c>
      <c r="D782" s="7" t="s">
        <v>10</v>
      </c>
      <c r="E782" s="7" t="s">
        <v>8</v>
      </c>
      <c r="F782" s="8">
        <v>4.0</v>
      </c>
      <c r="G782" s="9">
        <v>2.0</v>
      </c>
    </row>
    <row r="783" ht="14.25" hidden="1" customHeight="1">
      <c r="B783" s="7" t="s">
        <v>15</v>
      </c>
      <c r="C783" s="7" t="s">
        <v>7</v>
      </c>
      <c r="D783" s="7" t="s">
        <v>10</v>
      </c>
      <c r="E783" s="7" t="s">
        <v>8</v>
      </c>
      <c r="F783" s="8">
        <v>4.0</v>
      </c>
      <c r="G783" s="9">
        <v>2.0</v>
      </c>
    </row>
    <row r="784" ht="14.25" hidden="1" customHeight="1">
      <c r="B784" s="7" t="s">
        <v>15</v>
      </c>
      <c r="C784" s="7" t="s">
        <v>29</v>
      </c>
      <c r="D784" s="7" t="s">
        <v>32</v>
      </c>
      <c r="E784" s="7" t="s">
        <v>25</v>
      </c>
      <c r="F784" s="8">
        <v>4.0</v>
      </c>
      <c r="G784" s="9">
        <v>4.0</v>
      </c>
    </row>
    <row r="785" ht="14.25" hidden="1" customHeight="1">
      <c r="B785" s="7" t="s">
        <v>15</v>
      </c>
      <c r="C785" s="7" t="s">
        <v>30</v>
      </c>
      <c r="D785" s="7" t="s">
        <v>32</v>
      </c>
      <c r="E785" s="7" t="s">
        <v>25</v>
      </c>
      <c r="F785" s="8">
        <v>4.0</v>
      </c>
      <c r="G785" s="9">
        <v>2.0</v>
      </c>
    </row>
    <row r="786" ht="14.25" hidden="1" customHeight="1">
      <c r="B786" s="7" t="s">
        <v>15</v>
      </c>
      <c r="C786" s="7" t="s">
        <v>7</v>
      </c>
      <c r="D786" s="7" t="s">
        <v>32</v>
      </c>
      <c r="E786" s="7" t="s">
        <v>33</v>
      </c>
      <c r="F786" s="8">
        <v>4.0</v>
      </c>
      <c r="G786" s="9">
        <v>2.0</v>
      </c>
    </row>
    <row r="787" ht="14.25" hidden="1" customHeight="1">
      <c r="B787" s="7" t="s">
        <v>15</v>
      </c>
      <c r="C787" s="7" t="s">
        <v>7</v>
      </c>
      <c r="D787" s="7" t="s">
        <v>32</v>
      </c>
      <c r="E787" s="7" t="s">
        <v>33</v>
      </c>
      <c r="F787" s="8">
        <v>4.0</v>
      </c>
      <c r="G787" s="9">
        <v>2.0</v>
      </c>
    </row>
    <row r="788" ht="14.25" hidden="1" customHeight="1">
      <c r="B788" s="7" t="s">
        <v>15</v>
      </c>
      <c r="C788" s="7" t="s">
        <v>7</v>
      </c>
      <c r="D788" s="7" t="s">
        <v>32</v>
      </c>
      <c r="E788" s="7" t="s">
        <v>8</v>
      </c>
      <c r="F788" s="8">
        <v>4.0</v>
      </c>
      <c r="G788" s="9">
        <v>2.0</v>
      </c>
    </row>
    <row r="789" ht="14.25" hidden="1" customHeight="1">
      <c r="B789" s="7" t="s">
        <v>15</v>
      </c>
      <c r="C789" s="7" t="s">
        <v>7</v>
      </c>
      <c r="D789" s="7" t="s">
        <v>31</v>
      </c>
      <c r="E789" s="7" t="s">
        <v>28</v>
      </c>
      <c r="F789" s="8">
        <v>4.0</v>
      </c>
      <c r="G789" s="9">
        <v>2.0</v>
      </c>
    </row>
    <row r="790" ht="14.25" hidden="1" customHeight="1">
      <c r="B790" s="7" t="s">
        <v>15</v>
      </c>
      <c r="C790" s="7" t="s">
        <v>29</v>
      </c>
      <c r="D790" s="7" t="s">
        <v>31</v>
      </c>
      <c r="E790" s="7" t="s">
        <v>35</v>
      </c>
      <c r="F790" s="8">
        <v>4.0</v>
      </c>
      <c r="G790" s="9">
        <v>4.0</v>
      </c>
    </row>
    <row r="791" ht="14.25" hidden="1" customHeight="1">
      <c r="B791" s="7" t="s">
        <v>15</v>
      </c>
      <c r="C791" s="7" t="s">
        <v>7</v>
      </c>
      <c r="D791" s="7" t="s">
        <v>8</v>
      </c>
      <c r="E791" s="7" t="s">
        <v>9</v>
      </c>
      <c r="F791" s="8">
        <v>4.0</v>
      </c>
      <c r="G791" s="9">
        <v>2.0</v>
      </c>
    </row>
    <row r="792" ht="14.25" hidden="1" customHeight="1">
      <c r="B792" s="7" t="s">
        <v>15</v>
      </c>
      <c r="C792" s="7" t="s">
        <v>7</v>
      </c>
      <c r="D792" s="7" t="s">
        <v>8</v>
      </c>
      <c r="E792" s="7" t="s">
        <v>10</v>
      </c>
      <c r="F792" s="8">
        <v>4.0</v>
      </c>
      <c r="G792" s="9">
        <v>2.0</v>
      </c>
    </row>
    <row r="793" ht="14.25" hidden="1" customHeight="1">
      <c r="B793" s="7" t="s">
        <v>15</v>
      </c>
      <c r="C793" s="7" t="s">
        <v>29</v>
      </c>
      <c r="D793" s="7" t="s">
        <v>33</v>
      </c>
      <c r="E793" s="7" t="s">
        <v>31</v>
      </c>
      <c r="F793" s="8">
        <v>3.0</v>
      </c>
      <c r="G793" s="9">
        <v>3.0</v>
      </c>
    </row>
    <row r="794" ht="14.25" hidden="1" customHeight="1">
      <c r="B794" s="7" t="s">
        <v>15</v>
      </c>
      <c r="C794" s="7" t="s">
        <v>29</v>
      </c>
      <c r="D794" s="7" t="s">
        <v>28</v>
      </c>
      <c r="E794" s="7" t="s">
        <v>35</v>
      </c>
      <c r="F794" s="8">
        <v>3.0</v>
      </c>
      <c r="G794" s="9">
        <v>3.0</v>
      </c>
    </row>
    <row r="795" ht="14.25" hidden="1" customHeight="1">
      <c r="B795" s="7" t="s">
        <v>15</v>
      </c>
      <c r="C795" s="7" t="s">
        <v>29</v>
      </c>
      <c r="D795" s="7" t="s">
        <v>34</v>
      </c>
      <c r="E795" s="7" t="s">
        <v>28</v>
      </c>
      <c r="F795" s="8">
        <v>3.0</v>
      </c>
      <c r="G795" s="9">
        <v>3.0</v>
      </c>
    </row>
    <row r="796" ht="14.25" hidden="1" customHeight="1">
      <c r="B796" s="7" t="s">
        <v>15</v>
      </c>
      <c r="C796" s="7" t="s">
        <v>29</v>
      </c>
      <c r="D796" s="7" t="s">
        <v>9</v>
      </c>
      <c r="E796" s="7" t="s">
        <v>33</v>
      </c>
      <c r="F796" s="8">
        <v>3.0</v>
      </c>
      <c r="G796" s="9">
        <v>3.0</v>
      </c>
    </row>
    <row r="797" ht="14.25" hidden="1" customHeight="1">
      <c r="B797" s="7" t="s">
        <v>15</v>
      </c>
      <c r="C797" s="7" t="s">
        <v>29</v>
      </c>
      <c r="D797" s="7" t="s">
        <v>9</v>
      </c>
      <c r="E797" s="7" t="s">
        <v>28</v>
      </c>
      <c r="F797" s="8">
        <v>3.0</v>
      </c>
      <c r="G797" s="9">
        <v>3.0</v>
      </c>
    </row>
    <row r="798" ht="14.25" hidden="1" customHeight="1">
      <c r="B798" s="7" t="s">
        <v>15</v>
      </c>
      <c r="C798" s="7" t="s">
        <v>29</v>
      </c>
      <c r="D798" s="7" t="s">
        <v>9</v>
      </c>
      <c r="E798" s="7" t="s">
        <v>10</v>
      </c>
      <c r="F798" s="8">
        <v>3.0</v>
      </c>
      <c r="G798" s="9">
        <v>3.0</v>
      </c>
    </row>
    <row r="799" ht="14.25" hidden="1" customHeight="1">
      <c r="B799" s="7" t="s">
        <v>15</v>
      </c>
      <c r="C799" s="7" t="s">
        <v>29</v>
      </c>
      <c r="D799" s="7" t="s">
        <v>32</v>
      </c>
      <c r="E799" s="7" t="s">
        <v>28</v>
      </c>
      <c r="F799" s="8">
        <v>3.0</v>
      </c>
      <c r="G799" s="9">
        <v>3.0</v>
      </c>
    </row>
    <row r="800" ht="14.25" hidden="1" customHeight="1">
      <c r="B800" s="7" t="s">
        <v>15</v>
      </c>
      <c r="C800" s="7" t="s">
        <v>29</v>
      </c>
      <c r="D800" s="7" t="s">
        <v>32</v>
      </c>
      <c r="E800" s="7" t="s">
        <v>28</v>
      </c>
      <c r="F800" s="8">
        <v>3.0</v>
      </c>
      <c r="G800" s="9">
        <v>3.0</v>
      </c>
    </row>
    <row r="801" ht="14.25" hidden="1" customHeight="1">
      <c r="B801" s="7" t="s">
        <v>15</v>
      </c>
      <c r="C801" s="7" t="s">
        <v>29</v>
      </c>
      <c r="D801" s="7" t="s">
        <v>31</v>
      </c>
      <c r="E801" s="7" t="s">
        <v>9</v>
      </c>
      <c r="F801" s="8">
        <v>3.0</v>
      </c>
      <c r="G801" s="9">
        <v>3.0</v>
      </c>
    </row>
    <row r="802" ht="14.25" hidden="1" customHeight="1">
      <c r="B802" s="7" t="s">
        <v>15</v>
      </c>
      <c r="C802" s="7" t="s">
        <v>29</v>
      </c>
      <c r="D802" s="7" t="s">
        <v>8</v>
      </c>
      <c r="E802" s="7" t="s">
        <v>10</v>
      </c>
      <c r="F802" s="8">
        <v>3.0</v>
      </c>
      <c r="G802" s="9">
        <v>3.0</v>
      </c>
    </row>
    <row r="803" ht="14.25" hidden="1" customHeight="1">
      <c r="B803" s="7" t="s">
        <v>15</v>
      </c>
      <c r="C803" s="7" t="s">
        <v>7</v>
      </c>
      <c r="D803" s="7" t="s">
        <v>25</v>
      </c>
      <c r="E803" s="7" t="s">
        <v>33</v>
      </c>
      <c r="F803" s="8">
        <v>2.0</v>
      </c>
      <c r="G803" s="9">
        <v>1.0</v>
      </c>
    </row>
    <row r="804" ht="14.25" hidden="1" customHeight="1">
      <c r="B804" s="7" t="s">
        <v>15</v>
      </c>
      <c r="C804" s="7" t="s">
        <v>7</v>
      </c>
      <c r="D804" s="7" t="s">
        <v>25</v>
      </c>
      <c r="E804" s="7" t="s">
        <v>8</v>
      </c>
      <c r="F804" s="8">
        <v>2.0</v>
      </c>
      <c r="G804" s="9">
        <v>1.0</v>
      </c>
    </row>
    <row r="805" ht="14.25" hidden="1" customHeight="1">
      <c r="B805" s="7" t="s">
        <v>15</v>
      </c>
      <c r="C805" s="7" t="s">
        <v>30</v>
      </c>
      <c r="D805" s="7" t="s">
        <v>25</v>
      </c>
      <c r="E805" s="7" t="s">
        <v>8</v>
      </c>
      <c r="F805" s="8">
        <v>2.0</v>
      </c>
      <c r="G805" s="9">
        <v>1.0</v>
      </c>
    </row>
    <row r="806" ht="14.25" hidden="1" customHeight="1">
      <c r="B806" s="7" t="s">
        <v>15</v>
      </c>
      <c r="C806" s="7" t="s">
        <v>7</v>
      </c>
      <c r="D806" s="7" t="s">
        <v>33</v>
      </c>
      <c r="E806" s="7" t="s">
        <v>10</v>
      </c>
      <c r="F806" s="8">
        <v>2.0</v>
      </c>
      <c r="G806" s="9">
        <v>1.0</v>
      </c>
    </row>
    <row r="807" ht="14.25" hidden="1" customHeight="1">
      <c r="B807" s="7" t="s">
        <v>15</v>
      </c>
      <c r="C807" s="7" t="s">
        <v>7</v>
      </c>
      <c r="D807" s="7" t="s">
        <v>33</v>
      </c>
      <c r="E807" s="7" t="s">
        <v>10</v>
      </c>
      <c r="F807" s="8">
        <v>2.0</v>
      </c>
      <c r="G807" s="9">
        <v>1.0</v>
      </c>
    </row>
    <row r="808" ht="14.25" hidden="1" customHeight="1">
      <c r="B808" s="7" t="s">
        <v>15</v>
      </c>
      <c r="C808" s="7" t="s">
        <v>29</v>
      </c>
      <c r="D808" s="7" t="s">
        <v>33</v>
      </c>
      <c r="E808" s="7" t="s">
        <v>31</v>
      </c>
      <c r="F808" s="8">
        <v>2.0</v>
      </c>
      <c r="G808" s="9">
        <v>2.0</v>
      </c>
    </row>
    <row r="809" ht="14.25" hidden="1" customHeight="1">
      <c r="B809" s="7" t="s">
        <v>15</v>
      </c>
      <c r="C809" s="7" t="s">
        <v>29</v>
      </c>
      <c r="D809" s="7" t="s">
        <v>28</v>
      </c>
      <c r="E809" s="7" t="s">
        <v>9</v>
      </c>
      <c r="F809" s="8">
        <v>2.0</v>
      </c>
      <c r="G809" s="9">
        <v>2.0</v>
      </c>
    </row>
    <row r="810" ht="14.25" hidden="1" customHeight="1">
      <c r="B810" s="7" t="s">
        <v>15</v>
      </c>
      <c r="C810" s="7" t="s">
        <v>7</v>
      </c>
      <c r="D810" s="7" t="s">
        <v>28</v>
      </c>
      <c r="E810" s="7" t="s">
        <v>9</v>
      </c>
      <c r="F810" s="8">
        <v>2.0</v>
      </c>
      <c r="G810" s="9">
        <v>1.0</v>
      </c>
    </row>
    <row r="811" ht="14.25" hidden="1" customHeight="1">
      <c r="B811" s="7" t="s">
        <v>15</v>
      </c>
      <c r="C811" s="7" t="s">
        <v>29</v>
      </c>
      <c r="D811" s="7" t="s">
        <v>28</v>
      </c>
      <c r="E811" s="7" t="s">
        <v>31</v>
      </c>
      <c r="F811" s="8">
        <v>2.0</v>
      </c>
      <c r="G811" s="9">
        <v>2.0</v>
      </c>
    </row>
    <row r="812" ht="14.25" hidden="1" customHeight="1">
      <c r="B812" s="7" t="s">
        <v>15</v>
      </c>
      <c r="C812" s="7" t="s">
        <v>7</v>
      </c>
      <c r="D812" s="7" t="s">
        <v>28</v>
      </c>
      <c r="E812" s="7" t="s">
        <v>31</v>
      </c>
      <c r="F812" s="8">
        <v>2.0</v>
      </c>
      <c r="G812" s="9">
        <v>1.0</v>
      </c>
    </row>
    <row r="813" ht="14.25" hidden="1" customHeight="1">
      <c r="B813" s="7" t="s">
        <v>15</v>
      </c>
      <c r="C813" s="7" t="s">
        <v>7</v>
      </c>
      <c r="D813" s="7" t="s">
        <v>28</v>
      </c>
      <c r="E813" s="7" t="s">
        <v>31</v>
      </c>
      <c r="F813" s="8">
        <v>2.0</v>
      </c>
      <c r="G813" s="9">
        <v>1.0</v>
      </c>
    </row>
    <row r="814" ht="14.25" hidden="1" customHeight="1">
      <c r="B814" s="7" t="s">
        <v>15</v>
      </c>
      <c r="C814" s="7" t="s">
        <v>29</v>
      </c>
      <c r="D814" s="7" t="s">
        <v>11</v>
      </c>
      <c r="E814" s="7" t="s">
        <v>25</v>
      </c>
      <c r="F814" s="8">
        <v>2.0</v>
      </c>
      <c r="G814" s="9">
        <v>2.0</v>
      </c>
    </row>
    <row r="815" ht="14.25" hidden="1" customHeight="1">
      <c r="B815" s="7" t="s">
        <v>15</v>
      </c>
      <c r="C815" s="7" t="s">
        <v>29</v>
      </c>
      <c r="D815" s="7" t="s">
        <v>35</v>
      </c>
      <c r="E815" s="7" t="s">
        <v>32</v>
      </c>
      <c r="F815" s="8">
        <v>2.0</v>
      </c>
      <c r="G815" s="9">
        <v>2.0</v>
      </c>
    </row>
    <row r="816" ht="14.25" hidden="1" customHeight="1">
      <c r="B816" s="7" t="s">
        <v>15</v>
      </c>
      <c r="C816" s="7" t="s">
        <v>30</v>
      </c>
      <c r="D816" s="7" t="s">
        <v>34</v>
      </c>
      <c r="E816" s="7" t="s">
        <v>8</v>
      </c>
      <c r="F816" s="8">
        <v>2.0</v>
      </c>
      <c r="G816" s="9">
        <v>1.0</v>
      </c>
    </row>
    <row r="817" ht="14.25" hidden="1" customHeight="1">
      <c r="B817" s="7" t="s">
        <v>15</v>
      </c>
      <c r="C817" s="7" t="s">
        <v>7</v>
      </c>
      <c r="D817" s="7" t="s">
        <v>9</v>
      </c>
      <c r="E817" s="7" t="s">
        <v>25</v>
      </c>
      <c r="F817" s="8">
        <v>2.0</v>
      </c>
      <c r="G817" s="9">
        <v>1.0</v>
      </c>
    </row>
    <row r="818" ht="14.25" hidden="1" customHeight="1">
      <c r="B818" s="7" t="s">
        <v>15</v>
      </c>
      <c r="C818" s="7" t="s">
        <v>7</v>
      </c>
      <c r="D818" s="7" t="s">
        <v>9</v>
      </c>
      <c r="E818" s="7" t="s">
        <v>28</v>
      </c>
      <c r="F818" s="8">
        <v>2.0</v>
      </c>
      <c r="G818" s="9">
        <v>1.0</v>
      </c>
    </row>
    <row r="819" ht="14.25" hidden="1" customHeight="1">
      <c r="B819" s="7" t="s">
        <v>15</v>
      </c>
      <c r="C819" s="7" t="s">
        <v>30</v>
      </c>
      <c r="D819" s="7" t="s">
        <v>9</v>
      </c>
      <c r="E819" s="7" t="s">
        <v>28</v>
      </c>
      <c r="F819" s="8">
        <v>2.0</v>
      </c>
      <c r="G819" s="9">
        <v>1.0</v>
      </c>
    </row>
    <row r="820" ht="14.25" hidden="1" customHeight="1">
      <c r="B820" s="7" t="s">
        <v>15</v>
      </c>
      <c r="C820" s="7" t="s">
        <v>7</v>
      </c>
      <c r="D820" s="7" t="s">
        <v>9</v>
      </c>
      <c r="E820" s="7" t="s">
        <v>10</v>
      </c>
      <c r="F820" s="8">
        <v>2.0</v>
      </c>
      <c r="G820" s="9">
        <v>1.0</v>
      </c>
    </row>
    <row r="821" ht="14.25" hidden="1" customHeight="1">
      <c r="B821" s="7" t="s">
        <v>15</v>
      </c>
      <c r="C821" s="7" t="s">
        <v>29</v>
      </c>
      <c r="D821" s="7" t="s">
        <v>9</v>
      </c>
      <c r="E821" s="7" t="s">
        <v>31</v>
      </c>
      <c r="F821" s="8">
        <v>2.0</v>
      </c>
      <c r="G821" s="9">
        <v>2.0</v>
      </c>
    </row>
    <row r="822" ht="14.25" hidden="1" customHeight="1">
      <c r="B822" s="7" t="s">
        <v>15</v>
      </c>
      <c r="C822" s="7" t="s">
        <v>30</v>
      </c>
      <c r="D822" s="7" t="s">
        <v>9</v>
      </c>
      <c r="E822" s="7" t="s">
        <v>31</v>
      </c>
      <c r="F822" s="8">
        <v>2.0</v>
      </c>
      <c r="G822" s="9">
        <v>1.0</v>
      </c>
    </row>
    <row r="823" ht="14.25" hidden="1" customHeight="1">
      <c r="B823" s="7" t="s">
        <v>15</v>
      </c>
      <c r="C823" s="7" t="s">
        <v>7</v>
      </c>
      <c r="D823" s="7" t="s">
        <v>9</v>
      </c>
      <c r="E823" s="7" t="s">
        <v>8</v>
      </c>
      <c r="F823" s="8">
        <v>2.0</v>
      </c>
      <c r="G823" s="9">
        <v>1.0</v>
      </c>
    </row>
    <row r="824" ht="14.25" hidden="1" customHeight="1">
      <c r="B824" s="7" t="s">
        <v>15</v>
      </c>
      <c r="C824" s="7" t="s">
        <v>7</v>
      </c>
      <c r="D824" s="7" t="s">
        <v>24</v>
      </c>
      <c r="E824" s="7" t="s">
        <v>31</v>
      </c>
      <c r="F824" s="8">
        <v>2.0</v>
      </c>
      <c r="G824" s="9">
        <v>1.0</v>
      </c>
    </row>
    <row r="825" ht="14.25" hidden="1" customHeight="1">
      <c r="B825" s="7" t="s">
        <v>15</v>
      </c>
      <c r="C825" s="7" t="s">
        <v>7</v>
      </c>
      <c r="D825" s="7" t="s">
        <v>10</v>
      </c>
      <c r="E825" s="7" t="s">
        <v>25</v>
      </c>
      <c r="F825" s="8">
        <v>2.0</v>
      </c>
      <c r="G825" s="9">
        <v>1.0</v>
      </c>
    </row>
    <row r="826" ht="14.25" hidden="1" customHeight="1">
      <c r="B826" s="7" t="s">
        <v>15</v>
      </c>
      <c r="C826" s="7" t="s">
        <v>7</v>
      </c>
      <c r="D826" s="7" t="s">
        <v>10</v>
      </c>
      <c r="E826" s="7" t="s">
        <v>33</v>
      </c>
      <c r="F826" s="8">
        <v>2.0</v>
      </c>
      <c r="G826" s="9">
        <v>2.0</v>
      </c>
    </row>
    <row r="827" ht="14.25" hidden="1" customHeight="1">
      <c r="B827" s="7" t="s">
        <v>15</v>
      </c>
      <c r="C827" s="7" t="s">
        <v>30</v>
      </c>
      <c r="D827" s="7" t="s">
        <v>10</v>
      </c>
      <c r="E827" s="7" t="s">
        <v>33</v>
      </c>
      <c r="F827" s="8">
        <v>2.0</v>
      </c>
      <c r="G827" s="9">
        <v>1.0</v>
      </c>
    </row>
    <row r="828" ht="14.25" hidden="1" customHeight="1">
      <c r="B828" s="7" t="s">
        <v>15</v>
      </c>
      <c r="C828" s="7" t="s">
        <v>7</v>
      </c>
      <c r="D828" s="7" t="s">
        <v>10</v>
      </c>
      <c r="E828" s="7" t="s">
        <v>28</v>
      </c>
      <c r="F828" s="8">
        <v>2.0</v>
      </c>
      <c r="G828" s="9">
        <v>1.0</v>
      </c>
    </row>
    <row r="829" ht="14.25" hidden="1" customHeight="1">
      <c r="B829" s="7" t="s">
        <v>15</v>
      </c>
      <c r="C829" s="7" t="s">
        <v>7</v>
      </c>
      <c r="D829" s="7" t="s">
        <v>10</v>
      </c>
      <c r="E829" s="7" t="s">
        <v>28</v>
      </c>
      <c r="F829" s="8">
        <v>2.0</v>
      </c>
      <c r="G829" s="9">
        <v>1.0</v>
      </c>
    </row>
    <row r="830" ht="14.25" hidden="1" customHeight="1">
      <c r="B830" s="7" t="s">
        <v>15</v>
      </c>
      <c r="C830" s="7" t="s">
        <v>30</v>
      </c>
      <c r="D830" s="7" t="s">
        <v>10</v>
      </c>
      <c r="E830" s="7" t="s">
        <v>28</v>
      </c>
      <c r="F830" s="8">
        <v>2.0</v>
      </c>
      <c r="G830" s="9">
        <v>1.0</v>
      </c>
    </row>
    <row r="831" ht="14.25" hidden="1" customHeight="1">
      <c r="B831" s="7" t="s">
        <v>15</v>
      </c>
      <c r="C831" s="7" t="s">
        <v>7</v>
      </c>
      <c r="D831" s="7" t="s">
        <v>10</v>
      </c>
      <c r="E831" s="7" t="s">
        <v>35</v>
      </c>
      <c r="F831" s="8">
        <v>2.0</v>
      </c>
      <c r="G831" s="9">
        <v>1.0</v>
      </c>
    </row>
    <row r="832" ht="14.25" hidden="1" customHeight="1">
      <c r="B832" s="7" t="s">
        <v>15</v>
      </c>
      <c r="C832" s="7" t="s">
        <v>29</v>
      </c>
      <c r="D832" s="7" t="s">
        <v>10</v>
      </c>
      <c r="E832" s="7" t="s">
        <v>24</v>
      </c>
      <c r="F832" s="8">
        <v>2.0</v>
      </c>
      <c r="G832" s="9">
        <v>2.0</v>
      </c>
    </row>
    <row r="833" ht="14.25" hidden="1" customHeight="1">
      <c r="B833" s="7" t="s">
        <v>15</v>
      </c>
      <c r="C833" s="7" t="s">
        <v>7</v>
      </c>
      <c r="D833" s="7" t="s">
        <v>32</v>
      </c>
      <c r="E833" s="7" t="s">
        <v>25</v>
      </c>
      <c r="F833" s="8">
        <v>2.0</v>
      </c>
      <c r="G833" s="9">
        <v>2.0</v>
      </c>
    </row>
    <row r="834" ht="14.25" hidden="1" customHeight="1">
      <c r="B834" s="7" t="s">
        <v>15</v>
      </c>
      <c r="C834" s="7" t="s">
        <v>7</v>
      </c>
      <c r="D834" s="7" t="s">
        <v>32</v>
      </c>
      <c r="E834" s="7" t="s">
        <v>25</v>
      </c>
      <c r="F834" s="8">
        <v>2.0</v>
      </c>
      <c r="G834" s="9">
        <v>1.0</v>
      </c>
    </row>
    <row r="835" ht="14.25" hidden="1" customHeight="1">
      <c r="B835" s="7" t="s">
        <v>15</v>
      </c>
      <c r="C835" s="7" t="s">
        <v>29</v>
      </c>
      <c r="D835" s="7" t="s">
        <v>32</v>
      </c>
      <c r="E835" s="7" t="s">
        <v>28</v>
      </c>
      <c r="F835" s="8">
        <v>2.0</v>
      </c>
      <c r="G835" s="9">
        <v>2.0</v>
      </c>
    </row>
    <row r="836" ht="14.25" hidden="1" customHeight="1">
      <c r="B836" s="7" t="s">
        <v>15</v>
      </c>
      <c r="C836" s="7" t="s">
        <v>29</v>
      </c>
      <c r="D836" s="7" t="s">
        <v>32</v>
      </c>
      <c r="E836" s="7" t="s">
        <v>31</v>
      </c>
      <c r="F836" s="8">
        <v>2.0</v>
      </c>
      <c r="G836" s="9">
        <v>2.0</v>
      </c>
    </row>
    <row r="837" ht="14.25" hidden="1" customHeight="1">
      <c r="B837" s="7" t="s">
        <v>15</v>
      </c>
      <c r="C837" s="7" t="s">
        <v>7</v>
      </c>
      <c r="D837" s="7" t="s">
        <v>32</v>
      </c>
      <c r="E837" s="7" t="s">
        <v>31</v>
      </c>
      <c r="F837" s="8">
        <v>2.0</v>
      </c>
      <c r="G837" s="9">
        <v>1.0</v>
      </c>
    </row>
    <row r="838" ht="14.25" hidden="1" customHeight="1">
      <c r="B838" s="7" t="s">
        <v>15</v>
      </c>
      <c r="C838" s="7" t="s">
        <v>7</v>
      </c>
      <c r="D838" s="7" t="s">
        <v>31</v>
      </c>
      <c r="E838" s="7" t="s">
        <v>25</v>
      </c>
      <c r="F838" s="8">
        <v>2.0</v>
      </c>
      <c r="G838" s="9">
        <v>1.0</v>
      </c>
    </row>
    <row r="839" ht="14.25" hidden="1" customHeight="1">
      <c r="B839" s="7" t="s">
        <v>15</v>
      </c>
      <c r="C839" s="7" t="s">
        <v>7</v>
      </c>
      <c r="D839" s="7" t="s">
        <v>31</v>
      </c>
      <c r="E839" s="7" t="s">
        <v>28</v>
      </c>
      <c r="F839" s="8">
        <v>2.0</v>
      </c>
      <c r="G839" s="9">
        <v>1.0</v>
      </c>
    </row>
    <row r="840" ht="14.25" hidden="1" customHeight="1">
      <c r="B840" s="7" t="s">
        <v>15</v>
      </c>
      <c r="C840" s="7" t="s">
        <v>30</v>
      </c>
      <c r="D840" s="7" t="s">
        <v>31</v>
      </c>
      <c r="E840" s="7" t="s">
        <v>35</v>
      </c>
      <c r="F840" s="8">
        <v>2.0</v>
      </c>
      <c r="G840" s="9">
        <v>1.0</v>
      </c>
    </row>
    <row r="841" ht="14.25" hidden="1" customHeight="1">
      <c r="B841" s="7" t="s">
        <v>15</v>
      </c>
      <c r="C841" s="7" t="s">
        <v>29</v>
      </c>
      <c r="D841" s="7" t="s">
        <v>31</v>
      </c>
      <c r="E841" s="7" t="s">
        <v>10</v>
      </c>
      <c r="F841" s="8">
        <v>2.0</v>
      </c>
      <c r="G841" s="9">
        <v>2.0</v>
      </c>
    </row>
    <row r="842" ht="14.25" hidden="1" customHeight="1">
      <c r="B842" s="7" t="s">
        <v>15</v>
      </c>
      <c r="C842" s="7" t="s">
        <v>7</v>
      </c>
      <c r="D842" s="7" t="s">
        <v>31</v>
      </c>
      <c r="E842" s="7" t="s">
        <v>32</v>
      </c>
      <c r="F842" s="8">
        <v>2.0</v>
      </c>
      <c r="G842" s="9">
        <v>1.0</v>
      </c>
    </row>
    <row r="843" ht="14.25" hidden="1" customHeight="1">
      <c r="B843" s="7" t="s">
        <v>15</v>
      </c>
      <c r="C843" s="7" t="s">
        <v>7</v>
      </c>
      <c r="D843" s="7" t="s">
        <v>31</v>
      </c>
      <c r="E843" s="7" t="s">
        <v>31</v>
      </c>
      <c r="F843" s="8">
        <v>2.0</v>
      </c>
      <c r="G843" s="9">
        <v>1.0</v>
      </c>
    </row>
    <row r="844" ht="14.25" hidden="1" customHeight="1">
      <c r="B844" s="7" t="s">
        <v>15</v>
      </c>
      <c r="C844" s="7" t="s">
        <v>7</v>
      </c>
      <c r="D844" s="7" t="s">
        <v>8</v>
      </c>
      <c r="E844" s="7" t="s">
        <v>25</v>
      </c>
      <c r="F844" s="8">
        <v>2.0</v>
      </c>
      <c r="G844" s="9">
        <v>2.0</v>
      </c>
    </row>
    <row r="845" ht="14.25" hidden="1" customHeight="1">
      <c r="B845" s="7" t="s">
        <v>15</v>
      </c>
      <c r="C845" s="7" t="s">
        <v>7</v>
      </c>
      <c r="D845" s="7" t="s">
        <v>8</v>
      </c>
      <c r="E845" s="7" t="s">
        <v>25</v>
      </c>
      <c r="F845" s="8">
        <v>2.0</v>
      </c>
      <c r="G845" s="9">
        <v>1.0</v>
      </c>
    </row>
    <row r="846" ht="14.25" hidden="1" customHeight="1">
      <c r="B846" s="7" t="s">
        <v>15</v>
      </c>
      <c r="C846" s="7" t="s">
        <v>7</v>
      </c>
      <c r="D846" s="7" t="s">
        <v>8</v>
      </c>
      <c r="E846" s="7" t="s">
        <v>35</v>
      </c>
      <c r="F846" s="8">
        <v>2.0</v>
      </c>
      <c r="G846" s="9">
        <v>1.0</v>
      </c>
    </row>
    <row r="847" ht="14.25" hidden="1" customHeight="1">
      <c r="B847" s="7" t="s">
        <v>15</v>
      </c>
      <c r="C847" s="7" t="s">
        <v>36</v>
      </c>
      <c r="D847" s="7" t="s">
        <v>8</v>
      </c>
      <c r="E847" s="7" t="s">
        <v>9</v>
      </c>
      <c r="F847" s="8">
        <v>2.0</v>
      </c>
      <c r="G847" s="9">
        <v>2.0</v>
      </c>
    </row>
    <row r="848" ht="14.25" hidden="1" customHeight="1">
      <c r="B848" s="7" t="s">
        <v>15</v>
      </c>
      <c r="C848" s="7" t="s">
        <v>30</v>
      </c>
      <c r="D848" s="7" t="s">
        <v>8</v>
      </c>
      <c r="E848" s="7" t="s">
        <v>9</v>
      </c>
      <c r="F848" s="8">
        <v>2.0</v>
      </c>
      <c r="G848" s="9">
        <v>1.0</v>
      </c>
    </row>
    <row r="849" ht="14.25" hidden="1" customHeight="1">
      <c r="B849" s="7" t="s">
        <v>15</v>
      </c>
      <c r="C849" s="7" t="s">
        <v>7</v>
      </c>
      <c r="D849" s="7" t="s">
        <v>8</v>
      </c>
      <c r="E849" s="7" t="s">
        <v>9</v>
      </c>
      <c r="F849" s="8">
        <v>2.0</v>
      </c>
      <c r="G849" s="9">
        <v>1.0</v>
      </c>
    </row>
    <row r="850" ht="14.25" hidden="1" customHeight="1">
      <c r="B850" s="7" t="s">
        <v>15</v>
      </c>
      <c r="C850" s="7" t="s">
        <v>36</v>
      </c>
      <c r="D850" s="7" t="s">
        <v>8</v>
      </c>
      <c r="E850" s="7" t="s">
        <v>24</v>
      </c>
      <c r="F850" s="8">
        <v>2.0</v>
      </c>
      <c r="G850" s="9">
        <v>2.0</v>
      </c>
    </row>
    <row r="851" ht="14.25" hidden="1" customHeight="1">
      <c r="B851" s="7" t="s">
        <v>15</v>
      </c>
      <c r="C851" s="7" t="s">
        <v>36</v>
      </c>
      <c r="D851" s="7" t="s">
        <v>25</v>
      </c>
      <c r="E851" s="7" t="s">
        <v>33</v>
      </c>
      <c r="F851" s="8">
        <v>1.0</v>
      </c>
      <c r="G851" s="9">
        <v>1.0</v>
      </c>
    </row>
    <row r="852" ht="14.25" hidden="1" customHeight="1">
      <c r="B852" s="7" t="s">
        <v>15</v>
      </c>
      <c r="C852" s="7" t="s">
        <v>29</v>
      </c>
      <c r="D852" s="7" t="s">
        <v>25</v>
      </c>
      <c r="E852" s="7" t="s">
        <v>35</v>
      </c>
      <c r="F852" s="8">
        <v>1.0</v>
      </c>
      <c r="G852" s="9">
        <v>1.0</v>
      </c>
    </row>
    <row r="853" ht="14.25" hidden="1" customHeight="1">
      <c r="B853" s="7" t="s">
        <v>15</v>
      </c>
      <c r="C853" s="7" t="s">
        <v>29</v>
      </c>
      <c r="D853" s="7" t="s">
        <v>25</v>
      </c>
      <c r="E853" s="7" t="s">
        <v>32</v>
      </c>
      <c r="F853" s="8">
        <v>1.0</v>
      </c>
      <c r="G853" s="9">
        <v>1.0</v>
      </c>
    </row>
    <row r="854" ht="14.25" hidden="1" customHeight="1">
      <c r="B854" s="7" t="s">
        <v>15</v>
      </c>
      <c r="C854" s="7" t="s">
        <v>29</v>
      </c>
      <c r="D854" s="7" t="s">
        <v>33</v>
      </c>
      <c r="E854" s="7" t="s">
        <v>28</v>
      </c>
      <c r="F854" s="8">
        <v>1.0</v>
      </c>
      <c r="G854" s="9">
        <v>1.0</v>
      </c>
    </row>
    <row r="855" ht="14.25" hidden="1" customHeight="1">
      <c r="B855" s="7" t="s">
        <v>15</v>
      </c>
      <c r="C855" s="7" t="s">
        <v>29</v>
      </c>
      <c r="D855" s="7" t="s">
        <v>33</v>
      </c>
      <c r="E855" s="7" t="s">
        <v>10</v>
      </c>
      <c r="F855" s="8">
        <v>1.0</v>
      </c>
      <c r="G855" s="9">
        <v>1.0</v>
      </c>
    </row>
    <row r="856" ht="14.25" hidden="1" customHeight="1">
      <c r="B856" s="7" t="s">
        <v>15</v>
      </c>
      <c r="C856" s="7" t="s">
        <v>36</v>
      </c>
      <c r="D856" s="7" t="s">
        <v>33</v>
      </c>
      <c r="E856" s="7" t="s">
        <v>31</v>
      </c>
      <c r="F856" s="8">
        <v>1.0</v>
      </c>
      <c r="G856" s="9">
        <v>1.0</v>
      </c>
    </row>
    <row r="857" ht="14.25" hidden="1" customHeight="1">
      <c r="B857" s="7" t="s">
        <v>15</v>
      </c>
      <c r="C857" s="7" t="s">
        <v>36</v>
      </c>
      <c r="D857" s="7" t="s">
        <v>33</v>
      </c>
      <c r="E857" s="7" t="s">
        <v>8</v>
      </c>
      <c r="F857" s="8">
        <v>1.0</v>
      </c>
      <c r="G857" s="9">
        <v>1.0</v>
      </c>
    </row>
    <row r="858" ht="14.25" hidden="1" customHeight="1">
      <c r="B858" s="7" t="s">
        <v>15</v>
      </c>
      <c r="C858" s="7" t="s">
        <v>29</v>
      </c>
      <c r="D858" s="7" t="s">
        <v>28</v>
      </c>
      <c r="E858" s="7" t="s">
        <v>31</v>
      </c>
      <c r="F858" s="8">
        <v>1.0</v>
      </c>
      <c r="G858" s="9">
        <v>1.0</v>
      </c>
    </row>
    <row r="859" ht="14.25" hidden="1" customHeight="1">
      <c r="B859" s="7" t="s">
        <v>15</v>
      </c>
      <c r="C859" s="7" t="s">
        <v>36</v>
      </c>
      <c r="D859" s="7" t="s">
        <v>11</v>
      </c>
      <c r="E859" s="7" t="s">
        <v>31</v>
      </c>
      <c r="F859" s="8">
        <v>1.0</v>
      </c>
      <c r="G859" s="9">
        <v>1.0</v>
      </c>
    </row>
    <row r="860" ht="14.25" hidden="1" customHeight="1">
      <c r="B860" s="7" t="s">
        <v>15</v>
      </c>
      <c r="C860" s="7" t="s">
        <v>36</v>
      </c>
      <c r="D860" s="7" t="s">
        <v>11</v>
      </c>
      <c r="E860" s="7" t="s">
        <v>8</v>
      </c>
      <c r="F860" s="8">
        <v>1.0</v>
      </c>
      <c r="G860" s="9">
        <v>1.0</v>
      </c>
    </row>
    <row r="861" ht="14.25" hidden="1" customHeight="1">
      <c r="B861" s="7" t="s">
        <v>15</v>
      </c>
      <c r="C861" s="7" t="s">
        <v>29</v>
      </c>
      <c r="D861" s="7" t="s">
        <v>35</v>
      </c>
      <c r="E861" s="7" t="s">
        <v>28</v>
      </c>
      <c r="F861" s="8">
        <v>1.0</v>
      </c>
      <c r="G861" s="9">
        <v>1.0</v>
      </c>
    </row>
    <row r="862" ht="14.25" hidden="1" customHeight="1">
      <c r="B862" s="7" t="s">
        <v>15</v>
      </c>
      <c r="C862" s="7" t="s">
        <v>29</v>
      </c>
      <c r="D862" s="7" t="s">
        <v>34</v>
      </c>
      <c r="E862" s="7" t="s">
        <v>32</v>
      </c>
      <c r="F862" s="8">
        <v>1.0</v>
      </c>
      <c r="G862" s="9">
        <v>1.0</v>
      </c>
    </row>
    <row r="863" ht="14.25" hidden="1" customHeight="1">
      <c r="B863" s="7" t="s">
        <v>15</v>
      </c>
      <c r="C863" s="7" t="s">
        <v>29</v>
      </c>
      <c r="D863" s="7" t="s">
        <v>9</v>
      </c>
      <c r="E863" s="7" t="s">
        <v>31</v>
      </c>
      <c r="F863" s="8">
        <v>1.0</v>
      </c>
      <c r="G863" s="9">
        <v>1.0</v>
      </c>
    </row>
    <row r="864" ht="14.25" hidden="1" customHeight="1">
      <c r="B864" s="7" t="s">
        <v>15</v>
      </c>
      <c r="C864" s="7" t="s">
        <v>36</v>
      </c>
      <c r="D864" s="7" t="s">
        <v>9</v>
      </c>
      <c r="E864" s="7" t="s">
        <v>31</v>
      </c>
      <c r="F864" s="8">
        <v>1.0</v>
      </c>
      <c r="G864" s="9">
        <v>1.0</v>
      </c>
    </row>
    <row r="865" ht="14.25" hidden="1" customHeight="1">
      <c r="B865" s="7" t="s">
        <v>15</v>
      </c>
      <c r="C865" s="7" t="s">
        <v>29</v>
      </c>
      <c r="D865" s="7" t="s">
        <v>10</v>
      </c>
      <c r="E865" s="7" t="s">
        <v>25</v>
      </c>
      <c r="F865" s="8">
        <v>1.0</v>
      </c>
      <c r="G865" s="9">
        <v>1.0</v>
      </c>
    </row>
    <row r="866" ht="14.25" hidden="1" customHeight="1">
      <c r="B866" s="7" t="s">
        <v>15</v>
      </c>
      <c r="C866" s="7" t="s">
        <v>29</v>
      </c>
      <c r="D866" s="7" t="s">
        <v>10</v>
      </c>
      <c r="E866" s="7" t="s">
        <v>9</v>
      </c>
      <c r="F866" s="8">
        <v>1.0</v>
      </c>
      <c r="G866" s="9">
        <v>1.0</v>
      </c>
    </row>
    <row r="867" ht="14.25" hidden="1" customHeight="1">
      <c r="B867" s="7" t="s">
        <v>15</v>
      </c>
      <c r="C867" s="7" t="s">
        <v>29</v>
      </c>
      <c r="D867" s="7" t="s">
        <v>10</v>
      </c>
      <c r="E867" s="7" t="s">
        <v>31</v>
      </c>
      <c r="F867" s="8">
        <v>1.0</v>
      </c>
      <c r="G867" s="9">
        <v>1.0</v>
      </c>
    </row>
    <row r="868" ht="14.25" hidden="1" customHeight="1">
      <c r="B868" s="7" t="s">
        <v>15</v>
      </c>
      <c r="C868" s="7" t="s">
        <v>36</v>
      </c>
      <c r="D868" s="7" t="s">
        <v>10</v>
      </c>
      <c r="E868" s="7" t="s">
        <v>8</v>
      </c>
      <c r="F868" s="8">
        <v>1.0</v>
      </c>
      <c r="G868" s="9">
        <v>1.0</v>
      </c>
    </row>
    <row r="869" ht="14.25" hidden="1" customHeight="1">
      <c r="B869" s="7" t="s">
        <v>15</v>
      </c>
      <c r="C869" s="7" t="s">
        <v>29</v>
      </c>
      <c r="D869" s="7" t="s">
        <v>32</v>
      </c>
      <c r="E869" s="7" t="s">
        <v>31</v>
      </c>
      <c r="F869" s="8">
        <v>1.0</v>
      </c>
      <c r="G869" s="9">
        <v>1.0</v>
      </c>
    </row>
    <row r="870" ht="14.25" hidden="1" customHeight="1">
      <c r="B870" s="7" t="s">
        <v>15</v>
      </c>
      <c r="C870" s="7" t="s">
        <v>29</v>
      </c>
      <c r="D870" s="7" t="s">
        <v>31</v>
      </c>
      <c r="E870" s="7" t="s">
        <v>33</v>
      </c>
      <c r="F870" s="8">
        <v>1.0</v>
      </c>
      <c r="G870" s="9">
        <v>1.0</v>
      </c>
    </row>
    <row r="871" ht="14.25" hidden="1" customHeight="1">
      <c r="B871" s="7" t="s">
        <v>15</v>
      </c>
      <c r="C871" s="7" t="s">
        <v>29</v>
      </c>
      <c r="D871" s="7" t="s">
        <v>31</v>
      </c>
      <c r="E871" s="7" t="s">
        <v>10</v>
      </c>
      <c r="F871" s="8">
        <v>1.0</v>
      </c>
      <c r="G871" s="9">
        <v>1.0</v>
      </c>
    </row>
    <row r="872" ht="14.25" hidden="1" customHeight="1">
      <c r="B872" s="7" t="s">
        <v>15</v>
      </c>
      <c r="C872" s="7" t="s">
        <v>36</v>
      </c>
      <c r="D872" s="7" t="s">
        <v>31</v>
      </c>
      <c r="E872" s="7" t="s">
        <v>31</v>
      </c>
      <c r="F872" s="8">
        <v>1.0</v>
      </c>
      <c r="G872" s="9">
        <v>1.0</v>
      </c>
    </row>
    <row r="873" ht="14.25" hidden="1" customHeight="1">
      <c r="B873" s="7" t="s">
        <v>15</v>
      </c>
      <c r="C873" s="7" t="s">
        <v>29</v>
      </c>
      <c r="D873" s="7" t="s">
        <v>31</v>
      </c>
      <c r="E873" s="7" t="s">
        <v>8</v>
      </c>
      <c r="F873" s="8">
        <v>1.0</v>
      </c>
      <c r="G873" s="9">
        <v>1.0</v>
      </c>
    </row>
    <row r="874" ht="14.25" hidden="1" customHeight="1">
      <c r="B874" s="7" t="s">
        <v>15</v>
      </c>
      <c r="C874" s="7" t="s">
        <v>29</v>
      </c>
      <c r="D874" s="7" t="s">
        <v>8</v>
      </c>
      <c r="E874" s="7" t="s">
        <v>33</v>
      </c>
      <c r="F874" s="8">
        <v>1.0</v>
      </c>
      <c r="G874" s="9">
        <v>1.0</v>
      </c>
    </row>
    <row r="875" ht="14.25" hidden="1" customHeight="1">
      <c r="B875" s="7" t="s">
        <v>15</v>
      </c>
      <c r="C875" s="7" t="s">
        <v>29</v>
      </c>
      <c r="D875" s="7" t="s">
        <v>8</v>
      </c>
      <c r="E875" s="7" t="s">
        <v>35</v>
      </c>
      <c r="F875" s="8">
        <v>1.0</v>
      </c>
      <c r="G875" s="9">
        <v>1.0</v>
      </c>
    </row>
    <row r="876" ht="14.25" customHeight="1">
      <c r="B876" s="7" t="s">
        <v>15</v>
      </c>
      <c r="C876" s="7" t="s">
        <v>29</v>
      </c>
      <c r="D876" s="7" t="s">
        <v>8</v>
      </c>
      <c r="E876" s="7" t="s">
        <v>31</v>
      </c>
      <c r="F876" s="8">
        <v>1.0</v>
      </c>
      <c r="G876" s="9">
        <v>1.0</v>
      </c>
    </row>
    <row r="877" ht="14.25" customHeight="1">
      <c r="B877" s="7" t="s">
        <v>15</v>
      </c>
      <c r="C877" s="7" t="s">
        <v>29</v>
      </c>
      <c r="D877" s="7" t="s">
        <v>8</v>
      </c>
      <c r="E877" s="7" t="s">
        <v>31</v>
      </c>
      <c r="F877" s="8">
        <v>1.0</v>
      </c>
      <c r="G877" s="9">
        <v>1.0</v>
      </c>
    </row>
    <row r="878" ht="14.25" customHeight="1">
      <c r="B878" s="7" t="s">
        <v>15</v>
      </c>
      <c r="C878" s="7" t="s">
        <v>36</v>
      </c>
      <c r="D878" s="7" t="s">
        <v>8</v>
      </c>
      <c r="E878" s="7" t="s">
        <v>31</v>
      </c>
      <c r="F878" s="8">
        <v>1.0</v>
      </c>
      <c r="G878" s="9">
        <v>1.0</v>
      </c>
    </row>
    <row r="879" ht="14.25" hidden="1" customHeight="1">
      <c r="B879" s="7" t="s">
        <v>19</v>
      </c>
      <c r="C879" s="7" t="s">
        <v>7</v>
      </c>
      <c r="D879" s="7" t="s">
        <v>25</v>
      </c>
      <c r="E879" s="7" t="s">
        <v>8</v>
      </c>
      <c r="F879" s="8">
        <v>5872.0</v>
      </c>
      <c r="G879" s="9">
        <v>2936.0</v>
      </c>
    </row>
    <row r="880" ht="14.25" hidden="1" customHeight="1">
      <c r="B880" s="7" t="s">
        <v>19</v>
      </c>
      <c r="C880" s="7" t="s">
        <v>7</v>
      </c>
      <c r="D880" s="7" t="s">
        <v>8</v>
      </c>
      <c r="E880" s="7" t="s">
        <v>24</v>
      </c>
      <c r="F880" s="8">
        <v>4938.0</v>
      </c>
      <c r="G880" s="9">
        <v>2469.0</v>
      </c>
    </row>
    <row r="881" ht="14.25" hidden="1" customHeight="1">
      <c r="B881" s="7" t="s">
        <v>19</v>
      </c>
      <c r="C881" s="7" t="s">
        <v>7</v>
      </c>
      <c r="D881" s="7" t="s">
        <v>25</v>
      </c>
      <c r="E881" s="7" t="s">
        <v>8</v>
      </c>
      <c r="F881" s="8">
        <v>4790.0</v>
      </c>
      <c r="G881" s="9">
        <v>2395.0</v>
      </c>
    </row>
    <row r="882" ht="14.25" hidden="1" customHeight="1">
      <c r="B882" s="7" t="s">
        <v>19</v>
      </c>
      <c r="C882" s="7" t="s">
        <v>7</v>
      </c>
      <c r="D882" s="7" t="s">
        <v>8</v>
      </c>
      <c r="E882" s="7" t="s">
        <v>9</v>
      </c>
      <c r="F882" s="8">
        <v>4150.0</v>
      </c>
      <c r="G882" s="9">
        <v>2075.0</v>
      </c>
    </row>
    <row r="883" ht="14.25" hidden="1" customHeight="1">
      <c r="B883" s="7" t="s">
        <v>19</v>
      </c>
      <c r="C883" s="7" t="s">
        <v>7</v>
      </c>
      <c r="D883" s="7" t="s">
        <v>8</v>
      </c>
      <c r="E883" s="7" t="s">
        <v>28</v>
      </c>
      <c r="F883" s="8">
        <v>3730.0</v>
      </c>
      <c r="G883" s="9">
        <v>1865.0</v>
      </c>
    </row>
    <row r="884" ht="14.25" hidden="1" customHeight="1">
      <c r="B884" s="7" t="s">
        <v>19</v>
      </c>
      <c r="C884" s="7" t="s">
        <v>7</v>
      </c>
      <c r="D884" s="7" t="s">
        <v>9</v>
      </c>
      <c r="E884" s="7" t="s">
        <v>25</v>
      </c>
      <c r="F884" s="8">
        <v>3044.0</v>
      </c>
      <c r="G884" s="9">
        <v>1522.0</v>
      </c>
    </row>
    <row r="885" ht="14.25" hidden="1" customHeight="1">
      <c r="B885" s="7" t="s">
        <v>19</v>
      </c>
      <c r="C885" s="7" t="s">
        <v>29</v>
      </c>
      <c r="D885" s="7" t="s">
        <v>11</v>
      </c>
      <c r="E885" s="7" t="s">
        <v>10</v>
      </c>
      <c r="F885" s="8">
        <v>2924.0</v>
      </c>
      <c r="G885" s="9">
        <v>2924.0</v>
      </c>
    </row>
    <row r="886" ht="14.25" hidden="1" customHeight="1">
      <c r="B886" s="7" t="s">
        <v>19</v>
      </c>
      <c r="C886" s="7" t="s">
        <v>7</v>
      </c>
      <c r="D886" s="7" t="s">
        <v>8</v>
      </c>
      <c r="E886" s="7" t="s">
        <v>25</v>
      </c>
      <c r="F886" s="8">
        <v>2620.0</v>
      </c>
      <c r="G886" s="9">
        <v>1310.0</v>
      </c>
    </row>
    <row r="887" ht="14.25" hidden="1" customHeight="1">
      <c r="B887" s="7" t="s">
        <v>19</v>
      </c>
      <c r="C887" s="7" t="s">
        <v>7</v>
      </c>
      <c r="D887" s="7" t="s">
        <v>10</v>
      </c>
      <c r="E887" s="7" t="s">
        <v>11</v>
      </c>
      <c r="F887" s="8">
        <v>2556.0</v>
      </c>
      <c r="G887" s="9">
        <v>1278.0</v>
      </c>
    </row>
    <row r="888" ht="14.25" hidden="1" customHeight="1">
      <c r="B888" s="7" t="s">
        <v>19</v>
      </c>
      <c r="C888" s="7" t="s">
        <v>7</v>
      </c>
      <c r="D888" s="7" t="s">
        <v>31</v>
      </c>
      <c r="E888" s="7" t="s">
        <v>28</v>
      </c>
      <c r="F888" s="8">
        <v>2078.0</v>
      </c>
      <c r="G888" s="9">
        <v>1039.0</v>
      </c>
    </row>
    <row r="889" ht="14.25" hidden="1" customHeight="1">
      <c r="B889" s="7" t="s">
        <v>19</v>
      </c>
      <c r="C889" s="7" t="s">
        <v>7</v>
      </c>
      <c r="D889" s="7" t="s">
        <v>31</v>
      </c>
      <c r="E889" s="7" t="s">
        <v>9</v>
      </c>
      <c r="F889" s="8">
        <v>1868.0</v>
      </c>
      <c r="G889" s="9">
        <v>934.0</v>
      </c>
    </row>
    <row r="890" ht="14.25" hidden="1" customHeight="1">
      <c r="B890" s="7" t="s">
        <v>19</v>
      </c>
      <c r="C890" s="7" t="s">
        <v>7</v>
      </c>
      <c r="D890" s="7" t="s">
        <v>28</v>
      </c>
      <c r="E890" s="7" t="s">
        <v>25</v>
      </c>
      <c r="F890" s="8">
        <v>1738.0</v>
      </c>
      <c r="G890" s="9">
        <v>869.0</v>
      </c>
    </row>
    <row r="891" ht="14.25" hidden="1" customHeight="1">
      <c r="B891" s="7" t="s">
        <v>19</v>
      </c>
      <c r="C891" s="7" t="s">
        <v>7</v>
      </c>
      <c r="D891" s="7" t="s">
        <v>31</v>
      </c>
      <c r="E891" s="7" t="s">
        <v>25</v>
      </c>
      <c r="F891" s="8">
        <v>1636.0</v>
      </c>
      <c r="G891" s="9">
        <v>818.0</v>
      </c>
    </row>
    <row r="892" ht="14.25" hidden="1" customHeight="1">
      <c r="B892" s="7" t="s">
        <v>19</v>
      </c>
      <c r="C892" s="7" t="s">
        <v>30</v>
      </c>
      <c r="D892" s="7" t="s">
        <v>31</v>
      </c>
      <c r="E892" s="7" t="s">
        <v>25</v>
      </c>
      <c r="F892" s="8">
        <v>1572.0</v>
      </c>
      <c r="G892" s="9">
        <v>786.0</v>
      </c>
    </row>
    <row r="893" ht="14.25" hidden="1" customHeight="1">
      <c r="B893" s="7" t="s">
        <v>19</v>
      </c>
      <c r="C893" s="7" t="s">
        <v>7</v>
      </c>
      <c r="D893" s="7" t="s">
        <v>25</v>
      </c>
      <c r="E893" s="7" t="s">
        <v>28</v>
      </c>
      <c r="F893" s="8">
        <v>1320.0</v>
      </c>
      <c r="G893" s="9">
        <v>660.0</v>
      </c>
    </row>
    <row r="894" ht="14.25" hidden="1" customHeight="1">
      <c r="B894" s="7" t="s">
        <v>19</v>
      </c>
      <c r="C894" s="7" t="s">
        <v>29</v>
      </c>
      <c r="D894" s="7" t="s">
        <v>31</v>
      </c>
      <c r="E894" s="7" t="s">
        <v>9</v>
      </c>
      <c r="F894" s="8">
        <v>1206.0</v>
      </c>
      <c r="G894" s="9">
        <v>1206.0</v>
      </c>
    </row>
    <row r="895" ht="14.25" hidden="1" customHeight="1">
      <c r="B895" s="7" t="s">
        <v>19</v>
      </c>
      <c r="C895" s="7" t="s">
        <v>7</v>
      </c>
      <c r="D895" s="7" t="s">
        <v>25</v>
      </c>
      <c r="E895" s="7" t="s">
        <v>9</v>
      </c>
      <c r="F895" s="8">
        <v>1176.0</v>
      </c>
      <c r="G895" s="9">
        <v>588.0</v>
      </c>
    </row>
    <row r="896" ht="14.25" hidden="1" customHeight="1">
      <c r="B896" s="7" t="s">
        <v>19</v>
      </c>
      <c r="C896" s="7" t="s">
        <v>29</v>
      </c>
      <c r="D896" s="7" t="s">
        <v>8</v>
      </c>
      <c r="E896" s="7" t="s">
        <v>24</v>
      </c>
      <c r="F896" s="8">
        <v>1054.0</v>
      </c>
      <c r="G896" s="9">
        <v>1054.0</v>
      </c>
    </row>
    <row r="897" ht="14.25" hidden="1" customHeight="1">
      <c r="B897" s="7" t="s">
        <v>19</v>
      </c>
      <c r="C897" s="7" t="s">
        <v>7</v>
      </c>
      <c r="D897" s="7" t="s">
        <v>31</v>
      </c>
      <c r="E897" s="7" t="s">
        <v>9</v>
      </c>
      <c r="F897" s="8">
        <v>1052.0</v>
      </c>
      <c r="G897" s="9">
        <v>526.0</v>
      </c>
    </row>
    <row r="898" ht="14.25" hidden="1" customHeight="1">
      <c r="B898" s="7" t="s">
        <v>19</v>
      </c>
      <c r="C898" s="7" t="s">
        <v>7</v>
      </c>
      <c r="D898" s="7" t="s">
        <v>9</v>
      </c>
      <c r="E898" s="7" t="s">
        <v>8</v>
      </c>
      <c r="F898" s="8">
        <v>1026.0</v>
      </c>
      <c r="G898" s="9">
        <v>513.0</v>
      </c>
    </row>
    <row r="899" ht="14.25" hidden="1" customHeight="1">
      <c r="B899" s="7" t="s">
        <v>19</v>
      </c>
      <c r="C899" s="7" t="s">
        <v>29</v>
      </c>
      <c r="D899" s="7" t="s">
        <v>32</v>
      </c>
      <c r="E899" s="7" t="s">
        <v>28</v>
      </c>
      <c r="F899" s="8">
        <v>1012.0</v>
      </c>
      <c r="G899" s="9">
        <v>1012.0</v>
      </c>
    </row>
    <row r="900" ht="14.25" hidden="1" customHeight="1">
      <c r="B900" s="7" t="s">
        <v>19</v>
      </c>
      <c r="C900" s="7" t="s">
        <v>29</v>
      </c>
      <c r="D900" s="7" t="s">
        <v>31</v>
      </c>
      <c r="E900" s="7" t="s">
        <v>28</v>
      </c>
      <c r="F900" s="8">
        <v>1005.0</v>
      </c>
      <c r="G900" s="9">
        <v>1005.0</v>
      </c>
    </row>
    <row r="901" ht="14.25" hidden="1" customHeight="1">
      <c r="B901" s="7" t="s">
        <v>19</v>
      </c>
      <c r="C901" s="7" t="s">
        <v>7</v>
      </c>
      <c r="D901" s="7" t="s">
        <v>10</v>
      </c>
      <c r="E901" s="7" t="s">
        <v>9</v>
      </c>
      <c r="F901" s="8">
        <v>932.0</v>
      </c>
      <c r="G901" s="9">
        <v>466.0</v>
      </c>
    </row>
    <row r="902" ht="14.25" hidden="1" customHeight="1">
      <c r="B902" s="7" t="s">
        <v>19</v>
      </c>
      <c r="C902" s="7" t="s">
        <v>29</v>
      </c>
      <c r="D902" s="7" t="s">
        <v>10</v>
      </c>
      <c r="E902" s="7" t="s">
        <v>11</v>
      </c>
      <c r="F902" s="8">
        <v>877.0</v>
      </c>
      <c r="G902" s="9">
        <v>877.0</v>
      </c>
    </row>
    <row r="903" ht="14.25" hidden="1" customHeight="1">
      <c r="B903" s="7" t="s">
        <v>19</v>
      </c>
      <c r="C903" s="7" t="s">
        <v>7</v>
      </c>
      <c r="D903" s="7" t="s">
        <v>25</v>
      </c>
      <c r="E903" s="7" t="s">
        <v>33</v>
      </c>
      <c r="F903" s="8">
        <v>870.0</v>
      </c>
      <c r="G903" s="9">
        <v>435.0</v>
      </c>
    </row>
    <row r="904" ht="14.25" hidden="1" customHeight="1">
      <c r="B904" s="7" t="s">
        <v>19</v>
      </c>
      <c r="C904" s="7" t="s">
        <v>7</v>
      </c>
      <c r="D904" s="7" t="s">
        <v>31</v>
      </c>
      <c r="E904" s="7" t="s">
        <v>28</v>
      </c>
      <c r="F904" s="8">
        <v>862.0</v>
      </c>
      <c r="G904" s="9">
        <v>431.0</v>
      </c>
    </row>
    <row r="905" ht="14.25" hidden="1" customHeight="1">
      <c r="B905" s="7" t="s">
        <v>19</v>
      </c>
      <c r="C905" s="7" t="s">
        <v>30</v>
      </c>
      <c r="D905" s="7" t="s">
        <v>31</v>
      </c>
      <c r="E905" s="7" t="s">
        <v>9</v>
      </c>
      <c r="F905" s="8">
        <v>856.0</v>
      </c>
      <c r="G905" s="9">
        <v>428.0</v>
      </c>
    </row>
    <row r="906" ht="14.25" hidden="1" customHeight="1">
      <c r="B906" s="7" t="s">
        <v>19</v>
      </c>
      <c r="C906" s="7" t="s">
        <v>30</v>
      </c>
      <c r="D906" s="7" t="s">
        <v>8</v>
      </c>
      <c r="E906" s="7" t="s">
        <v>24</v>
      </c>
      <c r="F906" s="8">
        <v>830.0</v>
      </c>
      <c r="G906" s="9">
        <v>415.0</v>
      </c>
    </row>
    <row r="907" ht="14.25" hidden="1" customHeight="1">
      <c r="B907" s="7" t="s">
        <v>19</v>
      </c>
      <c r="C907" s="7" t="s">
        <v>7</v>
      </c>
      <c r="D907" s="7" t="s">
        <v>8</v>
      </c>
      <c r="E907" s="7" t="s">
        <v>11</v>
      </c>
      <c r="F907" s="8">
        <v>826.0</v>
      </c>
      <c r="G907" s="9">
        <v>413.0</v>
      </c>
    </row>
    <row r="908" ht="14.25" hidden="1" customHeight="1">
      <c r="B908" s="7" t="s">
        <v>19</v>
      </c>
      <c r="C908" s="7" t="s">
        <v>7</v>
      </c>
      <c r="D908" s="7" t="s">
        <v>25</v>
      </c>
      <c r="E908" s="7" t="s">
        <v>10</v>
      </c>
      <c r="F908" s="8">
        <v>764.0</v>
      </c>
      <c r="G908" s="9">
        <v>382.0</v>
      </c>
    </row>
    <row r="909" ht="14.25" customHeight="1">
      <c r="B909" s="7" t="s">
        <v>19</v>
      </c>
      <c r="C909" s="7" t="s">
        <v>7</v>
      </c>
      <c r="D909" s="7" t="s">
        <v>8</v>
      </c>
      <c r="E909" s="7" t="s">
        <v>31</v>
      </c>
      <c r="F909" s="8">
        <v>762.0</v>
      </c>
      <c r="G909" s="9">
        <v>381.0</v>
      </c>
    </row>
    <row r="910" ht="14.25" customHeight="1">
      <c r="B910" s="7" t="s">
        <v>19</v>
      </c>
      <c r="C910" s="7" t="s">
        <v>7</v>
      </c>
      <c r="D910" s="7" t="s">
        <v>8</v>
      </c>
      <c r="E910" s="7" t="s">
        <v>31</v>
      </c>
      <c r="F910" s="8">
        <v>760.0</v>
      </c>
      <c r="G910" s="9">
        <v>380.0</v>
      </c>
    </row>
    <row r="911" ht="14.25" hidden="1" customHeight="1">
      <c r="B911" s="7" t="s">
        <v>19</v>
      </c>
      <c r="C911" s="7" t="s">
        <v>7</v>
      </c>
      <c r="D911" s="7" t="s">
        <v>32</v>
      </c>
      <c r="E911" s="7" t="s">
        <v>28</v>
      </c>
      <c r="F911" s="8">
        <v>744.0</v>
      </c>
      <c r="G911" s="9">
        <v>372.0</v>
      </c>
    </row>
    <row r="912" ht="14.25" hidden="1" customHeight="1">
      <c r="B912" s="7" t="s">
        <v>19</v>
      </c>
      <c r="C912" s="7" t="s">
        <v>7</v>
      </c>
      <c r="D912" s="7" t="s">
        <v>9</v>
      </c>
      <c r="E912" s="7" t="s">
        <v>8</v>
      </c>
      <c r="F912" s="8">
        <v>736.0</v>
      </c>
      <c r="G912" s="9">
        <v>368.0</v>
      </c>
    </row>
    <row r="913" ht="14.25" hidden="1" customHeight="1">
      <c r="B913" s="7" t="s">
        <v>19</v>
      </c>
      <c r="C913" s="7" t="s">
        <v>7</v>
      </c>
      <c r="D913" s="7" t="s">
        <v>33</v>
      </c>
      <c r="E913" s="7" t="s">
        <v>10</v>
      </c>
      <c r="F913" s="8">
        <v>734.0</v>
      </c>
      <c r="G913" s="9">
        <v>367.0</v>
      </c>
    </row>
    <row r="914" ht="14.25" hidden="1" customHeight="1">
      <c r="B914" s="7" t="s">
        <v>19</v>
      </c>
      <c r="C914" s="7" t="s">
        <v>7</v>
      </c>
      <c r="D914" s="7" t="s">
        <v>8</v>
      </c>
      <c r="E914" s="7" t="s">
        <v>28</v>
      </c>
      <c r="F914" s="8">
        <v>702.0</v>
      </c>
      <c r="G914" s="9">
        <v>351.0</v>
      </c>
    </row>
    <row r="915" ht="14.25" hidden="1" customHeight="1">
      <c r="B915" s="7" t="s">
        <v>19</v>
      </c>
      <c r="C915" s="7" t="s">
        <v>7</v>
      </c>
      <c r="D915" s="7" t="s">
        <v>28</v>
      </c>
      <c r="E915" s="7" t="s">
        <v>25</v>
      </c>
      <c r="F915" s="8">
        <v>662.0</v>
      </c>
      <c r="G915" s="9">
        <v>331.0</v>
      </c>
    </row>
    <row r="916" ht="14.25" hidden="1" customHeight="1">
      <c r="B916" s="7" t="s">
        <v>19</v>
      </c>
      <c r="C916" s="7" t="s">
        <v>7</v>
      </c>
      <c r="D916" s="7" t="s">
        <v>8</v>
      </c>
      <c r="E916" s="7" t="s">
        <v>33</v>
      </c>
      <c r="F916" s="8">
        <v>658.0</v>
      </c>
      <c r="G916" s="9">
        <v>329.0</v>
      </c>
    </row>
    <row r="917" ht="14.25" hidden="1" customHeight="1">
      <c r="B917" s="7" t="s">
        <v>19</v>
      </c>
      <c r="C917" s="7" t="s">
        <v>29</v>
      </c>
      <c r="D917" s="7" t="s">
        <v>9</v>
      </c>
      <c r="E917" s="7" t="s">
        <v>8</v>
      </c>
      <c r="F917" s="8">
        <v>652.0</v>
      </c>
      <c r="G917" s="9">
        <v>652.0</v>
      </c>
    </row>
    <row r="918" ht="14.25" hidden="1" customHeight="1">
      <c r="B918" s="7" t="s">
        <v>19</v>
      </c>
      <c r="C918" s="7" t="s">
        <v>7</v>
      </c>
      <c r="D918" s="7" t="s">
        <v>28</v>
      </c>
      <c r="E918" s="7" t="s">
        <v>8</v>
      </c>
      <c r="F918" s="8">
        <v>644.0</v>
      </c>
      <c r="G918" s="9">
        <v>322.0</v>
      </c>
    </row>
    <row r="919" ht="14.25" hidden="1" customHeight="1">
      <c r="B919" s="7" t="s">
        <v>19</v>
      </c>
      <c r="C919" s="7" t="s">
        <v>7</v>
      </c>
      <c r="D919" s="7" t="s">
        <v>31</v>
      </c>
      <c r="E919" s="7" t="s">
        <v>31</v>
      </c>
      <c r="F919" s="8">
        <v>638.0</v>
      </c>
      <c r="G919" s="9">
        <v>319.0</v>
      </c>
    </row>
    <row r="920" ht="14.25" hidden="1" customHeight="1">
      <c r="B920" s="7" t="s">
        <v>19</v>
      </c>
      <c r="C920" s="7" t="s">
        <v>7</v>
      </c>
      <c r="D920" s="7" t="s">
        <v>9</v>
      </c>
      <c r="E920" s="7" t="s">
        <v>28</v>
      </c>
      <c r="F920" s="8">
        <v>632.0</v>
      </c>
      <c r="G920" s="9">
        <v>316.0</v>
      </c>
    </row>
    <row r="921" ht="14.25" hidden="1" customHeight="1">
      <c r="B921" s="7" t="s">
        <v>19</v>
      </c>
      <c r="C921" s="7" t="s">
        <v>29</v>
      </c>
      <c r="D921" s="7" t="s">
        <v>28</v>
      </c>
      <c r="E921" s="7" t="s">
        <v>8</v>
      </c>
      <c r="F921" s="8">
        <v>625.0</v>
      </c>
      <c r="G921" s="9">
        <v>625.0</v>
      </c>
    </row>
    <row r="922" ht="14.25" hidden="1" customHeight="1">
      <c r="B922" s="7" t="s">
        <v>19</v>
      </c>
      <c r="C922" s="7" t="s">
        <v>7</v>
      </c>
      <c r="D922" s="7" t="s">
        <v>9</v>
      </c>
      <c r="E922" s="7" t="s">
        <v>31</v>
      </c>
      <c r="F922" s="8">
        <v>614.0</v>
      </c>
      <c r="G922" s="9">
        <v>307.0</v>
      </c>
    </row>
    <row r="923" ht="14.25" hidden="1" customHeight="1">
      <c r="B923" s="7" t="s">
        <v>19</v>
      </c>
      <c r="C923" s="7" t="s">
        <v>30</v>
      </c>
      <c r="D923" s="7" t="s">
        <v>31</v>
      </c>
      <c r="E923" s="7" t="s">
        <v>28</v>
      </c>
      <c r="F923" s="8">
        <v>606.0</v>
      </c>
      <c r="G923" s="9">
        <v>303.0</v>
      </c>
    </row>
    <row r="924" ht="14.25" hidden="1" customHeight="1">
      <c r="B924" s="7" t="s">
        <v>19</v>
      </c>
      <c r="C924" s="7" t="s">
        <v>7</v>
      </c>
      <c r="D924" s="7" t="s">
        <v>25</v>
      </c>
      <c r="E924" s="7" t="s">
        <v>31</v>
      </c>
      <c r="F924" s="8">
        <v>596.0</v>
      </c>
      <c r="G924" s="9">
        <v>298.0</v>
      </c>
    </row>
    <row r="925" ht="14.25" hidden="1" customHeight="1">
      <c r="B925" s="7" t="s">
        <v>19</v>
      </c>
      <c r="C925" s="7" t="s">
        <v>7</v>
      </c>
      <c r="D925" s="7" t="s">
        <v>9</v>
      </c>
      <c r="E925" s="7" t="s">
        <v>25</v>
      </c>
      <c r="F925" s="8">
        <v>592.0</v>
      </c>
      <c r="G925" s="9">
        <v>296.0</v>
      </c>
    </row>
    <row r="926" ht="14.25" hidden="1" customHeight="1">
      <c r="B926" s="7" t="s">
        <v>19</v>
      </c>
      <c r="C926" s="7" t="s">
        <v>7</v>
      </c>
      <c r="D926" s="7" t="s">
        <v>10</v>
      </c>
      <c r="E926" s="7" t="s">
        <v>8</v>
      </c>
      <c r="F926" s="8">
        <v>578.0</v>
      </c>
      <c r="G926" s="9">
        <v>289.0</v>
      </c>
    </row>
    <row r="927" ht="14.25" hidden="1" customHeight="1">
      <c r="B927" s="7" t="s">
        <v>19</v>
      </c>
      <c r="C927" s="7" t="s">
        <v>7</v>
      </c>
      <c r="D927" s="7" t="s">
        <v>31</v>
      </c>
      <c r="E927" s="7" t="s">
        <v>25</v>
      </c>
      <c r="F927" s="8">
        <v>576.0</v>
      </c>
      <c r="G927" s="9">
        <v>288.0</v>
      </c>
    </row>
    <row r="928" ht="14.25" hidden="1" customHeight="1">
      <c r="B928" s="7" t="s">
        <v>19</v>
      </c>
      <c r="C928" s="7" t="s">
        <v>7</v>
      </c>
      <c r="D928" s="7" t="s">
        <v>33</v>
      </c>
      <c r="E928" s="7" t="s">
        <v>8</v>
      </c>
      <c r="F928" s="8">
        <v>554.0</v>
      </c>
      <c r="G928" s="9">
        <v>277.0</v>
      </c>
    </row>
    <row r="929" ht="14.25" hidden="1" customHeight="1">
      <c r="B929" s="7" t="s">
        <v>19</v>
      </c>
      <c r="C929" s="7" t="s">
        <v>7</v>
      </c>
      <c r="D929" s="7" t="s">
        <v>11</v>
      </c>
      <c r="E929" s="7" t="s">
        <v>10</v>
      </c>
      <c r="F929" s="8">
        <v>552.0</v>
      </c>
      <c r="G929" s="9">
        <v>276.0</v>
      </c>
    </row>
    <row r="930" ht="14.25" hidden="1" customHeight="1">
      <c r="B930" s="7" t="s">
        <v>19</v>
      </c>
      <c r="C930" s="7" t="s">
        <v>29</v>
      </c>
      <c r="D930" s="7" t="s">
        <v>8</v>
      </c>
      <c r="E930" s="7" t="s">
        <v>9</v>
      </c>
      <c r="F930" s="8">
        <v>545.0</v>
      </c>
      <c r="G930" s="9">
        <v>545.0</v>
      </c>
    </row>
    <row r="931" ht="14.25" hidden="1" customHeight="1">
      <c r="B931" s="7" t="s">
        <v>19</v>
      </c>
      <c r="C931" s="7" t="s">
        <v>7</v>
      </c>
      <c r="D931" s="7" t="s">
        <v>33</v>
      </c>
      <c r="E931" s="7" t="s">
        <v>25</v>
      </c>
      <c r="F931" s="8">
        <v>526.0</v>
      </c>
      <c r="G931" s="9">
        <v>263.0</v>
      </c>
    </row>
    <row r="932" ht="14.25" hidden="1" customHeight="1">
      <c r="B932" s="7" t="s">
        <v>19</v>
      </c>
      <c r="C932" s="7" t="s">
        <v>29</v>
      </c>
      <c r="D932" s="7" t="s">
        <v>32</v>
      </c>
      <c r="E932" s="7" t="s">
        <v>9</v>
      </c>
      <c r="F932" s="8">
        <v>526.0</v>
      </c>
      <c r="G932" s="9">
        <v>526.0</v>
      </c>
    </row>
    <row r="933" ht="14.25" hidden="1" customHeight="1">
      <c r="B933" s="7" t="s">
        <v>19</v>
      </c>
      <c r="C933" s="7" t="s">
        <v>7</v>
      </c>
      <c r="D933" s="7" t="s">
        <v>10</v>
      </c>
      <c r="E933" s="7" t="s">
        <v>33</v>
      </c>
      <c r="F933" s="8">
        <v>522.0</v>
      </c>
      <c r="G933" s="9">
        <v>261.0</v>
      </c>
    </row>
    <row r="934" ht="14.25" hidden="1" customHeight="1">
      <c r="B934" s="7" t="s">
        <v>19</v>
      </c>
      <c r="C934" s="7" t="s">
        <v>7</v>
      </c>
      <c r="D934" s="7" t="s">
        <v>8</v>
      </c>
      <c r="E934" s="7" t="s">
        <v>9</v>
      </c>
      <c r="F934" s="8">
        <v>508.0</v>
      </c>
      <c r="G934" s="9">
        <v>254.0</v>
      </c>
    </row>
    <row r="935" ht="14.25" hidden="1" customHeight="1">
      <c r="B935" s="7" t="s">
        <v>19</v>
      </c>
      <c r="C935" s="7" t="s">
        <v>30</v>
      </c>
      <c r="D935" s="7" t="s">
        <v>31</v>
      </c>
      <c r="E935" s="7" t="s">
        <v>31</v>
      </c>
      <c r="F935" s="8">
        <v>492.0</v>
      </c>
      <c r="G935" s="9">
        <v>246.0</v>
      </c>
    </row>
    <row r="936" ht="14.25" hidden="1" customHeight="1">
      <c r="B936" s="7" t="s">
        <v>19</v>
      </c>
      <c r="C936" s="7" t="s">
        <v>29</v>
      </c>
      <c r="D936" s="7" t="s">
        <v>31</v>
      </c>
      <c r="E936" s="7" t="s">
        <v>33</v>
      </c>
      <c r="F936" s="8">
        <v>482.0</v>
      </c>
      <c r="G936" s="9">
        <v>482.0</v>
      </c>
    </row>
    <row r="937" ht="14.25" hidden="1" customHeight="1">
      <c r="B937" s="7" t="s">
        <v>19</v>
      </c>
      <c r="C937" s="7" t="s">
        <v>30</v>
      </c>
      <c r="D937" s="7" t="s">
        <v>8</v>
      </c>
      <c r="E937" s="7" t="s">
        <v>25</v>
      </c>
      <c r="F937" s="8">
        <v>466.0</v>
      </c>
      <c r="G937" s="9">
        <v>233.0</v>
      </c>
    </row>
    <row r="938" ht="14.25" hidden="1" customHeight="1">
      <c r="B938" s="7" t="s">
        <v>19</v>
      </c>
      <c r="C938" s="7" t="s">
        <v>7</v>
      </c>
      <c r="D938" s="7" t="s">
        <v>28</v>
      </c>
      <c r="E938" s="7" t="s">
        <v>8</v>
      </c>
      <c r="F938" s="8">
        <v>464.0</v>
      </c>
      <c r="G938" s="9">
        <v>232.0</v>
      </c>
    </row>
    <row r="939" ht="14.25" hidden="1" customHeight="1">
      <c r="B939" s="7" t="s">
        <v>19</v>
      </c>
      <c r="C939" s="7" t="s">
        <v>7</v>
      </c>
      <c r="D939" s="7" t="s">
        <v>32</v>
      </c>
      <c r="E939" s="7" t="s">
        <v>33</v>
      </c>
      <c r="F939" s="8">
        <v>460.0</v>
      </c>
      <c r="G939" s="9">
        <v>230.0</v>
      </c>
    </row>
    <row r="940" ht="14.25" hidden="1" customHeight="1">
      <c r="B940" s="7" t="s">
        <v>19</v>
      </c>
      <c r="C940" s="7" t="s">
        <v>29</v>
      </c>
      <c r="D940" s="7" t="s">
        <v>33</v>
      </c>
      <c r="E940" s="7" t="s">
        <v>8</v>
      </c>
      <c r="F940" s="8">
        <v>442.0</v>
      </c>
      <c r="G940" s="9">
        <v>442.0</v>
      </c>
    </row>
    <row r="941" ht="14.25" hidden="1" customHeight="1">
      <c r="B941" s="7" t="s">
        <v>19</v>
      </c>
      <c r="C941" s="7" t="s">
        <v>7</v>
      </c>
      <c r="D941" s="7" t="s">
        <v>8</v>
      </c>
      <c r="E941" s="7" t="s">
        <v>10</v>
      </c>
      <c r="F941" s="8">
        <v>440.0</v>
      </c>
      <c r="G941" s="9">
        <v>220.0</v>
      </c>
    </row>
    <row r="942" ht="14.25" hidden="1" customHeight="1">
      <c r="B942" s="7" t="s">
        <v>19</v>
      </c>
      <c r="C942" s="7" t="s">
        <v>7</v>
      </c>
      <c r="D942" s="7" t="s">
        <v>28</v>
      </c>
      <c r="E942" s="7" t="s">
        <v>9</v>
      </c>
      <c r="F942" s="8">
        <v>436.0</v>
      </c>
      <c r="G942" s="9">
        <v>218.0</v>
      </c>
    </row>
    <row r="943" ht="14.25" hidden="1" customHeight="1">
      <c r="B943" s="7" t="s">
        <v>19</v>
      </c>
      <c r="C943" s="7" t="s">
        <v>7</v>
      </c>
      <c r="D943" s="7" t="s">
        <v>8</v>
      </c>
      <c r="E943" s="7" t="s">
        <v>10</v>
      </c>
      <c r="F943" s="8">
        <v>424.0</v>
      </c>
      <c r="G943" s="9">
        <v>212.0</v>
      </c>
    </row>
    <row r="944" ht="14.25" hidden="1" customHeight="1">
      <c r="B944" s="7" t="s">
        <v>19</v>
      </c>
      <c r="C944" s="7" t="s">
        <v>7</v>
      </c>
      <c r="D944" s="7" t="s">
        <v>33</v>
      </c>
      <c r="E944" s="7" t="s">
        <v>8</v>
      </c>
      <c r="F944" s="8">
        <v>422.0</v>
      </c>
      <c r="G944" s="9">
        <v>211.0</v>
      </c>
    </row>
    <row r="945" ht="14.25" hidden="1" customHeight="1">
      <c r="B945" s="7" t="s">
        <v>19</v>
      </c>
      <c r="C945" s="7" t="s">
        <v>7</v>
      </c>
      <c r="D945" s="7" t="s">
        <v>32</v>
      </c>
      <c r="E945" s="7" t="s">
        <v>9</v>
      </c>
      <c r="F945" s="8">
        <v>414.0</v>
      </c>
      <c r="G945" s="9">
        <v>207.0</v>
      </c>
    </row>
    <row r="946" ht="14.25" hidden="1" customHeight="1">
      <c r="B946" s="7" t="s">
        <v>19</v>
      </c>
      <c r="C946" s="7" t="s">
        <v>7</v>
      </c>
      <c r="D946" s="7" t="s">
        <v>33</v>
      </c>
      <c r="E946" s="7" t="s">
        <v>9</v>
      </c>
      <c r="F946" s="8">
        <v>408.0</v>
      </c>
      <c r="G946" s="9">
        <v>204.0</v>
      </c>
    </row>
    <row r="947" ht="14.25" hidden="1" customHeight="1">
      <c r="B947" s="7" t="s">
        <v>19</v>
      </c>
      <c r="C947" s="7" t="s">
        <v>7</v>
      </c>
      <c r="D947" s="7" t="s">
        <v>8</v>
      </c>
      <c r="E947" s="7" t="s">
        <v>25</v>
      </c>
      <c r="F947" s="8">
        <v>392.0</v>
      </c>
      <c r="G947" s="9">
        <v>196.0</v>
      </c>
    </row>
    <row r="948" ht="14.25" hidden="1" customHeight="1">
      <c r="B948" s="7" t="s">
        <v>19</v>
      </c>
      <c r="C948" s="7" t="s">
        <v>30</v>
      </c>
      <c r="D948" s="7" t="s">
        <v>8</v>
      </c>
      <c r="E948" s="7" t="s">
        <v>9</v>
      </c>
      <c r="F948" s="8">
        <v>386.0</v>
      </c>
      <c r="G948" s="9">
        <v>193.0</v>
      </c>
    </row>
    <row r="949" ht="14.25" hidden="1" customHeight="1">
      <c r="B949" s="7" t="s">
        <v>19</v>
      </c>
      <c r="C949" s="7" t="s">
        <v>30</v>
      </c>
      <c r="D949" s="7" t="s">
        <v>9</v>
      </c>
      <c r="E949" s="7" t="s">
        <v>25</v>
      </c>
      <c r="F949" s="8">
        <v>384.0</v>
      </c>
      <c r="G949" s="9">
        <v>192.0</v>
      </c>
    </row>
    <row r="950" ht="14.25" hidden="1" customHeight="1">
      <c r="B950" s="7" t="s">
        <v>19</v>
      </c>
      <c r="C950" s="7" t="s">
        <v>30</v>
      </c>
      <c r="D950" s="7" t="s">
        <v>8</v>
      </c>
      <c r="E950" s="7" t="s">
        <v>28</v>
      </c>
      <c r="F950" s="8">
        <v>384.0</v>
      </c>
      <c r="G950" s="9">
        <v>192.0</v>
      </c>
    </row>
    <row r="951" ht="14.25" customHeight="1">
      <c r="B951" s="7" t="s">
        <v>19</v>
      </c>
      <c r="C951" s="7" t="s">
        <v>30</v>
      </c>
      <c r="D951" s="7" t="s">
        <v>8</v>
      </c>
      <c r="E951" s="7" t="s">
        <v>31</v>
      </c>
      <c r="F951" s="8">
        <v>378.0</v>
      </c>
      <c r="G951" s="9">
        <v>189.0</v>
      </c>
    </row>
    <row r="952" ht="14.25" hidden="1" customHeight="1">
      <c r="B952" s="7" t="s">
        <v>19</v>
      </c>
      <c r="C952" s="7" t="s">
        <v>29</v>
      </c>
      <c r="D952" s="7" t="s">
        <v>8</v>
      </c>
      <c r="E952" s="7" t="s">
        <v>28</v>
      </c>
      <c r="F952" s="8">
        <v>371.0</v>
      </c>
      <c r="G952" s="9">
        <v>371.0</v>
      </c>
    </row>
    <row r="953" ht="14.25" hidden="1" customHeight="1">
      <c r="B953" s="7" t="s">
        <v>19</v>
      </c>
      <c r="C953" s="7" t="s">
        <v>7</v>
      </c>
      <c r="D953" s="7" t="s">
        <v>33</v>
      </c>
      <c r="E953" s="7" t="s">
        <v>31</v>
      </c>
      <c r="F953" s="8">
        <v>356.0</v>
      </c>
      <c r="G953" s="9">
        <v>178.0</v>
      </c>
    </row>
    <row r="954" ht="14.25" hidden="1" customHeight="1">
      <c r="B954" s="7" t="s">
        <v>19</v>
      </c>
      <c r="C954" s="7" t="s">
        <v>7</v>
      </c>
      <c r="D954" s="7" t="s">
        <v>10</v>
      </c>
      <c r="E954" s="7" t="s">
        <v>25</v>
      </c>
      <c r="F954" s="8">
        <v>352.0</v>
      </c>
      <c r="G954" s="9">
        <v>176.0</v>
      </c>
    </row>
    <row r="955" ht="14.25" hidden="1" customHeight="1">
      <c r="B955" s="7" t="s">
        <v>19</v>
      </c>
      <c r="C955" s="7" t="s">
        <v>29</v>
      </c>
      <c r="D955" s="7" t="s">
        <v>28</v>
      </c>
      <c r="E955" s="7" t="s">
        <v>31</v>
      </c>
      <c r="F955" s="8">
        <v>351.0</v>
      </c>
      <c r="G955" s="9">
        <v>351.0</v>
      </c>
    </row>
    <row r="956" ht="14.25" hidden="1" customHeight="1">
      <c r="B956" s="7" t="s">
        <v>19</v>
      </c>
      <c r="C956" s="7" t="s">
        <v>7</v>
      </c>
      <c r="D956" s="7" t="s">
        <v>9</v>
      </c>
      <c r="E956" s="7" t="s">
        <v>10</v>
      </c>
      <c r="F956" s="8">
        <v>344.0</v>
      </c>
      <c r="G956" s="9">
        <v>172.0</v>
      </c>
    </row>
    <row r="957" ht="14.25" hidden="1" customHeight="1">
      <c r="B957" s="7" t="s">
        <v>19</v>
      </c>
      <c r="C957" s="7" t="s">
        <v>29</v>
      </c>
      <c r="D957" s="7" t="s">
        <v>34</v>
      </c>
      <c r="E957" s="7" t="s">
        <v>28</v>
      </c>
      <c r="F957" s="8">
        <v>334.0</v>
      </c>
      <c r="G957" s="9">
        <v>334.0</v>
      </c>
    </row>
    <row r="958" ht="14.25" hidden="1" customHeight="1">
      <c r="B958" s="7" t="s">
        <v>19</v>
      </c>
      <c r="C958" s="7" t="s">
        <v>7</v>
      </c>
      <c r="D958" s="7" t="s">
        <v>33</v>
      </c>
      <c r="E958" s="7" t="s">
        <v>28</v>
      </c>
      <c r="F958" s="8">
        <v>332.0</v>
      </c>
      <c r="G958" s="9">
        <v>166.0</v>
      </c>
    </row>
    <row r="959" ht="14.25" hidden="1" customHeight="1">
      <c r="B959" s="7" t="s">
        <v>19</v>
      </c>
      <c r="C959" s="7" t="s">
        <v>29</v>
      </c>
      <c r="D959" s="7" t="s">
        <v>32</v>
      </c>
      <c r="E959" s="7" t="s">
        <v>33</v>
      </c>
      <c r="F959" s="8">
        <v>315.0</v>
      </c>
      <c r="G959" s="9">
        <v>315.0</v>
      </c>
    </row>
    <row r="960" ht="14.25" hidden="1" customHeight="1">
      <c r="B960" s="7" t="s">
        <v>19</v>
      </c>
      <c r="C960" s="7" t="s">
        <v>7</v>
      </c>
      <c r="D960" s="7" t="s">
        <v>28</v>
      </c>
      <c r="E960" s="7" t="s">
        <v>31</v>
      </c>
      <c r="F960" s="8">
        <v>308.0</v>
      </c>
      <c r="G960" s="9">
        <v>154.0</v>
      </c>
    </row>
    <row r="961" ht="14.25" customHeight="1">
      <c r="B961" s="7" t="s">
        <v>19</v>
      </c>
      <c r="C961" s="7" t="s">
        <v>7</v>
      </c>
      <c r="D961" s="7" t="s">
        <v>8</v>
      </c>
      <c r="E961" s="7" t="s">
        <v>31</v>
      </c>
      <c r="F961" s="8">
        <v>302.0</v>
      </c>
      <c r="G961" s="9">
        <v>151.0</v>
      </c>
    </row>
    <row r="962" ht="14.25" hidden="1" customHeight="1">
      <c r="B962" s="7" t="s">
        <v>19</v>
      </c>
      <c r="C962" s="7" t="s">
        <v>7</v>
      </c>
      <c r="D962" s="7" t="s">
        <v>25</v>
      </c>
      <c r="E962" s="7" t="s">
        <v>31</v>
      </c>
      <c r="F962" s="8">
        <v>300.0</v>
      </c>
      <c r="G962" s="9">
        <v>150.0</v>
      </c>
    </row>
    <row r="963" ht="14.25" hidden="1" customHeight="1">
      <c r="B963" s="7" t="s">
        <v>19</v>
      </c>
      <c r="C963" s="7" t="s">
        <v>7</v>
      </c>
      <c r="D963" s="7" t="s">
        <v>28</v>
      </c>
      <c r="E963" s="7" t="s">
        <v>8</v>
      </c>
      <c r="F963" s="8">
        <v>300.0</v>
      </c>
      <c r="G963" s="9">
        <v>150.0</v>
      </c>
    </row>
    <row r="964" ht="14.25" hidden="1" customHeight="1">
      <c r="B964" s="7" t="s">
        <v>19</v>
      </c>
      <c r="C964" s="7" t="s">
        <v>29</v>
      </c>
      <c r="D964" s="7" t="s">
        <v>11</v>
      </c>
      <c r="E964" s="7" t="s">
        <v>8</v>
      </c>
      <c r="F964" s="8">
        <v>292.0</v>
      </c>
      <c r="G964" s="9">
        <v>292.0</v>
      </c>
    </row>
    <row r="965" ht="14.25" hidden="1" customHeight="1">
      <c r="B965" s="7" t="s">
        <v>19</v>
      </c>
      <c r="C965" s="7" t="s">
        <v>7</v>
      </c>
      <c r="D965" s="7" t="s">
        <v>34</v>
      </c>
      <c r="E965" s="7" t="s">
        <v>28</v>
      </c>
      <c r="F965" s="8">
        <v>288.0</v>
      </c>
      <c r="G965" s="9">
        <v>144.0</v>
      </c>
    </row>
    <row r="966" ht="14.25" hidden="1" customHeight="1">
      <c r="B966" s="7" t="s">
        <v>19</v>
      </c>
      <c r="C966" s="7" t="s">
        <v>7</v>
      </c>
      <c r="D966" s="7" t="s">
        <v>32</v>
      </c>
      <c r="E966" s="7" t="s">
        <v>25</v>
      </c>
      <c r="F966" s="8">
        <v>264.0</v>
      </c>
      <c r="G966" s="9">
        <v>132.0</v>
      </c>
    </row>
    <row r="967" ht="14.25" hidden="1" customHeight="1">
      <c r="B967" s="7" t="s">
        <v>19</v>
      </c>
      <c r="C967" s="7" t="s">
        <v>7</v>
      </c>
      <c r="D967" s="7" t="s">
        <v>11</v>
      </c>
      <c r="E967" s="7" t="s">
        <v>8</v>
      </c>
      <c r="F967" s="8">
        <v>262.0</v>
      </c>
      <c r="G967" s="9">
        <v>131.0</v>
      </c>
    </row>
    <row r="968" ht="14.25" hidden="1" customHeight="1">
      <c r="B968" s="7" t="s">
        <v>19</v>
      </c>
      <c r="C968" s="7" t="s">
        <v>7</v>
      </c>
      <c r="D968" s="7" t="s">
        <v>31</v>
      </c>
      <c r="E968" s="7" t="s">
        <v>33</v>
      </c>
      <c r="F968" s="8">
        <v>260.0</v>
      </c>
      <c r="G968" s="9">
        <v>130.0</v>
      </c>
    </row>
    <row r="969" ht="14.25" hidden="1" customHeight="1">
      <c r="B969" s="7" t="s">
        <v>19</v>
      </c>
      <c r="C969" s="7" t="s">
        <v>29</v>
      </c>
      <c r="D969" s="7" t="s">
        <v>33</v>
      </c>
      <c r="E969" s="7" t="s">
        <v>8</v>
      </c>
      <c r="F969" s="8">
        <v>250.0</v>
      </c>
      <c r="G969" s="9">
        <v>250.0</v>
      </c>
    </row>
    <row r="970" ht="14.25" hidden="1" customHeight="1">
      <c r="B970" s="7" t="s">
        <v>19</v>
      </c>
      <c r="C970" s="7" t="s">
        <v>29</v>
      </c>
      <c r="D970" s="7" t="s">
        <v>8</v>
      </c>
      <c r="E970" s="7" t="s">
        <v>11</v>
      </c>
      <c r="F970" s="8">
        <v>237.0</v>
      </c>
      <c r="G970" s="9">
        <v>237.0</v>
      </c>
    </row>
    <row r="971" ht="14.25" hidden="1" customHeight="1">
      <c r="B971" s="7" t="s">
        <v>19</v>
      </c>
      <c r="C971" s="7" t="s">
        <v>7</v>
      </c>
      <c r="D971" s="7" t="s">
        <v>8</v>
      </c>
      <c r="E971" s="7" t="s">
        <v>35</v>
      </c>
      <c r="F971" s="8">
        <v>236.0</v>
      </c>
      <c r="G971" s="9">
        <v>118.0</v>
      </c>
    </row>
    <row r="972" ht="14.25" hidden="1" customHeight="1">
      <c r="B972" s="7" t="s">
        <v>19</v>
      </c>
      <c r="C972" s="7" t="s">
        <v>7</v>
      </c>
      <c r="D972" s="7" t="s">
        <v>33</v>
      </c>
      <c r="E972" s="7" t="s">
        <v>25</v>
      </c>
      <c r="F972" s="8">
        <v>234.0</v>
      </c>
      <c r="G972" s="9">
        <v>117.0</v>
      </c>
    </row>
    <row r="973" ht="14.25" hidden="1" customHeight="1">
      <c r="B973" s="7" t="s">
        <v>19</v>
      </c>
      <c r="C973" s="7" t="s">
        <v>7</v>
      </c>
      <c r="D973" s="7" t="s">
        <v>32</v>
      </c>
      <c r="E973" s="7" t="s">
        <v>28</v>
      </c>
      <c r="F973" s="8">
        <v>232.0</v>
      </c>
      <c r="G973" s="9">
        <v>116.0</v>
      </c>
    </row>
    <row r="974" ht="14.25" hidden="1" customHeight="1">
      <c r="B974" s="7" t="s">
        <v>19</v>
      </c>
      <c r="C974" s="7" t="s">
        <v>7</v>
      </c>
      <c r="D974" s="7" t="s">
        <v>28</v>
      </c>
      <c r="E974" s="7" t="s">
        <v>31</v>
      </c>
      <c r="F974" s="8">
        <v>226.0</v>
      </c>
      <c r="G974" s="9">
        <v>113.0</v>
      </c>
    </row>
    <row r="975" ht="14.25" hidden="1" customHeight="1">
      <c r="B975" s="7" t="s">
        <v>19</v>
      </c>
      <c r="C975" s="7" t="s">
        <v>29</v>
      </c>
      <c r="D975" s="7" t="s">
        <v>9</v>
      </c>
      <c r="E975" s="7" t="s">
        <v>33</v>
      </c>
      <c r="F975" s="8">
        <v>222.0</v>
      </c>
      <c r="G975" s="9">
        <v>222.0</v>
      </c>
    </row>
    <row r="976" ht="14.25" hidden="1" customHeight="1">
      <c r="B976" s="7" t="s">
        <v>19</v>
      </c>
      <c r="C976" s="7" t="s">
        <v>29</v>
      </c>
      <c r="D976" s="7" t="s">
        <v>33</v>
      </c>
      <c r="E976" s="7" t="s">
        <v>8</v>
      </c>
      <c r="F976" s="8">
        <v>216.0</v>
      </c>
      <c r="G976" s="9">
        <v>216.0</v>
      </c>
    </row>
    <row r="977" ht="14.25" hidden="1" customHeight="1">
      <c r="B977" s="7" t="s">
        <v>19</v>
      </c>
      <c r="C977" s="7" t="s">
        <v>29</v>
      </c>
      <c r="D977" s="7" t="s">
        <v>28</v>
      </c>
      <c r="E977" s="7" t="s">
        <v>8</v>
      </c>
      <c r="F977" s="8">
        <v>215.0</v>
      </c>
      <c r="G977" s="9">
        <v>215.0</v>
      </c>
    </row>
    <row r="978" ht="14.25" hidden="1" customHeight="1">
      <c r="B978" s="7" t="s">
        <v>19</v>
      </c>
      <c r="C978" s="7" t="s">
        <v>7</v>
      </c>
      <c r="D978" s="7" t="s">
        <v>10</v>
      </c>
      <c r="E978" s="7" t="s">
        <v>8</v>
      </c>
      <c r="F978" s="8">
        <v>212.0</v>
      </c>
      <c r="G978" s="9">
        <v>106.0</v>
      </c>
    </row>
    <row r="979" ht="14.25" hidden="1" customHeight="1">
      <c r="B979" s="7" t="s">
        <v>19</v>
      </c>
      <c r="C979" s="7" t="s">
        <v>29</v>
      </c>
      <c r="D979" s="7" t="s">
        <v>28</v>
      </c>
      <c r="E979" s="7" t="s">
        <v>25</v>
      </c>
      <c r="F979" s="8">
        <v>199.0</v>
      </c>
      <c r="G979" s="9">
        <v>199.0</v>
      </c>
    </row>
    <row r="980" ht="14.25" hidden="1" customHeight="1">
      <c r="B980" s="7" t="s">
        <v>19</v>
      </c>
      <c r="C980" s="7" t="s">
        <v>29</v>
      </c>
      <c r="D980" s="7" t="s">
        <v>34</v>
      </c>
      <c r="E980" s="7" t="s">
        <v>8</v>
      </c>
      <c r="F980" s="8">
        <v>199.0</v>
      </c>
      <c r="G980" s="9">
        <v>199.0</v>
      </c>
    </row>
    <row r="981" ht="14.25" hidden="1" customHeight="1">
      <c r="B981" s="7" t="s">
        <v>19</v>
      </c>
      <c r="C981" s="7" t="s">
        <v>7</v>
      </c>
      <c r="D981" s="7" t="s">
        <v>31</v>
      </c>
      <c r="E981" s="7" t="s">
        <v>24</v>
      </c>
      <c r="F981" s="8">
        <v>192.0</v>
      </c>
      <c r="G981" s="9">
        <v>96.0</v>
      </c>
    </row>
    <row r="982" ht="14.25" hidden="1" customHeight="1">
      <c r="B982" s="7" t="s">
        <v>19</v>
      </c>
      <c r="C982" s="7" t="s">
        <v>29</v>
      </c>
      <c r="D982" s="7" t="s">
        <v>31</v>
      </c>
      <c r="E982" s="7" t="s">
        <v>9</v>
      </c>
      <c r="F982" s="8">
        <v>183.0</v>
      </c>
      <c r="G982" s="9">
        <v>183.0</v>
      </c>
    </row>
    <row r="983" ht="14.25" hidden="1" customHeight="1">
      <c r="B983" s="7" t="s">
        <v>19</v>
      </c>
      <c r="C983" s="7" t="s">
        <v>29</v>
      </c>
      <c r="D983" s="7" t="s">
        <v>11</v>
      </c>
      <c r="E983" s="7" t="s">
        <v>8</v>
      </c>
      <c r="F983" s="8">
        <v>177.0</v>
      </c>
      <c r="G983" s="9">
        <v>177.0</v>
      </c>
    </row>
    <row r="984" ht="14.25" hidden="1" customHeight="1">
      <c r="B984" s="7" t="s">
        <v>19</v>
      </c>
      <c r="C984" s="7" t="s">
        <v>29</v>
      </c>
      <c r="D984" s="7" t="s">
        <v>10</v>
      </c>
      <c r="E984" s="7" t="s">
        <v>31</v>
      </c>
      <c r="F984" s="8">
        <v>173.0</v>
      </c>
      <c r="G984" s="9">
        <v>173.0</v>
      </c>
    </row>
    <row r="985" ht="14.25" customHeight="1">
      <c r="B985" s="7" t="s">
        <v>19</v>
      </c>
      <c r="C985" s="7" t="s">
        <v>29</v>
      </c>
      <c r="D985" s="7" t="s">
        <v>8</v>
      </c>
      <c r="E985" s="7" t="s">
        <v>31</v>
      </c>
      <c r="F985" s="8">
        <v>172.0</v>
      </c>
      <c r="G985" s="9">
        <v>172.0</v>
      </c>
    </row>
    <row r="986" ht="14.25" hidden="1" customHeight="1">
      <c r="B986" s="7" t="s">
        <v>19</v>
      </c>
      <c r="C986" s="7" t="s">
        <v>29</v>
      </c>
      <c r="D986" s="7" t="s">
        <v>8</v>
      </c>
      <c r="E986" s="7" t="s">
        <v>33</v>
      </c>
      <c r="F986" s="8">
        <v>164.0</v>
      </c>
      <c r="G986" s="9">
        <v>164.0</v>
      </c>
    </row>
    <row r="987" ht="14.25" hidden="1" customHeight="1">
      <c r="B987" s="7" t="s">
        <v>19</v>
      </c>
      <c r="C987" s="7" t="s">
        <v>7</v>
      </c>
      <c r="D987" s="7" t="s">
        <v>33</v>
      </c>
      <c r="E987" s="7" t="s">
        <v>28</v>
      </c>
      <c r="F987" s="8">
        <v>162.0</v>
      </c>
      <c r="G987" s="9">
        <v>81.0</v>
      </c>
    </row>
    <row r="988" ht="14.25" hidden="1" customHeight="1">
      <c r="B988" s="7" t="s">
        <v>19</v>
      </c>
      <c r="C988" s="7" t="s">
        <v>7</v>
      </c>
      <c r="D988" s="7" t="s">
        <v>8</v>
      </c>
      <c r="E988" s="7" t="s">
        <v>35</v>
      </c>
      <c r="F988" s="8">
        <v>160.0</v>
      </c>
      <c r="G988" s="9">
        <v>80.0</v>
      </c>
    </row>
    <row r="989" ht="14.25" hidden="1" customHeight="1">
      <c r="B989" s="7" t="s">
        <v>19</v>
      </c>
      <c r="C989" s="7" t="s">
        <v>30</v>
      </c>
      <c r="D989" s="7" t="s">
        <v>31</v>
      </c>
      <c r="E989" s="7" t="s">
        <v>33</v>
      </c>
      <c r="F989" s="8">
        <v>150.0</v>
      </c>
      <c r="G989" s="9">
        <v>75.0</v>
      </c>
    </row>
    <row r="990" ht="14.25" hidden="1" customHeight="1">
      <c r="B990" s="7" t="s">
        <v>19</v>
      </c>
      <c r="C990" s="7" t="s">
        <v>7</v>
      </c>
      <c r="D990" s="7" t="s">
        <v>32</v>
      </c>
      <c r="E990" s="7" t="s">
        <v>8</v>
      </c>
      <c r="F990" s="8">
        <v>146.0</v>
      </c>
      <c r="G990" s="9">
        <v>73.0</v>
      </c>
    </row>
    <row r="991" ht="14.25" hidden="1" customHeight="1">
      <c r="B991" s="7" t="s">
        <v>19</v>
      </c>
      <c r="C991" s="7" t="s">
        <v>29</v>
      </c>
      <c r="D991" s="7" t="s">
        <v>32</v>
      </c>
      <c r="E991" s="7" t="s">
        <v>35</v>
      </c>
      <c r="F991" s="8">
        <v>142.0</v>
      </c>
      <c r="G991" s="9">
        <v>142.0</v>
      </c>
    </row>
    <row r="992" ht="14.25" hidden="1" customHeight="1">
      <c r="B992" s="7" t="s">
        <v>19</v>
      </c>
      <c r="C992" s="7" t="s">
        <v>29</v>
      </c>
      <c r="D992" s="7" t="s">
        <v>8</v>
      </c>
      <c r="E992" s="7" t="s">
        <v>10</v>
      </c>
      <c r="F992" s="8">
        <v>140.0</v>
      </c>
      <c r="G992" s="9">
        <v>140.0</v>
      </c>
    </row>
    <row r="993" ht="14.25" hidden="1" customHeight="1">
      <c r="B993" s="7" t="s">
        <v>19</v>
      </c>
      <c r="C993" s="7" t="s">
        <v>29</v>
      </c>
      <c r="D993" s="7" t="s">
        <v>33</v>
      </c>
      <c r="E993" s="7" t="s">
        <v>10</v>
      </c>
      <c r="F993" s="8">
        <v>137.0</v>
      </c>
      <c r="G993" s="9">
        <v>137.0</v>
      </c>
    </row>
    <row r="994" ht="14.25" hidden="1" customHeight="1">
      <c r="B994" s="7" t="s">
        <v>19</v>
      </c>
      <c r="C994" s="7" t="s">
        <v>29</v>
      </c>
      <c r="D994" s="7" t="s">
        <v>31</v>
      </c>
      <c r="E994" s="7" t="s">
        <v>24</v>
      </c>
      <c r="F994" s="8">
        <v>133.0</v>
      </c>
      <c r="G994" s="9">
        <v>133.0</v>
      </c>
    </row>
    <row r="995" ht="14.25" hidden="1" customHeight="1">
      <c r="B995" s="7" t="s">
        <v>19</v>
      </c>
      <c r="C995" s="7" t="s">
        <v>7</v>
      </c>
      <c r="D995" s="7" t="s">
        <v>11</v>
      </c>
      <c r="E995" s="7" t="s">
        <v>25</v>
      </c>
      <c r="F995" s="8">
        <v>132.0</v>
      </c>
      <c r="G995" s="9">
        <v>66.0</v>
      </c>
    </row>
    <row r="996" ht="14.25" hidden="1" customHeight="1">
      <c r="B996" s="7" t="s">
        <v>19</v>
      </c>
      <c r="C996" s="7" t="s">
        <v>7</v>
      </c>
      <c r="D996" s="7" t="s">
        <v>9</v>
      </c>
      <c r="E996" s="7" t="s">
        <v>32</v>
      </c>
      <c r="F996" s="8">
        <v>132.0</v>
      </c>
      <c r="G996" s="9">
        <v>66.0</v>
      </c>
    </row>
    <row r="997" ht="14.25" hidden="1" customHeight="1">
      <c r="B997" s="7" t="s">
        <v>19</v>
      </c>
      <c r="C997" s="7" t="s">
        <v>7</v>
      </c>
      <c r="D997" s="7" t="s">
        <v>32</v>
      </c>
      <c r="E997" s="7" t="s">
        <v>9</v>
      </c>
      <c r="F997" s="8">
        <v>132.0</v>
      </c>
      <c r="G997" s="9">
        <v>66.0</v>
      </c>
    </row>
    <row r="998" ht="14.25" hidden="1" customHeight="1">
      <c r="B998" s="7" t="s">
        <v>19</v>
      </c>
      <c r="C998" s="7" t="s">
        <v>29</v>
      </c>
      <c r="D998" s="7" t="s">
        <v>10</v>
      </c>
      <c r="E998" s="7" t="s">
        <v>8</v>
      </c>
      <c r="F998" s="8">
        <v>131.0</v>
      </c>
      <c r="G998" s="9">
        <v>131.0</v>
      </c>
    </row>
    <row r="999" ht="14.25" hidden="1" customHeight="1">
      <c r="B999" s="7" t="s">
        <v>19</v>
      </c>
      <c r="C999" s="7" t="s">
        <v>29</v>
      </c>
      <c r="D999" s="7" t="s">
        <v>25</v>
      </c>
      <c r="E999" s="7" t="s">
        <v>8</v>
      </c>
      <c r="F999" s="8">
        <v>130.0</v>
      </c>
      <c r="G999" s="9">
        <v>130.0</v>
      </c>
    </row>
    <row r="1000" ht="14.25" hidden="1" customHeight="1">
      <c r="B1000" s="7" t="s">
        <v>19</v>
      </c>
      <c r="C1000" s="7" t="s">
        <v>29</v>
      </c>
      <c r="D1000" s="7" t="s">
        <v>8</v>
      </c>
      <c r="E1000" s="7" t="s">
        <v>10</v>
      </c>
      <c r="F1000" s="8">
        <v>130.0</v>
      </c>
      <c r="G1000" s="9">
        <v>130.0</v>
      </c>
    </row>
    <row r="1001" ht="14.25" hidden="1" customHeight="1">
      <c r="B1001" s="7" t="s">
        <v>19</v>
      </c>
      <c r="C1001" s="7" t="s">
        <v>29</v>
      </c>
      <c r="D1001" s="7" t="s">
        <v>33</v>
      </c>
      <c r="E1001" s="7" t="s">
        <v>9</v>
      </c>
      <c r="F1001" s="8">
        <v>129.0</v>
      </c>
      <c r="G1001" s="9">
        <v>129.0</v>
      </c>
    </row>
    <row r="1002" ht="14.25" hidden="1" customHeight="1">
      <c r="B1002" s="7" t="s">
        <v>19</v>
      </c>
      <c r="C1002" s="7" t="s">
        <v>29</v>
      </c>
      <c r="D1002" s="7" t="s">
        <v>25</v>
      </c>
      <c r="E1002" s="7" t="s">
        <v>28</v>
      </c>
      <c r="F1002" s="8">
        <v>124.0</v>
      </c>
      <c r="G1002" s="9">
        <v>124.0</v>
      </c>
    </row>
    <row r="1003" ht="14.25" hidden="1" customHeight="1">
      <c r="B1003" s="7" t="s">
        <v>19</v>
      </c>
      <c r="C1003" s="7" t="s">
        <v>29</v>
      </c>
      <c r="D1003" s="7" t="s">
        <v>33</v>
      </c>
      <c r="E1003" s="7" t="s">
        <v>28</v>
      </c>
      <c r="F1003" s="8">
        <v>122.0</v>
      </c>
      <c r="G1003" s="9">
        <v>122.0</v>
      </c>
    </row>
    <row r="1004" ht="14.25" hidden="1" customHeight="1">
      <c r="B1004" s="7" t="s">
        <v>19</v>
      </c>
      <c r="C1004" s="7" t="s">
        <v>29</v>
      </c>
      <c r="D1004" s="7" t="s">
        <v>8</v>
      </c>
      <c r="E1004" s="7" t="s">
        <v>25</v>
      </c>
      <c r="F1004" s="8">
        <v>121.0</v>
      </c>
      <c r="G1004" s="9">
        <v>121.0</v>
      </c>
    </row>
    <row r="1005" ht="14.25" hidden="1" customHeight="1">
      <c r="B1005" s="7" t="s">
        <v>19</v>
      </c>
      <c r="C1005" s="7" t="s">
        <v>29</v>
      </c>
      <c r="D1005" s="7" t="s">
        <v>8</v>
      </c>
      <c r="E1005" s="7" t="s">
        <v>28</v>
      </c>
      <c r="F1005" s="8">
        <v>121.0</v>
      </c>
      <c r="G1005" s="9">
        <v>121.0</v>
      </c>
    </row>
    <row r="1006" ht="14.25" hidden="1" customHeight="1">
      <c r="B1006" s="7" t="s">
        <v>19</v>
      </c>
      <c r="C1006" s="7" t="s">
        <v>30</v>
      </c>
      <c r="D1006" s="7" t="s">
        <v>31</v>
      </c>
      <c r="E1006" s="7" t="s">
        <v>24</v>
      </c>
      <c r="F1006" s="8">
        <v>120.0</v>
      </c>
      <c r="G1006" s="9">
        <v>60.0</v>
      </c>
    </row>
    <row r="1007" ht="14.25" hidden="1" customHeight="1">
      <c r="B1007" s="7" t="s">
        <v>19</v>
      </c>
      <c r="C1007" s="7" t="s">
        <v>29</v>
      </c>
      <c r="D1007" s="7" t="s">
        <v>8</v>
      </c>
      <c r="E1007" s="7" t="s">
        <v>25</v>
      </c>
      <c r="F1007" s="8">
        <v>120.0</v>
      </c>
      <c r="G1007" s="9">
        <v>120.0</v>
      </c>
    </row>
    <row r="1008" ht="14.25" hidden="1" customHeight="1">
      <c r="B1008" s="7" t="s">
        <v>19</v>
      </c>
      <c r="C1008" s="7" t="s">
        <v>29</v>
      </c>
      <c r="D1008" s="7" t="s">
        <v>25</v>
      </c>
      <c r="E1008" s="7" t="s">
        <v>31</v>
      </c>
      <c r="F1008" s="8">
        <v>116.0</v>
      </c>
      <c r="G1008" s="9">
        <v>116.0</v>
      </c>
    </row>
    <row r="1009" ht="14.25" hidden="1" customHeight="1">
      <c r="B1009" s="7" t="s">
        <v>19</v>
      </c>
      <c r="C1009" s="7" t="s">
        <v>29</v>
      </c>
      <c r="D1009" s="7" t="s">
        <v>28</v>
      </c>
      <c r="E1009" s="7" t="s">
        <v>25</v>
      </c>
      <c r="F1009" s="8">
        <v>111.0</v>
      </c>
      <c r="G1009" s="9">
        <v>111.0</v>
      </c>
    </row>
    <row r="1010" ht="14.25" hidden="1" customHeight="1">
      <c r="B1010" s="7" t="s">
        <v>19</v>
      </c>
      <c r="C1010" s="7" t="s">
        <v>7</v>
      </c>
      <c r="D1010" s="7" t="s">
        <v>9</v>
      </c>
      <c r="E1010" s="7" t="s">
        <v>31</v>
      </c>
      <c r="F1010" s="8">
        <v>106.0</v>
      </c>
      <c r="G1010" s="9">
        <v>53.0</v>
      </c>
    </row>
    <row r="1011" ht="14.25" hidden="1" customHeight="1">
      <c r="B1011" s="7" t="s">
        <v>19</v>
      </c>
      <c r="C1011" s="7" t="s">
        <v>29</v>
      </c>
      <c r="D1011" s="7" t="s">
        <v>9</v>
      </c>
      <c r="E1011" s="7" t="s">
        <v>10</v>
      </c>
      <c r="F1011" s="8">
        <v>104.0</v>
      </c>
      <c r="G1011" s="9">
        <v>104.0</v>
      </c>
    </row>
    <row r="1012" ht="14.25" hidden="1" customHeight="1">
      <c r="B1012" s="7" t="s">
        <v>19</v>
      </c>
      <c r="C1012" s="7" t="s">
        <v>7</v>
      </c>
      <c r="D1012" s="7" t="s">
        <v>10</v>
      </c>
      <c r="E1012" s="7" t="s">
        <v>31</v>
      </c>
      <c r="F1012" s="8">
        <v>104.0</v>
      </c>
      <c r="G1012" s="9">
        <v>52.0</v>
      </c>
    </row>
    <row r="1013" ht="14.25" hidden="1" customHeight="1">
      <c r="B1013" s="7" t="s">
        <v>19</v>
      </c>
      <c r="C1013" s="7" t="s">
        <v>7</v>
      </c>
      <c r="D1013" s="7" t="s">
        <v>32</v>
      </c>
      <c r="E1013" s="7" t="s">
        <v>25</v>
      </c>
      <c r="F1013" s="8">
        <v>104.0</v>
      </c>
      <c r="G1013" s="9">
        <v>52.0</v>
      </c>
    </row>
    <row r="1014" ht="14.25" hidden="1" customHeight="1">
      <c r="B1014" s="7" t="s">
        <v>19</v>
      </c>
      <c r="C1014" s="7" t="s">
        <v>30</v>
      </c>
      <c r="D1014" s="7" t="s">
        <v>8</v>
      </c>
      <c r="E1014" s="7" t="s">
        <v>10</v>
      </c>
      <c r="F1014" s="8">
        <v>104.0</v>
      </c>
      <c r="G1014" s="9">
        <v>52.0</v>
      </c>
    </row>
    <row r="1015" ht="14.25" hidden="1" customHeight="1">
      <c r="B1015" s="7" t="s">
        <v>19</v>
      </c>
      <c r="C1015" s="7" t="s">
        <v>7</v>
      </c>
      <c r="D1015" s="7" t="s">
        <v>31</v>
      </c>
      <c r="E1015" s="7" t="s">
        <v>35</v>
      </c>
      <c r="F1015" s="8">
        <v>102.0</v>
      </c>
      <c r="G1015" s="9">
        <v>51.0</v>
      </c>
    </row>
    <row r="1016" ht="14.25" hidden="1" customHeight="1">
      <c r="B1016" s="7" t="s">
        <v>19</v>
      </c>
      <c r="C1016" s="7" t="s">
        <v>30</v>
      </c>
      <c r="D1016" s="7" t="s">
        <v>33</v>
      </c>
      <c r="E1016" s="7" t="s">
        <v>8</v>
      </c>
      <c r="F1016" s="8">
        <v>100.0</v>
      </c>
      <c r="G1016" s="9">
        <v>50.0</v>
      </c>
    </row>
    <row r="1017" ht="14.25" hidden="1" customHeight="1">
      <c r="B1017" s="7" t="s">
        <v>19</v>
      </c>
      <c r="C1017" s="7" t="s">
        <v>29</v>
      </c>
      <c r="D1017" s="7" t="s">
        <v>10</v>
      </c>
      <c r="E1017" s="7" t="s">
        <v>25</v>
      </c>
      <c r="F1017" s="8">
        <v>99.0</v>
      </c>
      <c r="G1017" s="9">
        <v>99.0</v>
      </c>
    </row>
    <row r="1018" ht="14.25" hidden="1" customHeight="1">
      <c r="B1018" s="7" t="s">
        <v>19</v>
      </c>
      <c r="C1018" s="7" t="s">
        <v>29</v>
      </c>
      <c r="D1018" s="7" t="s">
        <v>9</v>
      </c>
      <c r="E1018" s="7" t="s">
        <v>25</v>
      </c>
      <c r="F1018" s="8">
        <v>95.0</v>
      </c>
      <c r="G1018" s="9">
        <v>95.0</v>
      </c>
    </row>
    <row r="1019" ht="14.25" hidden="1" customHeight="1">
      <c r="B1019" s="7" t="s">
        <v>19</v>
      </c>
      <c r="C1019" s="7" t="s">
        <v>30</v>
      </c>
      <c r="D1019" s="7" t="s">
        <v>33</v>
      </c>
      <c r="E1019" s="7" t="s">
        <v>10</v>
      </c>
      <c r="F1019" s="8">
        <v>94.0</v>
      </c>
      <c r="G1019" s="9">
        <v>47.0</v>
      </c>
    </row>
    <row r="1020" ht="14.25" hidden="1" customHeight="1">
      <c r="B1020" s="7" t="s">
        <v>19</v>
      </c>
      <c r="C1020" s="7" t="s">
        <v>30</v>
      </c>
      <c r="D1020" s="7" t="s">
        <v>9</v>
      </c>
      <c r="E1020" s="7" t="s">
        <v>28</v>
      </c>
      <c r="F1020" s="8">
        <v>90.0</v>
      </c>
      <c r="G1020" s="9">
        <v>45.0</v>
      </c>
    </row>
    <row r="1021" ht="14.25" hidden="1" customHeight="1">
      <c r="B1021" s="7" t="s">
        <v>19</v>
      </c>
      <c r="C1021" s="7" t="s">
        <v>7</v>
      </c>
      <c r="D1021" s="7" t="s">
        <v>25</v>
      </c>
      <c r="E1021" s="7" t="s">
        <v>8</v>
      </c>
      <c r="F1021" s="8">
        <v>88.0</v>
      </c>
      <c r="G1021" s="9">
        <v>44.0</v>
      </c>
    </row>
    <row r="1022" ht="14.25" hidden="1" customHeight="1">
      <c r="B1022" s="7" t="s">
        <v>19</v>
      </c>
      <c r="C1022" s="7" t="s">
        <v>7</v>
      </c>
      <c r="D1022" s="7" t="s">
        <v>31</v>
      </c>
      <c r="E1022" s="7" t="s">
        <v>28</v>
      </c>
      <c r="F1022" s="8">
        <v>88.0</v>
      </c>
      <c r="G1022" s="9">
        <v>44.0</v>
      </c>
    </row>
    <row r="1023" ht="14.25" hidden="1" customHeight="1">
      <c r="B1023" s="7" t="s">
        <v>19</v>
      </c>
      <c r="C1023" s="7" t="s">
        <v>7</v>
      </c>
      <c r="D1023" s="7" t="s">
        <v>31</v>
      </c>
      <c r="E1023" s="7" t="s">
        <v>35</v>
      </c>
      <c r="F1023" s="8">
        <v>88.0</v>
      </c>
      <c r="G1023" s="9">
        <v>44.0</v>
      </c>
    </row>
    <row r="1024" ht="14.25" hidden="1" customHeight="1">
      <c r="B1024" s="7" t="s">
        <v>19</v>
      </c>
      <c r="C1024" s="7" t="s">
        <v>29</v>
      </c>
      <c r="D1024" s="7" t="s">
        <v>9</v>
      </c>
      <c r="E1024" s="7" t="s">
        <v>28</v>
      </c>
      <c r="F1024" s="8">
        <v>87.0</v>
      </c>
      <c r="G1024" s="9">
        <v>87.0</v>
      </c>
    </row>
    <row r="1025" ht="14.25" hidden="1" customHeight="1">
      <c r="B1025" s="7" t="s">
        <v>19</v>
      </c>
      <c r="C1025" s="7" t="s">
        <v>7</v>
      </c>
      <c r="D1025" s="7" t="s">
        <v>9</v>
      </c>
      <c r="E1025" s="7" t="s">
        <v>31</v>
      </c>
      <c r="F1025" s="8">
        <v>86.0</v>
      </c>
      <c r="G1025" s="9">
        <v>43.0</v>
      </c>
    </row>
    <row r="1026" ht="14.25" hidden="1" customHeight="1">
      <c r="B1026" s="7" t="s">
        <v>19</v>
      </c>
      <c r="C1026" s="7" t="s">
        <v>29</v>
      </c>
      <c r="D1026" s="7" t="s">
        <v>31</v>
      </c>
      <c r="E1026" s="7" t="s">
        <v>25</v>
      </c>
      <c r="F1026" s="8">
        <v>86.0</v>
      </c>
      <c r="G1026" s="9">
        <v>86.0</v>
      </c>
    </row>
    <row r="1027" ht="14.25" hidden="1" customHeight="1">
      <c r="B1027" s="7" t="s">
        <v>19</v>
      </c>
      <c r="C1027" s="7" t="s">
        <v>29</v>
      </c>
      <c r="D1027" s="7" t="s">
        <v>10</v>
      </c>
      <c r="E1027" s="7" t="s">
        <v>25</v>
      </c>
      <c r="F1027" s="8">
        <v>84.0</v>
      </c>
      <c r="G1027" s="9">
        <v>84.0</v>
      </c>
    </row>
    <row r="1028" ht="14.25" hidden="1" customHeight="1">
      <c r="B1028" s="7" t="s">
        <v>19</v>
      </c>
      <c r="C1028" s="7" t="s">
        <v>29</v>
      </c>
      <c r="D1028" s="7" t="s">
        <v>31</v>
      </c>
      <c r="E1028" s="7" t="s">
        <v>31</v>
      </c>
      <c r="F1028" s="8">
        <v>81.0</v>
      </c>
      <c r="G1028" s="9">
        <v>81.0</v>
      </c>
    </row>
    <row r="1029" ht="14.25" hidden="1" customHeight="1">
      <c r="B1029" s="7" t="s">
        <v>19</v>
      </c>
      <c r="C1029" s="7" t="s">
        <v>7</v>
      </c>
      <c r="D1029" s="7" t="s">
        <v>10</v>
      </c>
      <c r="E1029" s="7" t="s">
        <v>28</v>
      </c>
      <c r="F1029" s="8">
        <v>80.0</v>
      </c>
      <c r="G1029" s="9">
        <v>40.0</v>
      </c>
    </row>
    <row r="1030" ht="14.25" hidden="1" customHeight="1">
      <c r="B1030" s="7" t="s">
        <v>19</v>
      </c>
      <c r="C1030" s="7" t="s">
        <v>7</v>
      </c>
      <c r="D1030" s="7" t="s">
        <v>25</v>
      </c>
      <c r="E1030" s="7" t="s">
        <v>32</v>
      </c>
      <c r="F1030" s="8">
        <v>76.0</v>
      </c>
      <c r="G1030" s="9">
        <v>38.0</v>
      </c>
    </row>
    <row r="1031" ht="14.25" hidden="1" customHeight="1">
      <c r="B1031" s="7" t="s">
        <v>19</v>
      </c>
      <c r="C1031" s="7" t="s">
        <v>7</v>
      </c>
      <c r="D1031" s="7" t="s">
        <v>31</v>
      </c>
      <c r="E1031" s="7" t="s">
        <v>31</v>
      </c>
      <c r="F1031" s="8">
        <v>76.0</v>
      </c>
      <c r="G1031" s="9">
        <v>38.0</v>
      </c>
    </row>
    <row r="1032" ht="14.25" hidden="1" customHeight="1">
      <c r="B1032" s="7" t="s">
        <v>19</v>
      </c>
      <c r="C1032" s="7" t="s">
        <v>29</v>
      </c>
      <c r="D1032" s="7" t="s">
        <v>10</v>
      </c>
      <c r="E1032" s="7" t="s">
        <v>9</v>
      </c>
      <c r="F1032" s="8">
        <v>75.0</v>
      </c>
      <c r="G1032" s="9">
        <v>75.0</v>
      </c>
    </row>
    <row r="1033" ht="14.25" hidden="1" customHeight="1">
      <c r="B1033" s="7" t="s">
        <v>19</v>
      </c>
      <c r="C1033" s="7" t="s">
        <v>7</v>
      </c>
      <c r="D1033" s="7" t="s">
        <v>10</v>
      </c>
      <c r="E1033" s="7" t="s">
        <v>25</v>
      </c>
      <c r="F1033" s="8">
        <v>74.0</v>
      </c>
      <c r="G1033" s="9">
        <v>37.0</v>
      </c>
    </row>
    <row r="1034" ht="14.25" hidden="1" customHeight="1">
      <c r="B1034" s="7" t="s">
        <v>19</v>
      </c>
      <c r="C1034" s="7" t="s">
        <v>29</v>
      </c>
      <c r="D1034" s="7" t="s">
        <v>10</v>
      </c>
      <c r="E1034" s="7" t="s">
        <v>33</v>
      </c>
      <c r="F1034" s="8">
        <v>74.0</v>
      </c>
      <c r="G1034" s="9">
        <v>74.0</v>
      </c>
    </row>
    <row r="1035" ht="14.25" hidden="1" customHeight="1">
      <c r="B1035" s="7" t="s">
        <v>19</v>
      </c>
      <c r="C1035" s="7" t="s">
        <v>7</v>
      </c>
      <c r="D1035" s="7" t="s">
        <v>8</v>
      </c>
      <c r="E1035" s="7" t="s">
        <v>10</v>
      </c>
      <c r="F1035" s="8">
        <v>74.0</v>
      </c>
      <c r="G1035" s="9">
        <v>37.0</v>
      </c>
    </row>
    <row r="1036" ht="14.25" hidden="1" customHeight="1">
      <c r="B1036" s="7" t="s">
        <v>19</v>
      </c>
      <c r="C1036" s="7" t="s">
        <v>29</v>
      </c>
      <c r="D1036" s="7" t="s">
        <v>25</v>
      </c>
      <c r="E1036" s="7" t="s">
        <v>10</v>
      </c>
      <c r="F1036" s="8">
        <v>73.0</v>
      </c>
      <c r="G1036" s="9">
        <v>73.0</v>
      </c>
    </row>
    <row r="1037" ht="14.25" customHeight="1">
      <c r="B1037" s="7" t="s">
        <v>19</v>
      </c>
      <c r="C1037" s="7" t="s">
        <v>29</v>
      </c>
      <c r="D1037" s="7" t="s">
        <v>8</v>
      </c>
      <c r="E1037" s="7" t="s">
        <v>31</v>
      </c>
      <c r="F1037" s="8">
        <v>73.0</v>
      </c>
      <c r="G1037" s="9">
        <v>73.0</v>
      </c>
    </row>
    <row r="1038" ht="14.25" hidden="1" customHeight="1">
      <c r="B1038" s="7" t="s">
        <v>19</v>
      </c>
      <c r="C1038" s="7" t="s">
        <v>7</v>
      </c>
      <c r="D1038" s="7" t="s">
        <v>10</v>
      </c>
      <c r="E1038" s="7" t="s">
        <v>31</v>
      </c>
      <c r="F1038" s="8">
        <v>70.0</v>
      </c>
      <c r="G1038" s="9">
        <v>35.0</v>
      </c>
    </row>
    <row r="1039" ht="14.25" hidden="1" customHeight="1">
      <c r="B1039" s="7" t="s">
        <v>19</v>
      </c>
      <c r="C1039" s="7" t="s">
        <v>7</v>
      </c>
      <c r="D1039" s="7" t="s">
        <v>28</v>
      </c>
      <c r="E1039" s="7" t="s">
        <v>35</v>
      </c>
      <c r="F1039" s="8">
        <v>66.0</v>
      </c>
      <c r="G1039" s="9">
        <v>33.0</v>
      </c>
    </row>
    <row r="1040" ht="14.25" hidden="1" customHeight="1">
      <c r="B1040" s="7" t="s">
        <v>19</v>
      </c>
      <c r="C1040" s="7" t="s">
        <v>7</v>
      </c>
      <c r="D1040" s="7" t="s">
        <v>8</v>
      </c>
      <c r="E1040" s="7" t="s">
        <v>9</v>
      </c>
      <c r="F1040" s="8">
        <v>66.0</v>
      </c>
      <c r="G1040" s="9">
        <v>33.0</v>
      </c>
    </row>
    <row r="1041" ht="14.25" hidden="1" customHeight="1">
      <c r="B1041" s="7" t="s">
        <v>19</v>
      </c>
      <c r="C1041" s="7" t="s">
        <v>29</v>
      </c>
      <c r="D1041" s="7" t="s">
        <v>9</v>
      </c>
      <c r="E1041" s="7" t="s">
        <v>8</v>
      </c>
      <c r="F1041" s="8">
        <v>64.0</v>
      </c>
      <c r="G1041" s="9">
        <v>64.0</v>
      </c>
    </row>
    <row r="1042" ht="14.25" hidden="1" customHeight="1">
      <c r="B1042" s="7" t="s">
        <v>19</v>
      </c>
      <c r="C1042" s="7" t="s">
        <v>7</v>
      </c>
      <c r="D1042" s="7" t="s">
        <v>10</v>
      </c>
      <c r="E1042" s="7" t="s">
        <v>8</v>
      </c>
      <c r="F1042" s="8">
        <v>62.0</v>
      </c>
      <c r="G1042" s="9">
        <v>31.0</v>
      </c>
    </row>
    <row r="1043" ht="14.25" hidden="1" customHeight="1">
      <c r="B1043" s="7" t="s">
        <v>19</v>
      </c>
      <c r="C1043" s="7" t="s">
        <v>7</v>
      </c>
      <c r="D1043" s="7" t="s">
        <v>8</v>
      </c>
      <c r="E1043" s="7" t="s">
        <v>28</v>
      </c>
      <c r="F1043" s="8">
        <v>62.0</v>
      </c>
      <c r="G1043" s="9">
        <v>31.0</v>
      </c>
    </row>
    <row r="1044" ht="14.25" hidden="1" customHeight="1">
      <c r="B1044" s="7" t="s">
        <v>19</v>
      </c>
      <c r="C1044" s="7" t="s">
        <v>7</v>
      </c>
      <c r="D1044" s="7" t="s">
        <v>34</v>
      </c>
      <c r="E1044" s="7" t="s">
        <v>8</v>
      </c>
      <c r="F1044" s="8">
        <v>60.0</v>
      </c>
      <c r="G1044" s="9">
        <v>30.0</v>
      </c>
    </row>
    <row r="1045" ht="14.25" hidden="1" customHeight="1">
      <c r="B1045" s="7" t="s">
        <v>19</v>
      </c>
      <c r="C1045" s="7" t="s">
        <v>29</v>
      </c>
      <c r="D1045" s="7" t="s">
        <v>33</v>
      </c>
      <c r="E1045" s="7" t="s">
        <v>28</v>
      </c>
      <c r="F1045" s="8">
        <v>58.0</v>
      </c>
      <c r="G1045" s="9">
        <v>58.0</v>
      </c>
    </row>
    <row r="1046" ht="14.25" hidden="1" customHeight="1">
      <c r="B1046" s="7" t="s">
        <v>19</v>
      </c>
      <c r="C1046" s="7" t="s">
        <v>7</v>
      </c>
      <c r="D1046" s="7" t="s">
        <v>11</v>
      </c>
      <c r="E1046" s="7" t="s">
        <v>8</v>
      </c>
      <c r="F1046" s="8">
        <v>58.0</v>
      </c>
      <c r="G1046" s="9">
        <v>29.0</v>
      </c>
    </row>
    <row r="1047" ht="14.25" hidden="1" customHeight="1">
      <c r="B1047" s="7" t="s">
        <v>19</v>
      </c>
      <c r="C1047" s="7" t="s">
        <v>29</v>
      </c>
      <c r="D1047" s="7" t="s">
        <v>28</v>
      </c>
      <c r="E1047" s="7" t="s">
        <v>33</v>
      </c>
      <c r="F1047" s="8">
        <v>57.0</v>
      </c>
      <c r="G1047" s="9">
        <v>57.0</v>
      </c>
    </row>
    <row r="1048" ht="14.25" hidden="1" customHeight="1">
      <c r="B1048" s="7" t="s">
        <v>19</v>
      </c>
      <c r="C1048" s="7" t="s">
        <v>29</v>
      </c>
      <c r="D1048" s="7" t="s">
        <v>25</v>
      </c>
      <c r="E1048" s="7" t="s">
        <v>33</v>
      </c>
      <c r="F1048" s="8">
        <v>56.0</v>
      </c>
      <c r="G1048" s="9">
        <v>56.0</v>
      </c>
    </row>
    <row r="1049" ht="14.25" customHeight="1">
      <c r="B1049" s="7" t="s">
        <v>19</v>
      </c>
      <c r="C1049" s="7" t="s">
        <v>7</v>
      </c>
      <c r="D1049" s="7" t="s">
        <v>8</v>
      </c>
      <c r="E1049" s="7" t="s">
        <v>31</v>
      </c>
      <c r="F1049" s="8">
        <v>56.0</v>
      </c>
      <c r="G1049" s="9">
        <v>28.0</v>
      </c>
    </row>
    <row r="1050" ht="14.25" hidden="1" customHeight="1">
      <c r="B1050" s="7" t="s">
        <v>19</v>
      </c>
      <c r="C1050" s="7" t="s">
        <v>30</v>
      </c>
      <c r="D1050" s="7" t="s">
        <v>33</v>
      </c>
      <c r="E1050" s="7" t="s">
        <v>9</v>
      </c>
      <c r="F1050" s="8">
        <v>54.0</v>
      </c>
      <c r="G1050" s="9">
        <v>27.0</v>
      </c>
    </row>
    <row r="1051" ht="14.25" hidden="1" customHeight="1">
      <c r="B1051" s="7" t="s">
        <v>19</v>
      </c>
      <c r="C1051" s="7" t="s">
        <v>29</v>
      </c>
      <c r="D1051" s="7" t="s">
        <v>32</v>
      </c>
      <c r="E1051" s="7" t="s">
        <v>35</v>
      </c>
      <c r="F1051" s="8">
        <v>54.0</v>
      </c>
      <c r="G1051" s="9">
        <v>54.0</v>
      </c>
    </row>
    <row r="1052" ht="14.25" hidden="1" customHeight="1">
      <c r="B1052" s="7" t="s">
        <v>19</v>
      </c>
      <c r="C1052" s="7" t="s">
        <v>30</v>
      </c>
      <c r="D1052" s="7" t="s">
        <v>31</v>
      </c>
      <c r="E1052" s="7" t="s">
        <v>31</v>
      </c>
      <c r="F1052" s="8">
        <v>54.0</v>
      </c>
      <c r="G1052" s="9">
        <v>27.0</v>
      </c>
    </row>
    <row r="1053" ht="14.25" hidden="1" customHeight="1">
      <c r="B1053" s="7" t="s">
        <v>19</v>
      </c>
      <c r="C1053" s="7" t="s">
        <v>29</v>
      </c>
      <c r="D1053" s="7" t="s">
        <v>28</v>
      </c>
      <c r="E1053" s="7" t="s">
        <v>10</v>
      </c>
      <c r="F1053" s="8">
        <v>53.0</v>
      </c>
      <c r="G1053" s="9">
        <v>53.0</v>
      </c>
    </row>
    <row r="1054" ht="14.25" hidden="1" customHeight="1">
      <c r="B1054" s="7" t="s">
        <v>19</v>
      </c>
      <c r="C1054" s="7" t="s">
        <v>29</v>
      </c>
      <c r="D1054" s="7" t="s">
        <v>8</v>
      </c>
      <c r="E1054" s="7" t="s">
        <v>9</v>
      </c>
      <c r="F1054" s="8">
        <v>52.0</v>
      </c>
      <c r="G1054" s="9">
        <v>52.0</v>
      </c>
    </row>
    <row r="1055" ht="14.25" customHeight="1">
      <c r="B1055" s="7" t="s">
        <v>19</v>
      </c>
      <c r="C1055" s="7" t="s">
        <v>7</v>
      </c>
      <c r="D1055" s="7" t="s">
        <v>8</v>
      </c>
      <c r="E1055" s="7" t="s">
        <v>31</v>
      </c>
      <c r="F1055" s="8">
        <v>52.0</v>
      </c>
      <c r="G1055" s="9">
        <v>26.0</v>
      </c>
    </row>
    <row r="1056" ht="14.25" hidden="1" customHeight="1">
      <c r="B1056" s="7" t="s">
        <v>19</v>
      </c>
      <c r="C1056" s="7" t="s">
        <v>29</v>
      </c>
      <c r="D1056" s="7" t="s">
        <v>9</v>
      </c>
      <c r="E1056" s="7" t="s">
        <v>25</v>
      </c>
      <c r="F1056" s="8">
        <v>51.0</v>
      </c>
      <c r="G1056" s="9">
        <v>51.0</v>
      </c>
    </row>
    <row r="1057" ht="14.25" hidden="1" customHeight="1">
      <c r="B1057" s="7" t="s">
        <v>19</v>
      </c>
      <c r="C1057" s="7" t="s">
        <v>7</v>
      </c>
      <c r="D1057" s="7" t="s">
        <v>28</v>
      </c>
      <c r="E1057" s="7" t="s">
        <v>31</v>
      </c>
      <c r="F1057" s="8">
        <v>50.0</v>
      </c>
      <c r="G1057" s="9">
        <v>25.0</v>
      </c>
    </row>
    <row r="1058" ht="14.25" hidden="1" customHeight="1">
      <c r="B1058" s="7" t="s">
        <v>19</v>
      </c>
      <c r="C1058" s="7" t="s">
        <v>7</v>
      </c>
      <c r="D1058" s="7" t="s">
        <v>33</v>
      </c>
      <c r="E1058" s="7" t="s">
        <v>28</v>
      </c>
      <c r="F1058" s="8">
        <v>48.0</v>
      </c>
      <c r="G1058" s="9">
        <v>24.0</v>
      </c>
    </row>
    <row r="1059" ht="14.25" hidden="1" customHeight="1">
      <c r="B1059" s="7" t="s">
        <v>19</v>
      </c>
      <c r="C1059" s="7" t="s">
        <v>29</v>
      </c>
      <c r="D1059" s="7" t="s">
        <v>24</v>
      </c>
      <c r="E1059" s="7" t="s">
        <v>31</v>
      </c>
      <c r="F1059" s="8">
        <v>48.0</v>
      </c>
      <c r="G1059" s="9">
        <v>48.0</v>
      </c>
    </row>
    <row r="1060" ht="14.25" hidden="1" customHeight="1">
      <c r="B1060" s="7" t="s">
        <v>19</v>
      </c>
      <c r="C1060" s="7" t="s">
        <v>7</v>
      </c>
      <c r="D1060" s="7" t="s">
        <v>10</v>
      </c>
      <c r="E1060" s="7" t="s">
        <v>9</v>
      </c>
      <c r="F1060" s="8">
        <v>48.0</v>
      </c>
      <c r="G1060" s="9">
        <v>24.0</v>
      </c>
    </row>
    <row r="1061" ht="14.25" hidden="1" customHeight="1">
      <c r="B1061" s="7" t="s">
        <v>19</v>
      </c>
      <c r="C1061" s="7" t="s">
        <v>7</v>
      </c>
      <c r="D1061" s="7" t="s">
        <v>10</v>
      </c>
      <c r="E1061" s="7" t="s">
        <v>24</v>
      </c>
      <c r="F1061" s="8">
        <v>48.0</v>
      </c>
      <c r="G1061" s="9">
        <v>24.0</v>
      </c>
    </row>
    <row r="1062" ht="14.25" hidden="1" customHeight="1">
      <c r="B1062" s="7" t="s">
        <v>19</v>
      </c>
      <c r="C1062" s="7" t="s">
        <v>29</v>
      </c>
      <c r="D1062" s="7" t="s">
        <v>33</v>
      </c>
      <c r="E1062" s="7" t="s">
        <v>8</v>
      </c>
      <c r="F1062" s="8">
        <v>47.0</v>
      </c>
      <c r="G1062" s="9">
        <v>47.0</v>
      </c>
    </row>
    <row r="1063" ht="14.25" hidden="1" customHeight="1">
      <c r="B1063" s="7" t="s">
        <v>19</v>
      </c>
      <c r="C1063" s="7" t="s">
        <v>7</v>
      </c>
      <c r="D1063" s="7" t="s">
        <v>33</v>
      </c>
      <c r="E1063" s="7" t="s">
        <v>31</v>
      </c>
      <c r="F1063" s="8">
        <v>46.0</v>
      </c>
      <c r="G1063" s="9">
        <v>23.0</v>
      </c>
    </row>
    <row r="1064" ht="14.25" hidden="1" customHeight="1">
      <c r="B1064" s="7" t="s">
        <v>19</v>
      </c>
      <c r="C1064" s="7" t="s">
        <v>7</v>
      </c>
      <c r="D1064" s="7" t="s">
        <v>9</v>
      </c>
      <c r="E1064" s="7" t="s">
        <v>33</v>
      </c>
      <c r="F1064" s="8">
        <v>46.0</v>
      </c>
      <c r="G1064" s="9">
        <v>23.0</v>
      </c>
    </row>
    <row r="1065" ht="14.25" hidden="1" customHeight="1">
      <c r="B1065" s="7" t="s">
        <v>19</v>
      </c>
      <c r="C1065" s="7" t="s">
        <v>30</v>
      </c>
      <c r="D1065" s="7" t="s">
        <v>34</v>
      </c>
      <c r="E1065" s="7" t="s">
        <v>28</v>
      </c>
      <c r="F1065" s="8">
        <v>44.0</v>
      </c>
      <c r="G1065" s="9">
        <v>22.0</v>
      </c>
    </row>
    <row r="1066" ht="14.25" hidden="1" customHeight="1">
      <c r="B1066" s="7" t="s">
        <v>19</v>
      </c>
      <c r="C1066" s="7" t="s">
        <v>29</v>
      </c>
      <c r="D1066" s="7" t="s">
        <v>31</v>
      </c>
      <c r="E1066" s="7" t="s">
        <v>25</v>
      </c>
      <c r="F1066" s="8">
        <v>44.0</v>
      </c>
      <c r="G1066" s="9">
        <v>44.0</v>
      </c>
    </row>
    <row r="1067" ht="14.25" hidden="1" customHeight="1">
      <c r="B1067" s="7" t="s">
        <v>19</v>
      </c>
      <c r="C1067" s="7" t="s">
        <v>30</v>
      </c>
      <c r="D1067" s="7" t="s">
        <v>33</v>
      </c>
      <c r="E1067" s="7" t="s">
        <v>28</v>
      </c>
      <c r="F1067" s="8">
        <v>42.0</v>
      </c>
      <c r="G1067" s="9">
        <v>21.0</v>
      </c>
    </row>
    <row r="1068" ht="14.25" hidden="1" customHeight="1">
      <c r="B1068" s="7" t="s">
        <v>19</v>
      </c>
      <c r="C1068" s="7" t="s">
        <v>29</v>
      </c>
      <c r="D1068" s="7" t="s">
        <v>11</v>
      </c>
      <c r="E1068" s="7" t="s">
        <v>25</v>
      </c>
      <c r="F1068" s="8">
        <v>42.0</v>
      </c>
      <c r="G1068" s="9">
        <v>42.0</v>
      </c>
    </row>
    <row r="1069" ht="14.25" hidden="1" customHeight="1">
      <c r="B1069" s="7" t="s">
        <v>19</v>
      </c>
      <c r="C1069" s="7" t="s">
        <v>7</v>
      </c>
      <c r="D1069" s="7" t="s">
        <v>11</v>
      </c>
      <c r="E1069" s="7" t="s">
        <v>25</v>
      </c>
      <c r="F1069" s="8">
        <v>42.0</v>
      </c>
      <c r="G1069" s="9">
        <v>21.0</v>
      </c>
    </row>
    <row r="1070" ht="14.25" hidden="1" customHeight="1">
      <c r="B1070" s="7" t="s">
        <v>19</v>
      </c>
      <c r="C1070" s="7" t="s">
        <v>7</v>
      </c>
      <c r="D1070" s="7" t="s">
        <v>31</v>
      </c>
      <c r="E1070" s="7" t="s">
        <v>31</v>
      </c>
      <c r="F1070" s="8">
        <v>42.0</v>
      </c>
      <c r="G1070" s="9">
        <v>21.0</v>
      </c>
    </row>
    <row r="1071" ht="14.25" customHeight="1">
      <c r="B1071" s="7" t="s">
        <v>19</v>
      </c>
      <c r="C1071" s="7" t="s">
        <v>30</v>
      </c>
      <c r="D1071" s="7" t="s">
        <v>8</v>
      </c>
      <c r="E1071" s="7" t="s">
        <v>31</v>
      </c>
      <c r="F1071" s="8">
        <v>42.0</v>
      </c>
      <c r="G1071" s="9">
        <v>21.0</v>
      </c>
    </row>
    <row r="1072" ht="14.25" hidden="1" customHeight="1">
      <c r="B1072" s="7" t="s">
        <v>19</v>
      </c>
      <c r="C1072" s="7" t="s">
        <v>29</v>
      </c>
      <c r="D1072" s="7" t="s">
        <v>9</v>
      </c>
      <c r="E1072" s="7" t="s">
        <v>31</v>
      </c>
      <c r="F1072" s="8">
        <v>41.0</v>
      </c>
      <c r="G1072" s="9">
        <v>41.0</v>
      </c>
    </row>
    <row r="1073" ht="14.25" hidden="1" customHeight="1">
      <c r="B1073" s="7" t="s">
        <v>19</v>
      </c>
      <c r="C1073" s="7" t="s">
        <v>7</v>
      </c>
      <c r="D1073" s="7" t="s">
        <v>28</v>
      </c>
      <c r="E1073" s="7" t="s">
        <v>33</v>
      </c>
      <c r="F1073" s="8">
        <v>40.0</v>
      </c>
      <c r="G1073" s="9">
        <v>20.0</v>
      </c>
    </row>
    <row r="1074" ht="14.25" hidden="1" customHeight="1">
      <c r="B1074" s="7" t="s">
        <v>19</v>
      </c>
      <c r="C1074" s="7" t="s">
        <v>7</v>
      </c>
      <c r="D1074" s="7" t="s">
        <v>9</v>
      </c>
      <c r="E1074" s="7" t="s">
        <v>10</v>
      </c>
      <c r="F1074" s="8">
        <v>40.0</v>
      </c>
      <c r="G1074" s="9">
        <v>20.0</v>
      </c>
    </row>
    <row r="1075" ht="14.25" hidden="1" customHeight="1">
      <c r="B1075" s="7" t="s">
        <v>19</v>
      </c>
      <c r="C1075" s="7" t="s">
        <v>7</v>
      </c>
      <c r="D1075" s="7" t="s">
        <v>8</v>
      </c>
      <c r="E1075" s="7" t="s">
        <v>28</v>
      </c>
      <c r="F1075" s="8">
        <v>40.0</v>
      </c>
      <c r="G1075" s="9">
        <v>20.0</v>
      </c>
    </row>
    <row r="1076" ht="14.25" hidden="1" customHeight="1">
      <c r="B1076" s="7" t="s">
        <v>19</v>
      </c>
      <c r="C1076" s="7" t="s">
        <v>7</v>
      </c>
      <c r="D1076" s="7" t="s">
        <v>8</v>
      </c>
      <c r="E1076" s="7" t="s">
        <v>28</v>
      </c>
      <c r="F1076" s="8">
        <v>40.0</v>
      </c>
      <c r="G1076" s="9">
        <v>20.0</v>
      </c>
    </row>
    <row r="1077" ht="14.25" hidden="1" customHeight="1">
      <c r="B1077" s="7" t="s">
        <v>19</v>
      </c>
      <c r="C1077" s="7" t="s">
        <v>29</v>
      </c>
      <c r="D1077" s="7" t="s">
        <v>9</v>
      </c>
      <c r="E1077" s="7" t="s">
        <v>8</v>
      </c>
      <c r="F1077" s="8">
        <v>39.0</v>
      </c>
      <c r="G1077" s="9">
        <v>39.0</v>
      </c>
    </row>
    <row r="1078" ht="14.25" hidden="1" customHeight="1">
      <c r="B1078" s="7" t="s">
        <v>19</v>
      </c>
      <c r="C1078" s="7" t="s">
        <v>29</v>
      </c>
      <c r="D1078" s="7" t="s">
        <v>8</v>
      </c>
      <c r="E1078" s="7" t="s">
        <v>28</v>
      </c>
      <c r="F1078" s="8">
        <v>39.0</v>
      </c>
      <c r="G1078" s="9">
        <v>39.0</v>
      </c>
    </row>
    <row r="1079" ht="14.25" hidden="1" customHeight="1">
      <c r="B1079" s="7" t="s">
        <v>19</v>
      </c>
      <c r="C1079" s="7" t="s">
        <v>7</v>
      </c>
      <c r="D1079" s="7" t="s">
        <v>24</v>
      </c>
      <c r="E1079" s="7" t="s">
        <v>31</v>
      </c>
      <c r="F1079" s="8">
        <v>38.0</v>
      </c>
      <c r="G1079" s="9">
        <v>19.0</v>
      </c>
    </row>
    <row r="1080" ht="14.25" hidden="1" customHeight="1">
      <c r="B1080" s="7" t="s">
        <v>19</v>
      </c>
      <c r="C1080" s="7" t="s">
        <v>29</v>
      </c>
      <c r="D1080" s="7" t="s">
        <v>25</v>
      </c>
      <c r="E1080" s="7" t="s">
        <v>28</v>
      </c>
      <c r="F1080" s="8">
        <v>36.0</v>
      </c>
      <c r="G1080" s="9">
        <v>36.0</v>
      </c>
    </row>
    <row r="1081" ht="14.25" hidden="1" customHeight="1">
      <c r="B1081" s="7" t="s">
        <v>19</v>
      </c>
      <c r="C1081" s="7" t="s">
        <v>30</v>
      </c>
      <c r="D1081" s="7" t="s">
        <v>28</v>
      </c>
      <c r="E1081" s="7" t="s">
        <v>25</v>
      </c>
      <c r="F1081" s="8">
        <v>36.0</v>
      </c>
      <c r="G1081" s="9">
        <v>18.0</v>
      </c>
    </row>
    <row r="1082" ht="14.25" hidden="1" customHeight="1">
      <c r="B1082" s="7" t="s">
        <v>19</v>
      </c>
      <c r="C1082" s="7" t="s">
        <v>7</v>
      </c>
      <c r="D1082" s="7" t="s">
        <v>8</v>
      </c>
      <c r="E1082" s="7" t="s">
        <v>25</v>
      </c>
      <c r="F1082" s="8">
        <v>36.0</v>
      </c>
      <c r="G1082" s="9">
        <v>36.0</v>
      </c>
    </row>
    <row r="1083" ht="14.25" hidden="1" customHeight="1">
      <c r="B1083" s="7" t="s">
        <v>19</v>
      </c>
      <c r="C1083" s="7" t="s">
        <v>7</v>
      </c>
      <c r="D1083" s="7" t="s">
        <v>33</v>
      </c>
      <c r="E1083" s="7" t="s">
        <v>35</v>
      </c>
      <c r="F1083" s="8">
        <v>34.0</v>
      </c>
      <c r="G1083" s="9">
        <v>17.0</v>
      </c>
    </row>
    <row r="1084" ht="14.25" hidden="1" customHeight="1">
      <c r="B1084" s="7" t="s">
        <v>19</v>
      </c>
      <c r="C1084" s="7" t="s">
        <v>7</v>
      </c>
      <c r="D1084" s="7" t="s">
        <v>28</v>
      </c>
      <c r="E1084" s="7" t="s">
        <v>35</v>
      </c>
      <c r="F1084" s="8">
        <v>34.0</v>
      </c>
      <c r="G1084" s="9">
        <v>17.0</v>
      </c>
    </row>
    <row r="1085" ht="14.25" hidden="1" customHeight="1">
      <c r="B1085" s="7" t="s">
        <v>19</v>
      </c>
      <c r="C1085" s="7" t="s">
        <v>29</v>
      </c>
      <c r="D1085" s="7" t="s">
        <v>9</v>
      </c>
      <c r="E1085" s="7" t="s">
        <v>8</v>
      </c>
      <c r="F1085" s="8">
        <v>33.0</v>
      </c>
      <c r="G1085" s="9">
        <v>33.0</v>
      </c>
    </row>
    <row r="1086" ht="14.25" hidden="1" customHeight="1">
      <c r="B1086" s="7" t="s">
        <v>19</v>
      </c>
      <c r="C1086" s="7" t="s">
        <v>29</v>
      </c>
      <c r="D1086" s="7" t="s">
        <v>10</v>
      </c>
      <c r="E1086" s="7" t="s">
        <v>8</v>
      </c>
      <c r="F1086" s="8">
        <v>33.0</v>
      </c>
      <c r="G1086" s="9">
        <v>33.0</v>
      </c>
    </row>
    <row r="1087" ht="14.25" hidden="1" customHeight="1">
      <c r="B1087" s="7" t="s">
        <v>19</v>
      </c>
      <c r="C1087" s="7" t="s">
        <v>7</v>
      </c>
      <c r="D1087" s="7" t="s">
        <v>33</v>
      </c>
      <c r="E1087" s="7" t="s">
        <v>31</v>
      </c>
      <c r="F1087" s="8">
        <v>32.0</v>
      </c>
      <c r="G1087" s="9">
        <v>16.0</v>
      </c>
    </row>
    <row r="1088" ht="14.25" hidden="1" customHeight="1">
      <c r="B1088" s="7" t="s">
        <v>19</v>
      </c>
      <c r="C1088" s="7" t="s">
        <v>7</v>
      </c>
      <c r="D1088" s="7" t="s">
        <v>31</v>
      </c>
      <c r="E1088" s="7" t="s">
        <v>9</v>
      </c>
      <c r="F1088" s="8">
        <v>32.0</v>
      </c>
      <c r="G1088" s="9">
        <v>16.0</v>
      </c>
    </row>
    <row r="1089" ht="14.25" hidden="1" customHeight="1">
      <c r="B1089" s="7" t="s">
        <v>19</v>
      </c>
      <c r="C1089" s="7" t="s">
        <v>29</v>
      </c>
      <c r="D1089" s="7" t="s">
        <v>31</v>
      </c>
      <c r="E1089" s="7" t="s">
        <v>10</v>
      </c>
      <c r="F1089" s="8">
        <v>32.0</v>
      </c>
      <c r="G1089" s="9">
        <v>32.0</v>
      </c>
    </row>
    <row r="1090" ht="14.25" hidden="1" customHeight="1">
      <c r="B1090" s="7" t="s">
        <v>19</v>
      </c>
      <c r="C1090" s="7" t="s">
        <v>29</v>
      </c>
      <c r="D1090" s="7" t="s">
        <v>8</v>
      </c>
      <c r="E1090" s="7" t="s">
        <v>25</v>
      </c>
      <c r="F1090" s="8">
        <v>32.0</v>
      </c>
      <c r="G1090" s="9">
        <v>32.0</v>
      </c>
    </row>
    <row r="1091" ht="14.25" hidden="1" customHeight="1">
      <c r="B1091" s="7" t="s">
        <v>19</v>
      </c>
      <c r="C1091" s="7" t="s">
        <v>29</v>
      </c>
      <c r="D1091" s="7" t="s">
        <v>25</v>
      </c>
      <c r="E1091" s="7" t="s">
        <v>8</v>
      </c>
      <c r="F1091" s="8">
        <v>31.0</v>
      </c>
      <c r="G1091" s="9">
        <v>31.0</v>
      </c>
    </row>
    <row r="1092" ht="14.25" hidden="1" customHeight="1">
      <c r="B1092" s="7" t="s">
        <v>19</v>
      </c>
      <c r="C1092" s="7" t="s">
        <v>7</v>
      </c>
      <c r="D1092" s="7" t="s">
        <v>11</v>
      </c>
      <c r="E1092" s="7" t="s">
        <v>10</v>
      </c>
      <c r="F1092" s="8">
        <v>30.0</v>
      </c>
      <c r="G1092" s="9">
        <v>15.0</v>
      </c>
    </row>
    <row r="1093" ht="14.25" hidden="1" customHeight="1">
      <c r="B1093" s="7" t="s">
        <v>19</v>
      </c>
      <c r="C1093" s="7" t="s">
        <v>30</v>
      </c>
      <c r="D1093" s="7" t="s">
        <v>10</v>
      </c>
      <c r="E1093" s="7" t="s">
        <v>31</v>
      </c>
      <c r="F1093" s="8">
        <v>30.0</v>
      </c>
      <c r="G1093" s="9">
        <v>15.0</v>
      </c>
    </row>
    <row r="1094" ht="14.25" hidden="1" customHeight="1">
      <c r="B1094" s="7" t="s">
        <v>19</v>
      </c>
      <c r="C1094" s="7" t="s">
        <v>29</v>
      </c>
      <c r="D1094" s="7" t="s">
        <v>31</v>
      </c>
      <c r="E1094" s="7" t="s">
        <v>31</v>
      </c>
      <c r="F1094" s="8">
        <v>29.0</v>
      </c>
      <c r="G1094" s="9">
        <v>29.0</v>
      </c>
    </row>
    <row r="1095" ht="14.25" hidden="1" customHeight="1">
      <c r="B1095" s="7" t="s">
        <v>19</v>
      </c>
      <c r="C1095" s="7" t="s">
        <v>30</v>
      </c>
      <c r="D1095" s="7" t="s">
        <v>32</v>
      </c>
      <c r="E1095" s="7" t="s">
        <v>9</v>
      </c>
      <c r="F1095" s="8">
        <v>28.0</v>
      </c>
      <c r="G1095" s="9">
        <v>14.0</v>
      </c>
    </row>
    <row r="1096" ht="14.25" hidden="1" customHeight="1">
      <c r="B1096" s="7" t="s">
        <v>19</v>
      </c>
      <c r="C1096" s="7" t="s">
        <v>29</v>
      </c>
      <c r="D1096" s="7" t="s">
        <v>25</v>
      </c>
      <c r="E1096" s="7" t="s">
        <v>33</v>
      </c>
      <c r="F1096" s="8">
        <v>26.0</v>
      </c>
      <c r="G1096" s="9">
        <v>26.0</v>
      </c>
    </row>
    <row r="1097" ht="14.25" hidden="1" customHeight="1">
      <c r="B1097" s="7" t="s">
        <v>19</v>
      </c>
      <c r="C1097" s="7" t="s">
        <v>7</v>
      </c>
      <c r="D1097" s="7" t="s">
        <v>28</v>
      </c>
      <c r="E1097" s="7" t="s">
        <v>10</v>
      </c>
      <c r="F1097" s="8">
        <v>26.0</v>
      </c>
      <c r="G1097" s="9">
        <v>13.0</v>
      </c>
    </row>
    <row r="1098" ht="14.25" hidden="1" customHeight="1">
      <c r="B1098" s="7" t="s">
        <v>19</v>
      </c>
      <c r="C1098" s="7" t="s">
        <v>29</v>
      </c>
      <c r="D1098" s="7" t="s">
        <v>10</v>
      </c>
      <c r="E1098" s="7" t="s">
        <v>8</v>
      </c>
      <c r="F1098" s="8">
        <v>26.0</v>
      </c>
      <c r="G1098" s="9">
        <v>26.0</v>
      </c>
    </row>
    <row r="1099" ht="14.25" hidden="1" customHeight="1">
      <c r="B1099" s="7" t="s">
        <v>19</v>
      </c>
      <c r="C1099" s="7" t="s">
        <v>30</v>
      </c>
      <c r="D1099" s="7" t="s">
        <v>10</v>
      </c>
      <c r="E1099" s="7" t="s">
        <v>8</v>
      </c>
      <c r="F1099" s="8">
        <v>26.0</v>
      </c>
      <c r="G1099" s="9">
        <v>13.0</v>
      </c>
    </row>
    <row r="1100" ht="14.25" hidden="1" customHeight="1">
      <c r="B1100" s="7" t="s">
        <v>19</v>
      </c>
      <c r="C1100" s="7" t="s">
        <v>7</v>
      </c>
      <c r="D1100" s="7" t="s">
        <v>32</v>
      </c>
      <c r="E1100" s="7" t="s">
        <v>28</v>
      </c>
      <c r="F1100" s="8">
        <v>26.0</v>
      </c>
      <c r="G1100" s="9">
        <v>13.0</v>
      </c>
    </row>
    <row r="1101" ht="14.25" hidden="1" customHeight="1">
      <c r="B1101" s="7" t="s">
        <v>19</v>
      </c>
      <c r="C1101" s="7" t="s">
        <v>30</v>
      </c>
      <c r="D1101" s="7" t="s">
        <v>31</v>
      </c>
      <c r="E1101" s="7" t="s">
        <v>35</v>
      </c>
      <c r="F1101" s="8">
        <v>26.0</v>
      </c>
      <c r="G1101" s="9">
        <v>13.0</v>
      </c>
    </row>
    <row r="1102" ht="14.25" hidden="1" customHeight="1">
      <c r="B1102" s="7" t="s">
        <v>19</v>
      </c>
      <c r="C1102" s="7" t="s">
        <v>29</v>
      </c>
      <c r="D1102" s="7" t="s">
        <v>11</v>
      </c>
      <c r="E1102" s="7" t="s">
        <v>10</v>
      </c>
      <c r="F1102" s="8">
        <v>25.0</v>
      </c>
      <c r="G1102" s="9">
        <v>25.0</v>
      </c>
    </row>
    <row r="1103" ht="14.25" hidden="1" customHeight="1">
      <c r="B1103" s="7" t="s">
        <v>19</v>
      </c>
      <c r="C1103" s="7" t="s">
        <v>7</v>
      </c>
      <c r="D1103" s="7" t="s">
        <v>25</v>
      </c>
      <c r="E1103" s="7" t="s">
        <v>31</v>
      </c>
      <c r="F1103" s="8">
        <v>24.0</v>
      </c>
      <c r="G1103" s="9">
        <v>12.0</v>
      </c>
    </row>
    <row r="1104" ht="14.25" hidden="1" customHeight="1">
      <c r="B1104" s="7" t="s">
        <v>19</v>
      </c>
      <c r="C1104" s="7" t="s">
        <v>29</v>
      </c>
      <c r="D1104" s="7" t="s">
        <v>10</v>
      </c>
      <c r="E1104" s="7" t="s">
        <v>28</v>
      </c>
      <c r="F1104" s="8">
        <v>24.0</v>
      </c>
      <c r="G1104" s="9">
        <v>24.0</v>
      </c>
    </row>
    <row r="1105" ht="14.25" hidden="1" customHeight="1">
      <c r="B1105" s="7" t="s">
        <v>19</v>
      </c>
      <c r="C1105" s="7" t="s">
        <v>29</v>
      </c>
      <c r="D1105" s="7" t="s">
        <v>10</v>
      </c>
      <c r="E1105" s="7" t="s">
        <v>8</v>
      </c>
      <c r="F1105" s="8">
        <v>24.0</v>
      </c>
      <c r="G1105" s="9">
        <v>24.0</v>
      </c>
    </row>
    <row r="1106" ht="14.25" hidden="1" customHeight="1">
      <c r="B1106" s="7" t="s">
        <v>19</v>
      </c>
      <c r="C1106" s="7" t="s">
        <v>7</v>
      </c>
      <c r="D1106" s="7" t="s">
        <v>32</v>
      </c>
      <c r="E1106" s="7" t="s">
        <v>35</v>
      </c>
      <c r="F1106" s="8">
        <v>24.0</v>
      </c>
      <c r="G1106" s="9">
        <v>12.0</v>
      </c>
    </row>
    <row r="1107" ht="14.25" hidden="1" customHeight="1">
      <c r="B1107" s="7" t="s">
        <v>19</v>
      </c>
      <c r="C1107" s="7" t="s">
        <v>29</v>
      </c>
      <c r="D1107" s="7" t="s">
        <v>32</v>
      </c>
      <c r="E1107" s="7" t="s">
        <v>9</v>
      </c>
      <c r="F1107" s="8">
        <v>24.0</v>
      </c>
      <c r="G1107" s="9">
        <v>24.0</v>
      </c>
    </row>
    <row r="1108" ht="14.25" hidden="1" customHeight="1">
      <c r="B1108" s="7" t="s">
        <v>19</v>
      </c>
      <c r="C1108" s="7" t="s">
        <v>7</v>
      </c>
      <c r="D1108" s="7" t="s">
        <v>8</v>
      </c>
      <c r="E1108" s="7" t="s">
        <v>25</v>
      </c>
      <c r="F1108" s="8">
        <v>24.0</v>
      </c>
      <c r="G1108" s="9">
        <v>12.0</v>
      </c>
    </row>
    <row r="1109" ht="14.25" hidden="1" customHeight="1">
      <c r="B1109" s="7" t="s">
        <v>19</v>
      </c>
      <c r="C1109" s="7" t="s">
        <v>7</v>
      </c>
      <c r="D1109" s="7" t="s">
        <v>8</v>
      </c>
      <c r="E1109" s="7" t="s">
        <v>28</v>
      </c>
      <c r="F1109" s="8">
        <v>24.0</v>
      </c>
      <c r="G1109" s="9">
        <v>12.0</v>
      </c>
    </row>
    <row r="1110" ht="14.25" hidden="1" customHeight="1">
      <c r="B1110" s="7" t="s">
        <v>19</v>
      </c>
      <c r="C1110" s="7" t="s">
        <v>29</v>
      </c>
      <c r="D1110" s="7" t="s">
        <v>25</v>
      </c>
      <c r="E1110" s="7" t="s">
        <v>8</v>
      </c>
      <c r="F1110" s="8">
        <v>23.0</v>
      </c>
      <c r="G1110" s="9">
        <v>23.0</v>
      </c>
    </row>
    <row r="1111" ht="14.25" hidden="1" customHeight="1">
      <c r="B1111" s="7" t="s">
        <v>19</v>
      </c>
      <c r="C1111" s="7" t="s">
        <v>7</v>
      </c>
      <c r="D1111" s="7" t="s">
        <v>33</v>
      </c>
      <c r="E1111" s="7" t="s">
        <v>32</v>
      </c>
      <c r="F1111" s="8">
        <v>22.0</v>
      </c>
      <c r="G1111" s="9">
        <v>11.0</v>
      </c>
    </row>
    <row r="1112" ht="14.25" hidden="1" customHeight="1">
      <c r="B1112" s="7" t="s">
        <v>19</v>
      </c>
      <c r="C1112" s="7" t="s">
        <v>7</v>
      </c>
      <c r="D1112" s="7" t="s">
        <v>33</v>
      </c>
      <c r="E1112" s="7" t="s">
        <v>8</v>
      </c>
      <c r="F1112" s="8">
        <v>22.0</v>
      </c>
      <c r="G1112" s="9">
        <v>11.0</v>
      </c>
    </row>
    <row r="1113" ht="14.25" hidden="1" customHeight="1">
      <c r="B1113" s="7" t="s">
        <v>19</v>
      </c>
      <c r="C1113" s="7" t="s">
        <v>29</v>
      </c>
      <c r="D1113" s="7" t="s">
        <v>28</v>
      </c>
      <c r="E1113" s="7" t="s">
        <v>31</v>
      </c>
      <c r="F1113" s="8">
        <v>22.0</v>
      </c>
      <c r="G1113" s="9">
        <v>22.0</v>
      </c>
    </row>
    <row r="1114" ht="14.25" hidden="1" customHeight="1">
      <c r="B1114" s="7" t="s">
        <v>19</v>
      </c>
      <c r="C1114" s="7" t="s">
        <v>7</v>
      </c>
      <c r="D1114" s="7" t="s">
        <v>24</v>
      </c>
      <c r="E1114" s="7" t="s">
        <v>31</v>
      </c>
      <c r="F1114" s="8">
        <v>22.0</v>
      </c>
      <c r="G1114" s="9">
        <v>11.0</v>
      </c>
    </row>
    <row r="1115" ht="14.25" hidden="1" customHeight="1">
      <c r="B1115" s="7" t="s">
        <v>19</v>
      </c>
      <c r="C1115" s="7" t="s">
        <v>30</v>
      </c>
      <c r="D1115" s="7" t="s">
        <v>32</v>
      </c>
      <c r="E1115" s="7" t="s">
        <v>28</v>
      </c>
      <c r="F1115" s="8">
        <v>22.0</v>
      </c>
      <c r="G1115" s="9">
        <v>11.0</v>
      </c>
    </row>
    <row r="1116" ht="14.25" hidden="1" customHeight="1">
      <c r="B1116" s="7" t="s">
        <v>19</v>
      </c>
      <c r="C1116" s="7" t="s">
        <v>29</v>
      </c>
      <c r="D1116" s="7" t="s">
        <v>28</v>
      </c>
      <c r="E1116" s="7" t="s">
        <v>8</v>
      </c>
      <c r="F1116" s="8">
        <v>21.0</v>
      </c>
      <c r="G1116" s="9">
        <v>21.0</v>
      </c>
    </row>
    <row r="1117" ht="14.25" hidden="1" customHeight="1">
      <c r="B1117" s="7" t="s">
        <v>19</v>
      </c>
      <c r="C1117" s="7" t="s">
        <v>29</v>
      </c>
      <c r="D1117" s="7" t="s">
        <v>11</v>
      </c>
      <c r="E1117" s="7" t="s">
        <v>25</v>
      </c>
      <c r="F1117" s="8">
        <v>21.0</v>
      </c>
      <c r="G1117" s="9">
        <v>21.0</v>
      </c>
    </row>
    <row r="1118" ht="14.25" hidden="1" customHeight="1">
      <c r="B1118" s="7" t="s">
        <v>19</v>
      </c>
      <c r="C1118" s="7" t="s">
        <v>29</v>
      </c>
      <c r="D1118" s="7" t="s">
        <v>32</v>
      </c>
      <c r="E1118" s="7" t="s">
        <v>28</v>
      </c>
      <c r="F1118" s="8">
        <v>21.0</v>
      </c>
      <c r="G1118" s="9">
        <v>21.0</v>
      </c>
    </row>
    <row r="1119" ht="14.25" hidden="1" customHeight="1">
      <c r="B1119" s="7" t="s">
        <v>19</v>
      </c>
      <c r="C1119" s="7" t="s">
        <v>29</v>
      </c>
      <c r="D1119" s="7" t="s">
        <v>31</v>
      </c>
      <c r="E1119" s="7" t="s">
        <v>28</v>
      </c>
      <c r="F1119" s="8">
        <v>21.0</v>
      </c>
      <c r="G1119" s="9">
        <v>21.0</v>
      </c>
    </row>
    <row r="1120" ht="14.25" hidden="1" customHeight="1">
      <c r="B1120" s="7" t="s">
        <v>19</v>
      </c>
      <c r="C1120" s="7" t="s">
        <v>7</v>
      </c>
      <c r="D1120" s="7" t="s">
        <v>33</v>
      </c>
      <c r="E1120" s="7" t="s">
        <v>28</v>
      </c>
      <c r="F1120" s="8">
        <v>20.0</v>
      </c>
      <c r="G1120" s="9">
        <v>10.0</v>
      </c>
    </row>
    <row r="1121" ht="14.25" hidden="1" customHeight="1">
      <c r="B1121" s="7" t="s">
        <v>19</v>
      </c>
      <c r="C1121" s="7" t="s">
        <v>7</v>
      </c>
      <c r="D1121" s="7" t="s">
        <v>28</v>
      </c>
      <c r="E1121" s="7" t="s">
        <v>32</v>
      </c>
      <c r="F1121" s="8">
        <v>20.0</v>
      </c>
      <c r="G1121" s="9">
        <v>10.0</v>
      </c>
    </row>
    <row r="1122" ht="14.25" hidden="1" customHeight="1">
      <c r="B1122" s="7" t="s">
        <v>19</v>
      </c>
      <c r="C1122" s="7" t="s">
        <v>30</v>
      </c>
      <c r="D1122" s="7" t="s">
        <v>28</v>
      </c>
      <c r="E1122" s="7" t="s">
        <v>8</v>
      </c>
      <c r="F1122" s="8">
        <v>20.0</v>
      </c>
      <c r="G1122" s="9">
        <v>10.0</v>
      </c>
    </row>
    <row r="1123" ht="14.25" hidden="1" customHeight="1">
      <c r="B1123" s="7" t="s">
        <v>19</v>
      </c>
      <c r="C1123" s="7" t="s">
        <v>7</v>
      </c>
      <c r="D1123" s="7" t="s">
        <v>9</v>
      </c>
      <c r="E1123" s="7" t="s">
        <v>28</v>
      </c>
      <c r="F1123" s="8">
        <v>20.0</v>
      </c>
      <c r="G1123" s="9">
        <v>10.0</v>
      </c>
    </row>
    <row r="1124" ht="14.25" hidden="1" customHeight="1">
      <c r="B1124" s="7" t="s">
        <v>19</v>
      </c>
      <c r="C1124" s="7" t="s">
        <v>7</v>
      </c>
      <c r="D1124" s="7" t="s">
        <v>9</v>
      </c>
      <c r="E1124" s="7" t="s">
        <v>35</v>
      </c>
      <c r="F1124" s="8">
        <v>20.0</v>
      </c>
      <c r="G1124" s="9">
        <v>10.0</v>
      </c>
    </row>
    <row r="1125" ht="14.25" hidden="1" customHeight="1">
      <c r="B1125" s="7" t="s">
        <v>19</v>
      </c>
      <c r="C1125" s="7" t="s">
        <v>30</v>
      </c>
      <c r="D1125" s="7" t="s">
        <v>9</v>
      </c>
      <c r="E1125" s="7" t="s">
        <v>8</v>
      </c>
      <c r="F1125" s="8">
        <v>20.0</v>
      </c>
      <c r="G1125" s="9">
        <v>10.0</v>
      </c>
    </row>
    <row r="1126" ht="14.25" hidden="1" customHeight="1">
      <c r="B1126" s="7" t="s">
        <v>19</v>
      </c>
      <c r="C1126" s="7" t="s">
        <v>7</v>
      </c>
      <c r="D1126" s="7" t="s">
        <v>10</v>
      </c>
      <c r="E1126" s="7" t="s">
        <v>8</v>
      </c>
      <c r="F1126" s="8">
        <v>20.0</v>
      </c>
      <c r="G1126" s="9">
        <v>10.0</v>
      </c>
    </row>
    <row r="1127" ht="14.25" hidden="1" customHeight="1">
      <c r="B1127" s="7" t="s">
        <v>19</v>
      </c>
      <c r="C1127" s="7" t="s">
        <v>7</v>
      </c>
      <c r="D1127" s="7" t="s">
        <v>25</v>
      </c>
      <c r="E1127" s="7" t="s">
        <v>28</v>
      </c>
      <c r="F1127" s="8">
        <v>18.0</v>
      </c>
      <c r="G1127" s="9">
        <v>9.0</v>
      </c>
    </row>
    <row r="1128" ht="14.25" hidden="1" customHeight="1">
      <c r="B1128" s="7" t="s">
        <v>19</v>
      </c>
      <c r="C1128" s="7" t="s">
        <v>30</v>
      </c>
      <c r="D1128" s="7" t="s">
        <v>33</v>
      </c>
      <c r="E1128" s="7" t="s">
        <v>25</v>
      </c>
      <c r="F1128" s="8">
        <v>18.0</v>
      </c>
      <c r="G1128" s="9">
        <v>9.0</v>
      </c>
    </row>
    <row r="1129" ht="14.25" hidden="1" customHeight="1">
      <c r="B1129" s="7" t="s">
        <v>19</v>
      </c>
      <c r="C1129" s="7" t="s">
        <v>7</v>
      </c>
      <c r="D1129" s="7" t="s">
        <v>32</v>
      </c>
      <c r="E1129" s="7" t="s">
        <v>25</v>
      </c>
      <c r="F1129" s="8">
        <v>18.0</v>
      </c>
      <c r="G1129" s="9">
        <v>9.0</v>
      </c>
    </row>
    <row r="1130" ht="14.25" hidden="1" customHeight="1">
      <c r="B1130" s="7" t="s">
        <v>19</v>
      </c>
      <c r="C1130" s="7" t="s">
        <v>7</v>
      </c>
      <c r="D1130" s="7" t="s">
        <v>32</v>
      </c>
      <c r="E1130" s="7" t="s">
        <v>28</v>
      </c>
      <c r="F1130" s="8">
        <v>18.0</v>
      </c>
      <c r="G1130" s="9">
        <v>9.0</v>
      </c>
    </row>
    <row r="1131" ht="14.25" hidden="1" customHeight="1">
      <c r="B1131" s="7" t="s">
        <v>19</v>
      </c>
      <c r="C1131" s="7" t="s">
        <v>7</v>
      </c>
      <c r="D1131" s="7" t="s">
        <v>32</v>
      </c>
      <c r="E1131" s="7" t="s">
        <v>31</v>
      </c>
      <c r="F1131" s="8">
        <v>18.0</v>
      </c>
      <c r="G1131" s="9">
        <v>9.0</v>
      </c>
    </row>
    <row r="1132" ht="14.25" hidden="1" customHeight="1">
      <c r="B1132" s="7" t="s">
        <v>19</v>
      </c>
      <c r="C1132" s="7" t="s">
        <v>29</v>
      </c>
      <c r="D1132" s="7" t="s">
        <v>32</v>
      </c>
      <c r="E1132" s="7" t="s">
        <v>8</v>
      </c>
      <c r="F1132" s="8">
        <v>18.0</v>
      </c>
      <c r="G1132" s="9">
        <v>18.0</v>
      </c>
    </row>
    <row r="1133" ht="14.25" hidden="1" customHeight="1">
      <c r="B1133" s="7" t="s">
        <v>19</v>
      </c>
      <c r="C1133" s="7" t="s">
        <v>7</v>
      </c>
      <c r="D1133" s="7" t="s">
        <v>31</v>
      </c>
      <c r="E1133" s="7" t="s">
        <v>25</v>
      </c>
      <c r="F1133" s="8">
        <v>18.0</v>
      </c>
      <c r="G1133" s="9">
        <v>18.0</v>
      </c>
    </row>
    <row r="1134" ht="14.25" hidden="1" customHeight="1">
      <c r="B1134" s="7" t="s">
        <v>19</v>
      </c>
      <c r="C1134" s="7" t="s">
        <v>7</v>
      </c>
      <c r="D1134" s="7" t="s">
        <v>31</v>
      </c>
      <c r="E1134" s="7" t="s">
        <v>8</v>
      </c>
      <c r="F1134" s="8">
        <v>18.0</v>
      </c>
      <c r="G1134" s="9">
        <v>9.0</v>
      </c>
    </row>
    <row r="1135" ht="14.25" hidden="1" customHeight="1">
      <c r="B1135" s="7" t="s">
        <v>19</v>
      </c>
      <c r="C1135" s="7" t="s">
        <v>29</v>
      </c>
      <c r="D1135" s="7" t="s">
        <v>33</v>
      </c>
      <c r="E1135" s="7" t="s">
        <v>25</v>
      </c>
      <c r="F1135" s="8">
        <v>17.0</v>
      </c>
      <c r="G1135" s="9">
        <v>17.0</v>
      </c>
    </row>
    <row r="1136" ht="14.25" hidden="1" customHeight="1">
      <c r="B1136" s="7" t="s">
        <v>19</v>
      </c>
      <c r="C1136" s="7" t="s">
        <v>29</v>
      </c>
      <c r="D1136" s="7" t="s">
        <v>9</v>
      </c>
      <c r="E1136" s="7" t="s">
        <v>31</v>
      </c>
      <c r="F1136" s="8">
        <v>17.0</v>
      </c>
      <c r="G1136" s="9">
        <v>17.0</v>
      </c>
    </row>
    <row r="1137" ht="14.25" hidden="1" customHeight="1">
      <c r="B1137" s="7" t="s">
        <v>19</v>
      </c>
      <c r="C1137" s="7" t="s">
        <v>29</v>
      </c>
      <c r="D1137" s="7" t="s">
        <v>8</v>
      </c>
      <c r="E1137" s="7" t="s">
        <v>33</v>
      </c>
      <c r="F1137" s="8">
        <v>17.0</v>
      </c>
      <c r="G1137" s="9">
        <v>17.0</v>
      </c>
    </row>
    <row r="1138" ht="14.25" hidden="1" customHeight="1">
      <c r="B1138" s="7" t="s">
        <v>19</v>
      </c>
      <c r="C1138" s="7" t="s">
        <v>7</v>
      </c>
      <c r="D1138" s="7" t="s">
        <v>33</v>
      </c>
      <c r="E1138" s="7" t="s">
        <v>8</v>
      </c>
      <c r="F1138" s="8">
        <v>16.0</v>
      </c>
      <c r="G1138" s="9">
        <v>8.0</v>
      </c>
    </row>
    <row r="1139" ht="14.25" hidden="1" customHeight="1">
      <c r="B1139" s="7" t="s">
        <v>19</v>
      </c>
      <c r="C1139" s="7" t="s">
        <v>7</v>
      </c>
      <c r="D1139" s="7" t="s">
        <v>28</v>
      </c>
      <c r="E1139" s="7" t="s">
        <v>33</v>
      </c>
      <c r="F1139" s="8">
        <v>16.0</v>
      </c>
      <c r="G1139" s="9">
        <v>8.0</v>
      </c>
    </row>
    <row r="1140" ht="14.25" hidden="1" customHeight="1">
      <c r="B1140" s="7" t="s">
        <v>19</v>
      </c>
      <c r="C1140" s="7" t="s">
        <v>29</v>
      </c>
      <c r="D1140" s="7" t="s">
        <v>28</v>
      </c>
      <c r="E1140" s="7" t="s">
        <v>31</v>
      </c>
      <c r="F1140" s="8">
        <v>16.0</v>
      </c>
      <c r="G1140" s="9">
        <v>16.0</v>
      </c>
    </row>
    <row r="1141" ht="14.25" hidden="1" customHeight="1">
      <c r="B1141" s="7" t="s">
        <v>19</v>
      </c>
      <c r="C1141" s="7" t="s">
        <v>29</v>
      </c>
      <c r="D1141" s="7" t="s">
        <v>24</v>
      </c>
      <c r="E1141" s="7" t="s">
        <v>31</v>
      </c>
      <c r="F1141" s="8">
        <v>16.0</v>
      </c>
      <c r="G1141" s="9">
        <v>16.0</v>
      </c>
    </row>
    <row r="1142" ht="14.25" hidden="1" customHeight="1">
      <c r="B1142" s="7" t="s">
        <v>19</v>
      </c>
      <c r="C1142" s="7" t="s">
        <v>30</v>
      </c>
      <c r="D1142" s="7" t="s">
        <v>10</v>
      </c>
      <c r="E1142" s="7" t="s">
        <v>31</v>
      </c>
      <c r="F1142" s="8">
        <v>16.0</v>
      </c>
      <c r="G1142" s="9">
        <v>8.0</v>
      </c>
    </row>
    <row r="1143" ht="14.25" hidden="1" customHeight="1">
      <c r="B1143" s="7" t="s">
        <v>19</v>
      </c>
      <c r="C1143" s="7" t="s">
        <v>29</v>
      </c>
      <c r="D1143" s="7" t="s">
        <v>32</v>
      </c>
      <c r="E1143" s="7" t="s">
        <v>10</v>
      </c>
      <c r="F1143" s="8">
        <v>16.0</v>
      </c>
      <c r="G1143" s="9">
        <v>16.0</v>
      </c>
    </row>
    <row r="1144" ht="14.25" hidden="1" customHeight="1">
      <c r="B1144" s="7" t="s">
        <v>19</v>
      </c>
      <c r="C1144" s="7" t="s">
        <v>7</v>
      </c>
      <c r="D1144" s="7" t="s">
        <v>31</v>
      </c>
      <c r="E1144" s="7" t="s">
        <v>28</v>
      </c>
      <c r="F1144" s="8">
        <v>16.0</v>
      </c>
      <c r="G1144" s="9">
        <v>8.0</v>
      </c>
    </row>
    <row r="1145" ht="14.25" hidden="1" customHeight="1">
      <c r="B1145" s="7" t="s">
        <v>19</v>
      </c>
      <c r="C1145" s="7" t="s">
        <v>29</v>
      </c>
      <c r="D1145" s="7" t="s">
        <v>28</v>
      </c>
      <c r="E1145" s="7" t="s">
        <v>8</v>
      </c>
      <c r="F1145" s="8">
        <v>15.0</v>
      </c>
      <c r="G1145" s="9">
        <v>15.0</v>
      </c>
    </row>
    <row r="1146" ht="14.25" hidden="1" customHeight="1">
      <c r="B1146" s="7" t="s">
        <v>19</v>
      </c>
      <c r="C1146" s="7" t="s">
        <v>29</v>
      </c>
      <c r="D1146" s="7" t="s">
        <v>10</v>
      </c>
      <c r="E1146" s="7" t="s">
        <v>24</v>
      </c>
      <c r="F1146" s="8">
        <v>15.0</v>
      </c>
      <c r="G1146" s="9">
        <v>15.0</v>
      </c>
    </row>
    <row r="1147" ht="14.25" hidden="1" customHeight="1">
      <c r="B1147" s="7" t="s">
        <v>19</v>
      </c>
      <c r="C1147" s="7" t="s">
        <v>29</v>
      </c>
      <c r="D1147" s="7" t="s">
        <v>25</v>
      </c>
      <c r="E1147" s="7" t="s">
        <v>9</v>
      </c>
      <c r="F1147" s="8">
        <v>14.0</v>
      </c>
      <c r="G1147" s="9">
        <v>14.0</v>
      </c>
    </row>
    <row r="1148" ht="14.25" hidden="1" customHeight="1">
      <c r="B1148" s="7" t="s">
        <v>19</v>
      </c>
      <c r="C1148" s="7" t="s">
        <v>29</v>
      </c>
      <c r="D1148" s="7" t="s">
        <v>25</v>
      </c>
      <c r="E1148" s="7" t="s">
        <v>31</v>
      </c>
      <c r="F1148" s="8">
        <v>14.0</v>
      </c>
      <c r="G1148" s="9">
        <v>14.0</v>
      </c>
    </row>
    <row r="1149" ht="14.25" hidden="1" customHeight="1">
      <c r="B1149" s="7" t="s">
        <v>19</v>
      </c>
      <c r="C1149" s="7" t="s">
        <v>29</v>
      </c>
      <c r="D1149" s="7" t="s">
        <v>33</v>
      </c>
      <c r="E1149" s="7" t="s">
        <v>10</v>
      </c>
      <c r="F1149" s="8">
        <v>14.0</v>
      </c>
      <c r="G1149" s="9">
        <v>14.0</v>
      </c>
    </row>
    <row r="1150" ht="14.25" hidden="1" customHeight="1">
      <c r="B1150" s="7" t="s">
        <v>19</v>
      </c>
      <c r="C1150" s="7" t="s">
        <v>7</v>
      </c>
      <c r="D1150" s="7" t="s">
        <v>33</v>
      </c>
      <c r="E1150" s="7" t="s">
        <v>10</v>
      </c>
      <c r="F1150" s="8">
        <v>14.0</v>
      </c>
      <c r="G1150" s="9">
        <v>7.0</v>
      </c>
    </row>
    <row r="1151" ht="14.25" hidden="1" customHeight="1">
      <c r="B1151" s="7" t="s">
        <v>19</v>
      </c>
      <c r="C1151" s="7" t="s">
        <v>29</v>
      </c>
      <c r="D1151" s="7" t="s">
        <v>33</v>
      </c>
      <c r="E1151" s="7" t="s">
        <v>31</v>
      </c>
      <c r="F1151" s="8">
        <v>14.0</v>
      </c>
      <c r="G1151" s="9">
        <v>14.0</v>
      </c>
    </row>
    <row r="1152" ht="14.25" hidden="1" customHeight="1">
      <c r="B1152" s="7" t="s">
        <v>19</v>
      </c>
      <c r="C1152" s="7" t="s">
        <v>30</v>
      </c>
      <c r="D1152" s="7" t="s">
        <v>11</v>
      </c>
      <c r="E1152" s="7" t="s">
        <v>8</v>
      </c>
      <c r="F1152" s="8">
        <v>14.0</v>
      </c>
      <c r="G1152" s="9">
        <v>7.0</v>
      </c>
    </row>
    <row r="1153" ht="14.25" hidden="1" customHeight="1">
      <c r="B1153" s="7" t="s">
        <v>19</v>
      </c>
      <c r="C1153" s="7" t="s">
        <v>7</v>
      </c>
      <c r="D1153" s="7" t="s">
        <v>9</v>
      </c>
      <c r="E1153" s="7" t="s">
        <v>31</v>
      </c>
      <c r="F1153" s="8">
        <v>14.0</v>
      </c>
      <c r="G1153" s="9">
        <v>7.0</v>
      </c>
    </row>
    <row r="1154" ht="14.25" hidden="1" customHeight="1">
      <c r="B1154" s="7" t="s">
        <v>19</v>
      </c>
      <c r="C1154" s="7" t="s">
        <v>30</v>
      </c>
      <c r="D1154" s="7" t="s">
        <v>10</v>
      </c>
      <c r="E1154" s="7" t="s">
        <v>33</v>
      </c>
      <c r="F1154" s="8">
        <v>14.0</v>
      </c>
      <c r="G1154" s="9">
        <v>7.0</v>
      </c>
    </row>
    <row r="1155" ht="14.25" hidden="1" customHeight="1">
      <c r="B1155" s="7" t="s">
        <v>19</v>
      </c>
      <c r="C1155" s="7" t="s">
        <v>7</v>
      </c>
      <c r="D1155" s="7" t="s">
        <v>10</v>
      </c>
      <c r="E1155" s="7" t="s">
        <v>31</v>
      </c>
      <c r="F1155" s="8">
        <v>14.0</v>
      </c>
      <c r="G1155" s="9">
        <v>7.0</v>
      </c>
    </row>
    <row r="1156" ht="14.25" hidden="1" customHeight="1">
      <c r="B1156" s="7" t="s">
        <v>19</v>
      </c>
      <c r="C1156" s="7" t="s">
        <v>30</v>
      </c>
      <c r="D1156" s="7" t="s">
        <v>8</v>
      </c>
      <c r="E1156" s="7" t="s">
        <v>33</v>
      </c>
      <c r="F1156" s="8">
        <v>14.0</v>
      </c>
      <c r="G1156" s="9">
        <v>7.0</v>
      </c>
    </row>
    <row r="1157" ht="14.25" hidden="1" customHeight="1">
      <c r="B1157" s="7" t="s">
        <v>19</v>
      </c>
      <c r="C1157" s="7" t="s">
        <v>7</v>
      </c>
      <c r="D1157" s="7" t="s">
        <v>8</v>
      </c>
      <c r="E1157" s="7" t="s">
        <v>9</v>
      </c>
      <c r="F1157" s="8">
        <v>14.0</v>
      </c>
      <c r="G1157" s="9">
        <v>7.0</v>
      </c>
    </row>
    <row r="1158" ht="14.25" hidden="1" customHeight="1">
      <c r="B1158" s="7" t="s">
        <v>19</v>
      </c>
      <c r="C1158" s="7" t="s">
        <v>7</v>
      </c>
      <c r="D1158" s="7" t="s">
        <v>8</v>
      </c>
      <c r="E1158" s="7" t="s">
        <v>10</v>
      </c>
      <c r="F1158" s="8">
        <v>14.0</v>
      </c>
      <c r="G1158" s="9">
        <v>7.0</v>
      </c>
    </row>
    <row r="1159" ht="14.25" hidden="1" customHeight="1">
      <c r="B1159" s="7" t="s">
        <v>19</v>
      </c>
      <c r="C1159" s="7" t="s">
        <v>29</v>
      </c>
      <c r="D1159" s="7" t="s">
        <v>28</v>
      </c>
      <c r="E1159" s="7" t="s">
        <v>32</v>
      </c>
      <c r="F1159" s="8">
        <v>13.0</v>
      </c>
      <c r="G1159" s="9">
        <v>13.0</v>
      </c>
    </row>
    <row r="1160" ht="14.25" hidden="1" customHeight="1">
      <c r="B1160" s="7" t="s">
        <v>19</v>
      </c>
      <c r="C1160" s="7" t="s">
        <v>29</v>
      </c>
      <c r="D1160" s="7" t="s">
        <v>11</v>
      </c>
      <c r="E1160" s="7" t="s">
        <v>8</v>
      </c>
      <c r="F1160" s="8">
        <v>13.0</v>
      </c>
      <c r="G1160" s="9">
        <v>13.0</v>
      </c>
    </row>
    <row r="1161" ht="14.25" hidden="1" customHeight="1">
      <c r="B1161" s="7" t="s">
        <v>19</v>
      </c>
      <c r="C1161" s="7" t="s">
        <v>29</v>
      </c>
      <c r="D1161" s="7" t="s">
        <v>32</v>
      </c>
      <c r="E1161" s="7" t="s">
        <v>8</v>
      </c>
      <c r="F1161" s="8">
        <v>13.0</v>
      </c>
      <c r="G1161" s="9">
        <v>13.0</v>
      </c>
    </row>
    <row r="1162" ht="14.25" hidden="1" customHeight="1">
      <c r="B1162" s="7" t="s">
        <v>19</v>
      </c>
      <c r="C1162" s="7" t="s">
        <v>30</v>
      </c>
      <c r="D1162" s="7" t="s">
        <v>25</v>
      </c>
      <c r="E1162" s="7" t="s">
        <v>10</v>
      </c>
      <c r="F1162" s="8">
        <v>12.0</v>
      </c>
      <c r="G1162" s="9">
        <v>6.0</v>
      </c>
    </row>
    <row r="1163" ht="14.25" hidden="1" customHeight="1">
      <c r="B1163" s="7" t="s">
        <v>19</v>
      </c>
      <c r="C1163" s="7" t="s">
        <v>7</v>
      </c>
      <c r="D1163" s="7" t="s">
        <v>33</v>
      </c>
      <c r="E1163" s="7" t="s">
        <v>9</v>
      </c>
      <c r="F1163" s="8">
        <v>12.0</v>
      </c>
      <c r="G1163" s="9">
        <v>6.0</v>
      </c>
    </row>
    <row r="1164" ht="14.25" hidden="1" customHeight="1">
      <c r="B1164" s="7" t="s">
        <v>19</v>
      </c>
      <c r="C1164" s="7" t="s">
        <v>30</v>
      </c>
      <c r="D1164" s="7" t="s">
        <v>28</v>
      </c>
      <c r="E1164" s="7" t="s">
        <v>35</v>
      </c>
      <c r="F1164" s="8">
        <v>12.0</v>
      </c>
      <c r="G1164" s="9">
        <v>6.0</v>
      </c>
    </row>
    <row r="1165" ht="14.25" hidden="1" customHeight="1">
      <c r="B1165" s="7" t="s">
        <v>19</v>
      </c>
      <c r="C1165" s="7" t="s">
        <v>30</v>
      </c>
      <c r="D1165" s="7" t="s">
        <v>28</v>
      </c>
      <c r="E1165" s="7" t="s">
        <v>9</v>
      </c>
      <c r="F1165" s="8">
        <v>12.0</v>
      </c>
      <c r="G1165" s="9">
        <v>6.0</v>
      </c>
    </row>
    <row r="1166" ht="14.25" hidden="1" customHeight="1">
      <c r="B1166" s="7" t="s">
        <v>19</v>
      </c>
      <c r="C1166" s="7" t="s">
        <v>7</v>
      </c>
      <c r="D1166" s="7" t="s">
        <v>28</v>
      </c>
      <c r="E1166" s="7" t="s">
        <v>31</v>
      </c>
      <c r="F1166" s="8">
        <v>12.0</v>
      </c>
      <c r="G1166" s="9">
        <v>6.0</v>
      </c>
    </row>
    <row r="1167" ht="14.25" hidden="1" customHeight="1">
      <c r="B1167" s="7" t="s">
        <v>19</v>
      </c>
      <c r="C1167" s="7" t="s">
        <v>30</v>
      </c>
      <c r="D1167" s="7" t="s">
        <v>34</v>
      </c>
      <c r="E1167" s="7" t="s">
        <v>8</v>
      </c>
      <c r="F1167" s="8">
        <v>12.0</v>
      </c>
      <c r="G1167" s="9">
        <v>6.0</v>
      </c>
    </row>
    <row r="1168" ht="14.25" hidden="1" customHeight="1">
      <c r="B1168" s="7" t="s">
        <v>19</v>
      </c>
      <c r="C1168" s="7" t="s">
        <v>7</v>
      </c>
      <c r="D1168" s="7" t="s">
        <v>9</v>
      </c>
      <c r="E1168" s="7" t="s">
        <v>28</v>
      </c>
      <c r="F1168" s="8">
        <v>12.0</v>
      </c>
      <c r="G1168" s="9">
        <v>6.0</v>
      </c>
    </row>
    <row r="1169" ht="14.25" hidden="1" customHeight="1">
      <c r="B1169" s="7" t="s">
        <v>19</v>
      </c>
      <c r="C1169" s="7" t="s">
        <v>30</v>
      </c>
      <c r="D1169" s="7" t="s">
        <v>10</v>
      </c>
      <c r="E1169" s="7" t="s">
        <v>25</v>
      </c>
      <c r="F1169" s="8">
        <v>12.0</v>
      </c>
      <c r="G1169" s="9">
        <v>6.0</v>
      </c>
    </row>
    <row r="1170" ht="14.25" hidden="1" customHeight="1">
      <c r="B1170" s="7" t="s">
        <v>19</v>
      </c>
      <c r="C1170" s="7" t="s">
        <v>7</v>
      </c>
      <c r="D1170" s="7" t="s">
        <v>10</v>
      </c>
      <c r="E1170" s="7" t="s">
        <v>8</v>
      </c>
      <c r="F1170" s="8">
        <v>12.0</v>
      </c>
      <c r="G1170" s="9">
        <v>6.0</v>
      </c>
    </row>
    <row r="1171" ht="14.25" customHeight="1">
      <c r="B1171" s="7" t="s">
        <v>19</v>
      </c>
      <c r="C1171" s="7" t="s">
        <v>29</v>
      </c>
      <c r="D1171" s="7" t="s">
        <v>8</v>
      </c>
      <c r="E1171" s="7" t="s">
        <v>31</v>
      </c>
      <c r="F1171" s="8">
        <v>12.0</v>
      </c>
      <c r="G1171" s="9">
        <v>12.0</v>
      </c>
    </row>
    <row r="1172" ht="14.25" hidden="1" customHeight="1">
      <c r="B1172" s="7" t="s">
        <v>19</v>
      </c>
      <c r="C1172" s="7" t="s">
        <v>29</v>
      </c>
      <c r="D1172" s="7" t="s">
        <v>9</v>
      </c>
      <c r="E1172" s="7" t="s">
        <v>31</v>
      </c>
      <c r="F1172" s="8">
        <v>11.0</v>
      </c>
      <c r="G1172" s="9">
        <v>11.0</v>
      </c>
    </row>
    <row r="1173" ht="14.25" hidden="1" customHeight="1">
      <c r="B1173" s="7" t="s">
        <v>19</v>
      </c>
      <c r="C1173" s="7" t="s">
        <v>29</v>
      </c>
      <c r="D1173" s="7" t="s">
        <v>10</v>
      </c>
      <c r="E1173" s="7" t="s">
        <v>9</v>
      </c>
      <c r="F1173" s="8">
        <v>11.0</v>
      </c>
      <c r="G1173" s="9">
        <v>11.0</v>
      </c>
    </row>
    <row r="1174" ht="14.25" hidden="1" customHeight="1">
      <c r="B1174" s="7" t="s">
        <v>19</v>
      </c>
      <c r="C1174" s="7" t="s">
        <v>29</v>
      </c>
      <c r="D1174" s="7" t="s">
        <v>31</v>
      </c>
      <c r="E1174" s="7" t="s">
        <v>33</v>
      </c>
      <c r="F1174" s="8">
        <v>11.0</v>
      </c>
      <c r="G1174" s="9">
        <v>11.0</v>
      </c>
    </row>
    <row r="1175" ht="14.25" hidden="1" customHeight="1">
      <c r="B1175" s="7" t="s">
        <v>19</v>
      </c>
      <c r="C1175" s="7" t="s">
        <v>7</v>
      </c>
      <c r="D1175" s="7" t="s">
        <v>25</v>
      </c>
      <c r="E1175" s="7" t="s">
        <v>9</v>
      </c>
      <c r="F1175" s="8">
        <v>10.0</v>
      </c>
      <c r="G1175" s="9">
        <v>5.0</v>
      </c>
    </row>
    <row r="1176" ht="14.25" hidden="1" customHeight="1">
      <c r="B1176" s="7" t="s">
        <v>19</v>
      </c>
      <c r="C1176" s="7" t="s">
        <v>7</v>
      </c>
      <c r="D1176" s="7" t="s">
        <v>25</v>
      </c>
      <c r="E1176" s="7" t="s">
        <v>8</v>
      </c>
      <c r="F1176" s="8">
        <v>10.0</v>
      </c>
      <c r="G1176" s="9">
        <v>10.0</v>
      </c>
    </row>
    <row r="1177" ht="14.25" hidden="1" customHeight="1">
      <c r="B1177" s="7" t="s">
        <v>19</v>
      </c>
      <c r="C1177" s="7" t="s">
        <v>30</v>
      </c>
      <c r="D1177" s="7" t="s">
        <v>28</v>
      </c>
      <c r="E1177" s="7" t="s">
        <v>31</v>
      </c>
      <c r="F1177" s="8">
        <v>10.0</v>
      </c>
      <c r="G1177" s="9">
        <v>5.0</v>
      </c>
    </row>
    <row r="1178" ht="14.25" hidden="1" customHeight="1">
      <c r="B1178" s="7" t="s">
        <v>19</v>
      </c>
      <c r="C1178" s="7" t="s">
        <v>7</v>
      </c>
      <c r="D1178" s="7" t="s">
        <v>24</v>
      </c>
      <c r="E1178" s="7" t="s">
        <v>31</v>
      </c>
      <c r="F1178" s="8">
        <v>10.0</v>
      </c>
      <c r="G1178" s="9">
        <v>5.0</v>
      </c>
    </row>
    <row r="1179" ht="14.25" hidden="1" customHeight="1">
      <c r="B1179" s="7" t="s">
        <v>19</v>
      </c>
      <c r="C1179" s="7" t="s">
        <v>30</v>
      </c>
      <c r="D1179" s="7" t="s">
        <v>24</v>
      </c>
      <c r="E1179" s="7" t="s">
        <v>31</v>
      </c>
      <c r="F1179" s="8">
        <v>10.0</v>
      </c>
      <c r="G1179" s="9">
        <v>5.0</v>
      </c>
    </row>
    <row r="1180" ht="14.25" hidden="1" customHeight="1">
      <c r="B1180" s="7" t="s">
        <v>19</v>
      </c>
      <c r="C1180" s="7" t="s">
        <v>29</v>
      </c>
      <c r="D1180" s="7" t="s">
        <v>10</v>
      </c>
      <c r="E1180" s="7" t="s">
        <v>33</v>
      </c>
      <c r="F1180" s="8">
        <v>10.0</v>
      </c>
      <c r="G1180" s="9">
        <v>10.0</v>
      </c>
    </row>
    <row r="1181" ht="14.25" hidden="1" customHeight="1">
      <c r="B1181" s="7" t="s">
        <v>19</v>
      </c>
      <c r="C1181" s="7" t="s">
        <v>7</v>
      </c>
      <c r="D1181" s="7" t="s">
        <v>32</v>
      </c>
      <c r="E1181" s="7" t="s">
        <v>33</v>
      </c>
      <c r="F1181" s="8">
        <v>10.0</v>
      </c>
      <c r="G1181" s="9">
        <v>5.0</v>
      </c>
    </row>
    <row r="1182" ht="14.25" hidden="1" customHeight="1">
      <c r="B1182" s="7" t="s">
        <v>19</v>
      </c>
      <c r="C1182" s="7" t="s">
        <v>7</v>
      </c>
      <c r="D1182" s="7" t="s">
        <v>32</v>
      </c>
      <c r="E1182" s="7" t="s">
        <v>28</v>
      </c>
      <c r="F1182" s="8">
        <v>10.0</v>
      </c>
      <c r="G1182" s="9">
        <v>5.0</v>
      </c>
    </row>
    <row r="1183" ht="14.25" hidden="1" customHeight="1">
      <c r="B1183" s="7" t="s">
        <v>19</v>
      </c>
      <c r="C1183" s="7" t="s">
        <v>7</v>
      </c>
      <c r="D1183" s="7" t="s">
        <v>31</v>
      </c>
      <c r="E1183" s="7" t="s">
        <v>25</v>
      </c>
      <c r="F1183" s="8">
        <v>10.0</v>
      </c>
      <c r="G1183" s="9">
        <v>5.0</v>
      </c>
    </row>
    <row r="1184" ht="14.25" hidden="1" customHeight="1">
      <c r="B1184" s="7" t="s">
        <v>19</v>
      </c>
      <c r="C1184" s="7" t="s">
        <v>29</v>
      </c>
      <c r="D1184" s="7" t="s">
        <v>31</v>
      </c>
      <c r="E1184" s="7" t="s">
        <v>31</v>
      </c>
      <c r="F1184" s="8">
        <v>10.0</v>
      </c>
      <c r="G1184" s="9">
        <v>10.0</v>
      </c>
    </row>
    <row r="1185" ht="14.25" hidden="1" customHeight="1">
      <c r="B1185" s="7" t="s">
        <v>19</v>
      </c>
      <c r="C1185" s="7" t="s">
        <v>29</v>
      </c>
      <c r="D1185" s="7" t="s">
        <v>8</v>
      </c>
      <c r="E1185" s="7" t="s">
        <v>9</v>
      </c>
      <c r="F1185" s="8">
        <v>10.0</v>
      </c>
      <c r="G1185" s="9">
        <v>10.0</v>
      </c>
    </row>
    <row r="1186" ht="14.25" hidden="1" customHeight="1">
      <c r="B1186" s="7" t="s">
        <v>19</v>
      </c>
      <c r="C1186" s="7" t="s">
        <v>29</v>
      </c>
      <c r="D1186" s="7" t="s">
        <v>9</v>
      </c>
      <c r="E1186" s="7" t="s">
        <v>8</v>
      </c>
      <c r="F1186" s="8">
        <v>9.0</v>
      </c>
      <c r="G1186" s="9">
        <v>9.0</v>
      </c>
    </row>
    <row r="1187" ht="14.25" hidden="1" customHeight="1">
      <c r="B1187" s="7" t="s">
        <v>19</v>
      </c>
      <c r="C1187" s="7" t="s">
        <v>29</v>
      </c>
      <c r="D1187" s="7" t="s">
        <v>8</v>
      </c>
      <c r="E1187" s="7" t="s">
        <v>25</v>
      </c>
      <c r="F1187" s="8">
        <v>9.0</v>
      </c>
      <c r="G1187" s="9">
        <v>9.0</v>
      </c>
    </row>
    <row r="1188" ht="14.25" hidden="1" customHeight="1">
      <c r="B1188" s="7" t="s">
        <v>19</v>
      </c>
      <c r="C1188" s="7" t="s">
        <v>7</v>
      </c>
      <c r="D1188" s="7" t="s">
        <v>25</v>
      </c>
      <c r="E1188" s="7" t="s">
        <v>33</v>
      </c>
      <c r="F1188" s="8">
        <v>8.0</v>
      </c>
      <c r="G1188" s="9">
        <v>4.0</v>
      </c>
    </row>
    <row r="1189" ht="14.25" hidden="1" customHeight="1">
      <c r="B1189" s="7" t="s">
        <v>19</v>
      </c>
      <c r="C1189" s="7" t="s">
        <v>29</v>
      </c>
      <c r="D1189" s="7" t="s">
        <v>33</v>
      </c>
      <c r="E1189" s="7" t="s">
        <v>31</v>
      </c>
      <c r="F1189" s="8">
        <v>8.0</v>
      </c>
      <c r="G1189" s="9">
        <v>8.0</v>
      </c>
    </row>
    <row r="1190" ht="14.25" hidden="1" customHeight="1">
      <c r="B1190" s="7" t="s">
        <v>19</v>
      </c>
      <c r="C1190" s="7" t="s">
        <v>30</v>
      </c>
      <c r="D1190" s="7" t="s">
        <v>28</v>
      </c>
      <c r="E1190" s="7" t="s">
        <v>10</v>
      </c>
      <c r="F1190" s="8">
        <v>8.0</v>
      </c>
      <c r="G1190" s="9">
        <v>4.0</v>
      </c>
    </row>
    <row r="1191" ht="14.25" hidden="1" customHeight="1">
      <c r="B1191" s="7" t="s">
        <v>19</v>
      </c>
      <c r="C1191" s="7" t="s">
        <v>29</v>
      </c>
      <c r="D1191" s="7" t="s">
        <v>34</v>
      </c>
      <c r="E1191" s="7" t="s">
        <v>28</v>
      </c>
      <c r="F1191" s="8">
        <v>8.0</v>
      </c>
      <c r="G1191" s="9">
        <v>8.0</v>
      </c>
    </row>
    <row r="1192" ht="14.25" hidden="1" customHeight="1">
      <c r="B1192" s="7" t="s">
        <v>19</v>
      </c>
      <c r="C1192" s="7" t="s">
        <v>29</v>
      </c>
      <c r="D1192" s="7" t="s">
        <v>34</v>
      </c>
      <c r="E1192" s="7" t="s">
        <v>28</v>
      </c>
      <c r="F1192" s="8">
        <v>8.0</v>
      </c>
      <c r="G1192" s="9">
        <v>8.0</v>
      </c>
    </row>
    <row r="1193" ht="14.25" hidden="1" customHeight="1">
      <c r="B1193" s="7" t="s">
        <v>19</v>
      </c>
      <c r="C1193" s="7" t="s">
        <v>7</v>
      </c>
      <c r="D1193" s="7" t="s">
        <v>9</v>
      </c>
      <c r="E1193" s="7" t="s">
        <v>35</v>
      </c>
      <c r="F1193" s="8">
        <v>8.0</v>
      </c>
      <c r="G1193" s="9">
        <v>4.0</v>
      </c>
    </row>
    <row r="1194" ht="14.25" hidden="1" customHeight="1">
      <c r="B1194" s="7" t="s">
        <v>19</v>
      </c>
      <c r="C1194" s="7" t="s">
        <v>29</v>
      </c>
      <c r="D1194" s="7" t="s">
        <v>9</v>
      </c>
      <c r="E1194" s="7" t="s">
        <v>32</v>
      </c>
      <c r="F1194" s="8">
        <v>8.0</v>
      </c>
      <c r="G1194" s="9">
        <v>8.0</v>
      </c>
    </row>
    <row r="1195" ht="14.25" hidden="1" customHeight="1">
      <c r="B1195" s="7" t="s">
        <v>19</v>
      </c>
      <c r="C1195" s="7" t="s">
        <v>7</v>
      </c>
      <c r="D1195" s="7" t="s">
        <v>9</v>
      </c>
      <c r="E1195" s="7" t="s">
        <v>8</v>
      </c>
      <c r="F1195" s="8">
        <v>8.0</v>
      </c>
      <c r="G1195" s="9">
        <v>4.0</v>
      </c>
    </row>
    <row r="1196" ht="14.25" hidden="1" customHeight="1">
      <c r="B1196" s="7" t="s">
        <v>19</v>
      </c>
      <c r="C1196" s="7" t="s">
        <v>7</v>
      </c>
      <c r="D1196" s="7" t="s">
        <v>24</v>
      </c>
      <c r="E1196" s="7" t="s">
        <v>8</v>
      </c>
      <c r="F1196" s="8">
        <v>8.0</v>
      </c>
      <c r="G1196" s="9">
        <v>4.0</v>
      </c>
    </row>
    <row r="1197" ht="14.25" hidden="1" customHeight="1">
      <c r="B1197" s="7" t="s">
        <v>19</v>
      </c>
      <c r="C1197" s="7" t="s">
        <v>7</v>
      </c>
      <c r="D1197" s="7" t="s">
        <v>10</v>
      </c>
      <c r="E1197" s="7" t="s">
        <v>9</v>
      </c>
      <c r="F1197" s="8">
        <v>8.0</v>
      </c>
      <c r="G1197" s="9">
        <v>4.0</v>
      </c>
    </row>
    <row r="1198" ht="14.25" hidden="1" customHeight="1">
      <c r="B1198" s="7" t="s">
        <v>19</v>
      </c>
      <c r="C1198" s="7" t="s">
        <v>29</v>
      </c>
      <c r="D1198" s="7" t="s">
        <v>32</v>
      </c>
      <c r="E1198" s="7" t="s">
        <v>25</v>
      </c>
      <c r="F1198" s="8">
        <v>8.0</v>
      </c>
      <c r="G1198" s="9">
        <v>8.0</v>
      </c>
    </row>
    <row r="1199" ht="14.25" hidden="1" customHeight="1">
      <c r="B1199" s="7" t="s">
        <v>19</v>
      </c>
      <c r="C1199" s="7" t="s">
        <v>29</v>
      </c>
      <c r="D1199" s="7" t="s">
        <v>32</v>
      </c>
      <c r="E1199" s="7" t="s">
        <v>28</v>
      </c>
      <c r="F1199" s="8">
        <v>8.0</v>
      </c>
      <c r="G1199" s="9">
        <v>8.0</v>
      </c>
    </row>
    <row r="1200" ht="14.25" hidden="1" customHeight="1">
      <c r="B1200" s="7" t="s">
        <v>19</v>
      </c>
      <c r="C1200" s="7" t="s">
        <v>29</v>
      </c>
      <c r="D1200" s="7" t="s">
        <v>31</v>
      </c>
      <c r="E1200" s="7" t="s">
        <v>35</v>
      </c>
      <c r="F1200" s="8">
        <v>8.0</v>
      </c>
      <c r="G1200" s="9">
        <v>8.0</v>
      </c>
    </row>
    <row r="1201" ht="14.25" customHeight="1">
      <c r="B1201" s="7" t="s">
        <v>19</v>
      </c>
      <c r="C1201" s="7" t="s">
        <v>29</v>
      </c>
      <c r="D1201" s="7" t="s">
        <v>8</v>
      </c>
      <c r="E1201" s="7" t="s">
        <v>31</v>
      </c>
      <c r="F1201" s="8">
        <v>8.0</v>
      </c>
      <c r="G1201" s="9">
        <v>8.0</v>
      </c>
    </row>
    <row r="1202" ht="14.25" customHeight="1">
      <c r="B1202" s="7" t="s">
        <v>19</v>
      </c>
      <c r="C1202" s="7" t="s">
        <v>7</v>
      </c>
      <c r="D1202" s="7" t="s">
        <v>8</v>
      </c>
      <c r="E1202" s="7" t="s">
        <v>31</v>
      </c>
      <c r="F1202" s="8">
        <v>8.0</v>
      </c>
      <c r="G1202" s="9">
        <v>4.0</v>
      </c>
    </row>
    <row r="1203" ht="14.25" hidden="1" customHeight="1">
      <c r="B1203" s="7" t="s">
        <v>19</v>
      </c>
      <c r="C1203" s="7" t="s">
        <v>29</v>
      </c>
      <c r="D1203" s="7" t="s">
        <v>33</v>
      </c>
      <c r="E1203" s="7" t="s">
        <v>25</v>
      </c>
      <c r="F1203" s="8">
        <v>7.0</v>
      </c>
      <c r="G1203" s="9">
        <v>7.0</v>
      </c>
    </row>
    <row r="1204" ht="14.25" hidden="1" customHeight="1">
      <c r="B1204" s="7" t="s">
        <v>19</v>
      </c>
      <c r="C1204" s="7" t="s">
        <v>29</v>
      </c>
      <c r="D1204" s="7" t="s">
        <v>33</v>
      </c>
      <c r="E1204" s="7" t="s">
        <v>25</v>
      </c>
      <c r="F1204" s="8">
        <v>7.0</v>
      </c>
      <c r="G1204" s="9">
        <v>7.0</v>
      </c>
    </row>
    <row r="1205" ht="14.25" customHeight="1">
      <c r="B1205" s="7" t="s">
        <v>19</v>
      </c>
      <c r="C1205" s="7" t="s">
        <v>29</v>
      </c>
      <c r="D1205" s="7" t="s">
        <v>8</v>
      </c>
      <c r="E1205" s="7" t="s">
        <v>31</v>
      </c>
      <c r="F1205" s="8">
        <v>7.0</v>
      </c>
      <c r="G1205" s="9">
        <v>7.0</v>
      </c>
    </row>
    <row r="1206" ht="14.25" hidden="1" customHeight="1">
      <c r="B1206" s="7" t="s">
        <v>19</v>
      </c>
      <c r="C1206" s="7" t="s">
        <v>7</v>
      </c>
      <c r="D1206" s="7" t="s">
        <v>25</v>
      </c>
      <c r="E1206" s="7" t="s">
        <v>33</v>
      </c>
      <c r="F1206" s="8">
        <v>6.0</v>
      </c>
      <c r="G1206" s="9">
        <v>3.0</v>
      </c>
    </row>
    <row r="1207" ht="14.25" hidden="1" customHeight="1">
      <c r="B1207" s="7" t="s">
        <v>19</v>
      </c>
      <c r="C1207" s="7" t="s">
        <v>29</v>
      </c>
      <c r="D1207" s="7" t="s">
        <v>25</v>
      </c>
      <c r="E1207" s="7" t="s">
        <v>8</v>
      </c>
      <c r="F1207" s="8">
        <v>6.0</v>
      </c>
      <c r="G1207" s="9">
        <v>6.0</v>
      </c>
    </row>
    <row r="1208" ht="14.25" hidden="1" customHeight="1">
      <c r="B1208" s="7" t="s">
        <v>19</v>
      </c>
      <c r="C1208" s="7" t="s">
        <v>7</v>
      </c>
      <c r="D1208" s="7" t="s">
        <v>25</v>
      </c>
      <c r="E1208" s="7" t="s">
        <v>8</v>
      </c>
      <c r="F1208" s="8">
        <v>6.0</v>
      </c>
      <c r="G1208" s="9">
        <v>3.0</v>
      </c>
    </row>
    <row r="1209" ht="14.25" hidden="1" customHeight="1">
      <c r="B1209" s="7" t="s">
        <v>19</v>
      </c>
      <c r="C1209" s="7" t="s">
        <v>30</v>
      </c>
      <c r="D1209" s="7" t="s">
        <v>25</v>
      </c>
      <c r="E1209" s="7" t="s">
        <v>8</v>
      </c>
      <c r="F1209" s="8">
        <v>6.0</v>
      </c>
      <c r="G1209" s="9">
        <v>3.0</v>
      </c>
    </row>
    <row r="1210" ht="14.25" hidden="1" customHeight="1">
      <c r="B1210" s="7" t="s">
        <v>19</v>
      </c>
      <c r="C1210" s="7" t="s">
        <v>7</v>
      </c>
      <c r="D1210" s="7" t="s">
        <v>33</v>
      </c>
      <c r="E1210" s="7" t="s">
        <v>25</v>
      </c>
      <c r="F1210" s="8">
        <v>6.0</v>
      </c>
      <c r="G1210" s="9">
        <v>3.0</v>
      </c>
    </row>
    <row r="1211" ht="14.25" hidden="1" customHeight="1">
      <c r="B1211" s="7" t="s">
        <v>19</v>
      </c>
      <c r="C1211" s="7" t="s">
        <v>7</v>
      </c>
      <c r="D1211" s="7" t="s">
        <v>33</v>
      </c>
      <c r="E1211" s="7" t="s">
        <v>10</v>
      </c>
      <c r="F1211" s="8">
        <v>6.0</v>
      </c>
      <c r="G1211" s="9">
        <v>3.0</v>
      </c>
    </row>
    <row r="1212" ht="14.25" hidden="1" customHeight="1">
      <c r="B1212" s="7" t="s">
        <v>19</v>
      </c>
      <c r="C1212" s="7" t="s">
        <v>7</v>
      </c>
      <c r="D1212" s="7" t="s">
        <v>33</v>
      </c>
      <c r="E1212" s="7" t="s">
        <v>31</v>
      </c>
      <c r="F1212" s="8">
        <v>6.0</v>
      </c>
      <c r="G1212" s="9">
        <v>3.0</v>
      </c>
    </row>
    <row r="1213" ht="14.25" hidden="1" customHeight="1">
      <c r="B1213" s="7" t="s">
        <v>19</v>
      </c>
      <c r="C1213" s="7" t="s">
        <v>7</v>
      </c>
      <c r="D1213" s="7" t="s">
        <v>28</v>
      </c>
      <c r="E1213" s="7" t="s">
        <v>25</v>
      </c>
      <c r="F1213" s="8">
        <v>6.0</v>
      </c>
      <c r="G1213" s="9">
        <v>6.0</v>
      </c>
    </row>
    <row r="1214" ht="14.25" hidden="1" customHeight="1">
      <c r="B1214" s="7" t="s">
        <v>19</v>
      </c>
      <c r="C1214" s="7" t="s">
        <v>30</v>
      </c>
      <c r="D1214" s="7" t="s">
        <v>34</v>
      </c>
      <c r="E1214" s="7" t="s">
        <v>33</v>
      </c>
      <c r="F1214" s="8">
        <v>6.0</v>
      </c>
      <c r="G1214" s="9">
        <v>3.0</v>
      </c>
    </row>
    <row r="1215" ht="14.25" hidden="1" customHeight="1">
      <c r="B1215" s="7" t="s">
        <v>19</v>
      </c>
      <c r="C1215" s="7" t="s">
        <v>7</v>
      </c>
      <c r="D1215" s="7" t="s">
        <v>34</v>
      </c>
      <c r="E1215" s="7" t="s">
        <v>28</v>
      </c>
      <c r="F1215" s="8">
        <v>6.0</v>
      </c>
      <c r="G1215" s="9">
        <v>3.0</v>
      </c>
    </row>
    <row r="1216" ht="14.25" hidden="1" customHeight="1">
      <c r="B1216" s="7" t="s">
        <v>19</v>
      </c>
      <c r="C1216" s="7" t="s">
        <v>29</v>
      </c>
      <c r="D1216" s="7" t="s">
        <v>9</v>
      </c>
      <c r="E1216" s="7" t="s">
        <v>25</v>
      </c>
      <c r="F1216" s="8">
        <v>6.0</v>
      </c>
      <c r="G1216" s="9">
        <v>6.0</v>
      </c>
    </row>
    <row r="1217" ht="14.25" hidden="1" customHeight="1">
      <c r="B1217" s="7" t="s">
        <v>19</v>
      </c>
      <c r="C1217" s="7" t="s">
        <v>29</v>
      </c>
      <c r="D1217" s="7" t="s">
        <v>9</v>
      </c>
      <c r="E1217" s="7" t="s">
        <v>28</v>
      </c>
      <c r="F1217" s="8">
        <v>6.0</v>
      </c>
      <c r="G1217" s="9">
        <v>6.0</v>
      </c>
    </row>
    <row r="1218" ht="14.25" hidden="1" customHeight="1">
      <c r="B1218" s="7" t="s">
        <v>19</v>
      </c>
      <c r="C1218" s="7" t="s">
        <v>29</v>
      </c>
      <c r="D1218" s="7" t="s">
        <v>24</v>
      </c>
      <c r="E1218" s="7" t="s">
        <v>31</v>
      </c>
      <c r="F1218" s="8">
        <v>6.0</v>
      </c>
      <c r="G1218" s="9">
        <v>6.0</v>
      </c>
    </row>
    <row r="1219" ht="14.25" hidden="1" customHeight="1">
      <c r="B1219" s="7" t="s">
        <v>19</v>
      </c>
      <c r="C1219" s="7" t="s">
        <v>29</v>
      </c>
      <c r="D1219" s="7" t="s">
        <v>10</v>
      </c>
      <c r="E1219" s="7" t="s">
        <v>25</v>
      </c>
      <c r="F1219" s="8">
        <v>6.0</v>
      </c>
      <c r="G1219" s="9">
        <v>6.0</v>
      </c>
    </row>
    <row r="1220" ht="14.25" hidden="1" customHeight="1">
      <c r="B1220" s="7" t="s">
        <v>19</v>
      </c>
      <c r="C1220" s="7" t="s">
        <v>7</v>
      </c>
      <c r="D1220" s="7" t="s">
        <v>10</v>
      </c>
      <c r="E1220" s="7" t="s">
        <v>33</v>
      </c>
      <c r="F1220" s="8">
        <v>6.0</v>
      </c>
      <c r="G1220" s="9">
        <v>3.0</v>
      </c>
    </row>
    <row r="1221" ht="14.25" hidden="1" customHeight="1">
      <c r="B1221" s="7" t="s">
        <v>19</v>
      </c>
      <c r="C1221" s="7" t="s">
        <v>7</v>
      </c>
      <c r="D1221" s="7" t="s">
        <v>10</v>
      </c>
      <c r="E1221" s="7" t="s">
        <v>31</v>
      </c>
      <c r="F1221" s="8">
        <v>6.0</v>
      </c>
      <c r="G1221" s="9">
        <v>3.0</v>
      </c>
    </row>
    <row r="1222" ht="14.25" hidden="1" customHeight="1">
      <c r="B1222" s="7" t="s">
        <v>19</v>
      </c>
      <c r="C1222" s="7" t="s">
        <v>7</v>
      </c>
      <c r="D1222" s="7" t="s">
        <v>10</v>
      </c>
      <c r="E1222" s="7" t="s">
        <v>8</v>
      </c>
      <c r="F1222" s="8">
        <v>6.0</v>
      </c>
      <c r="G1222" s="9">
        <v>3.0</v>
      </c>
    </row>
    <row r="1223" ht="14.25" hidden="1" customHeight="1">
      <c r="B1223" s="7" t="s">
        <v>19</v>
      </c>
      <c r="C1223" s="7" t="s">
        <v>29</v>
      </c>
      <c r="D1223" s="7" t="s">
        <v>32</v>
      </c>
      <c r="E1223" s="7" t="s">
        <v>25</v>
      </c>
      <c r="F1223" s="8">
        <v>6.0</v>
      </c>
      <c r="G1223" s="9">
        <v>6.0</v>
      </c>
    </row>
    <row r="1224" ht="14.25" hidden="1" customHeight="1">
      <c r="B1224" s="7" t="s">
        <v>19</v>
      </c>
      <c r="C1224" s="7" t="s">
        <v>30</v>
      </c>
      <c r="D1224" s="7" t="s">
        <v>32</v>
      </c>
      <c r="E1224" s="7" t="s">
        <v>25</v>
      </c>
      <c r="F1224" s="8">
        <v>6.0</v>
      </c>
      <c r="G1224" s="9">
        <v>3.0</v>
      </c>
    </row>
    <row r="1225" ht="14.25" hidden="1" customHeight="1">
      <c r="B1225" s="7" t="s">
        <v>19</v>
      </c>
      <c r="C1225" s="7" t="s">
        <v>30</v>
      </c>
      <c r="D1225" s="7" t="s">
        <v>32</v>
      </c>
      <c r="E1225" s="7" t="s">
        <v>25</v>
      </c>
      <c r="F1225" s="8">
        <v>6.0</v>
      </c>
      <c r="G1225" s="9">
        <v>3.0</v>
      </c>
    </row>
    <row r="1226" ht="14.25" hidden="1" customHeight="1">
      <c r="B1226" s="7" t="s">
        <v>19</v>
      </c>
      <c r="C1226" s="7" t="s">
        <v>7</v>
      </c>
      <c r="D1226" s="7" t="s">
        <v>31</v>
      </c>
      <c r="E1226" s="7" t="s">
        <v>33</v>
      </c>
      <c r="F1226" s="8">
        <v>6.0</v>
      </c>
      <c r="G1226" s="9">
        <v>3.0</v>
      </c>
    </row>
    <row r="1227" ht="14.25" hidden="1" customHeight="1">
      <c r="B1227" s="7" t="s">
        <v>19</v>
      </c>
      <c r="C1227" s="7" t="s">
        <v>29</v>
      </c>
      <c r="D1227" s="7" t="s">
        <v>31</v>
      </c>
      <c r="E1227" s="7" t="s">
        <v>28</v>
      </c>
      <c r="F1227" s="8">
        <v>6.0</v>
      </c>
      <c r="G1227" s="9">
        <v>6.0</v>
      </c>
    </row>
    <row r="1228" ht="14.25" hidden="1" customHeight="1">
      <c r="B1228" s="7" t="s">
        <v>19</v>
      </c>
      <c r="C1228" s="7" t="s">
        <v>29</v>
      </c>
      <c r="D1228" s="7" t="s">
        <v>31</v>
      </c>
      <c r="E1228" s="7" t="s">
        <v>35</v>
      </c>
      <c r="F1228" s="8">
        <v>6.0</v>
      </c>
      <c r="G1228" s="9">
        <v>6.0</v>
      </c>
    </row>
    <row r="1229" ht="14.25" hidden="1" customHeight="1">
      <c r="B1229" s="7" t="s">
        <v>19</v>
      </c>
      <c r="C1229" s="7" t="s">
        <v>30</v>
      </c>
      <c r="D1229" s="7" t="s">
        <v>31</v>
      </c>
      <c r="E1229" s="7" t="s">
        <v>10</v>
      </c>
      <c r="F1229" s="8">
        <v>6.0</v>
      </c>
      <c r="G1229" s="9">
        <v>3.0</v>
      </c>
    </row>
    <row r="1230" ht="14.25" hidden="1" customHeight="1">
      <c r="B1230" s="7" t="s">
        <v>19</v>
      </c>
      <c r="C1230" s="7" t="s">
        <v>29</v>
      </c>
      <c r="D1230" s="7" t="s">
        <v>31</v>
      </c>
      <c r="E1230" s="7" t="s">
        <v>32</v>
      </c>
      <c r="F1230" s="8">
        <v>6.0</v>
      </c>
      <c r="G1230" s="9">
        <v>6.0</v>
      </c>
    </row>
    <row r="1231" ht="14.25" hidden="1" customHeight="1">
      <c r="B1231" s="7" t="s">
        <v>19</v>
      </c>
      <c r="C1231" s="7" t="s">
        <v>7</v>
      </c>
      <c r="D1231" s="7" t="s">
        <v>31</v>
      </c>
      <c r="E1231" s="7" t="s">
        <v>32</v>
      </c>
      <c r="F1231" s="8">
        <v>6.0</v>
      </c>
      <c r="G1231" s="9">
        <v>3.0</v>
      </c>
    </row>
    <row r="1232" ht="14.25" hidden="1" customHeight="1">
      <c r="B1232" s="7" t="s">
        <v>19</v>
      </c>
      <c r="C1232" s="7" t="s">
        <v>7</v>
      </c>
      <c r="D1232" s="7" t="s">
        <v>31</v>
      </c>
      <c r="E1232" s="7" t="s">
        <v>31</v>
      </c>
      <c r="F1232" s="8">
        <v>6.0</v>
      </c>
      <c r="G1232" s="9">
        <v>3.0</v>
      </c>
    </row>
    <row r="1233" ht="14.25" hidden="1" customHeight="1">
      <c r="B1233" s="7" t="s">
        <v>19</v>
      </c>
      <c r="C1233" s="7" t="s">
        <v>7</v>
      </c>
      <c r="D1233" s="7" t="s">
        <v>8</v>
      </c>
      <c r="E1233" s="7" t="s">
        <v>33</v>
      </c>
      <c r="F1233" s="8">
        <v>6.0</v>
      </c>
      <c r="G1233" s="9">
        <v>3.0</v>
      </c>
    </row>
    <row r="1234" ht="14.25" hidden="1" customHeight="1">
      <c r="B1234" s="7" t="s">
        <v>19</v>
      </c>
      <c r="C1234" s="7" t="s">
        <v>7</v>
      </c>
      <c r="D1234" s="7" t="s">
        <v>8</v>
      </c>
      <c r="E1234" s="7" t="s">
        <v>9</v>
      </c>
      <c r="F1234" s="8">
        <v>6.0</v>
      </c>
      <c r="G1234" s="9">
        <v>6.0</v>
      </c>
    </row>
    <row r="1235" ht="14.25" hidden="1" customHeight="1">
      <c r="B1235" s="7" t="s">
        <v>19</v>
      </c>
      <c r="C1235" s="7" t="s">
        <v>29</v>
      </c>
      <c r="D1235" s="7" t="s">
        <v>25</v>
      </c>
      <c r="E1235" s="7" t="s">
        <v>9</v>
      </c>
      <c r="F1235" s="8">
        <v>5.0</v>
      </c>
      <c r="G1235" s="9">
        <v>5.0</v>
      </c>
    </row>
    <row r="1236" ht="14.25" hidden="1" customHeight="1">
      <c r="B1236" s="7" t="s">
        <v>19</v>
      </c>
      <c r="C1236" s="7" t="s">
        <v>29</v>
      </c>
      <c r="D1236" s="7" t="s">
        <v>25</v>
      </c>
      <c r="E1236" s="7" t="s">
        <v>31</v>
      </c>
      <c r="F1236" s="8">
        <v>5.0</v>
      </c>
      <c r="G1236" s="9">
        <v>5.0</v>
      </c>
    </row>
    <row r="1237" ht="14.25" hidden="1" customHeight="1">
      <c r="B1237" s="7" t="s">
        <v>19</v>
      </c>
      <c r="C1237" s="7" t="s">
        <v>29</v>
      </c>
      <c r="D1237" s="7" t="s">
        <v>9</v>
      </c>
      <c r="E1237" s="7" t="s">
        <v>31</v>
      </c>
      <c r="F1237" s="8">
        <v>5.0</v>
      </c>
      <c r="G1237" s="9">
        <v>5.0</v>
      </c>
    </row>
    <row r="1238" ht="14.25" hidden="1" customHeight="1">
      <c r="B1238" s="7" t="s">
        <v>19</v>
      </c>
      <c r="C1238" s="7" t="s">
        <v>29</v>
      </c>
      <c r="D1238" s="7" t="s">
        <v>32</v>
      </c>
      <c r="E1238" s="7" t="s">
        <v>31</v>
      </c>
      <c r="F1238" s="8">
        <v>5.0</v>
      </c>
      <c r="G1238" s="9">
        <v>5.0</v>
      </c>
    </row>
    <row r="1239" ht="14.25" hidden="1" customHeight="1">
      <c r="B1239" s="7" t="s">
        <v>19</v>
      </c>
      <c r="C1239" s="7" t="s">
        <v>29</v>
      </c>
      <c r="D1239" s="7" t="s">
        <v>31</v>
      </c>
      <c r="E1239" s="7" t="s">
        <v>33</v>
      </c>
      <c r="F1239" s="8">
        <v>5.0</v>
      </c>
      <c r="G1239" s="9">
        <v>5.0</v>
      </c>
    </row>
    <row r="1240" ht="14.25" hidden="1" customHeight="1">
      <c r="B1240" s="7" t="s">
        <v>19</v>
      </c>
      <c r="C1240" s="7" t="s">
        <v>30</v>
      </c>
      <c r="D1240" s="7" t="s">
        <v>25</v>
      </c>
      <c r="E1240" s="7" t="s">
        <v>28</v>
      </c>
      <c r="F1240" s="8">
        <v>4.0</v>
      </c>
      <c r="G1240" s="9">
        <v>2.0</v>
      </c>
    </row>
    <row r="1241" ht="14.25" hidden="1" customHeight="1">
      <c r="B1241" s="7" t="s">
        <v>19</v>
      </c>
      <c r="C1241" s="7" t="s">
        <v>30</v>
      </c>
      <c r="D1241" s="7" t="s">
        <v>25</v>
      </c>
      <c r="E1241" s="7" t="s">
        <v>31</v>
      </c>
      <c r="F1241" s="8">
        <v>4.0</v>
      </c>
      <c r="G1241" s="9">
        <v>2.0</v>
      </c>
    </row>
    <row r="1242" ht="14.25" hidden="1" customHeight="1">
      <c r="B1242" s="7" t="s">
        <v>19</v>
      </c>
      <c r="C1242" s="7" t="s">
        <v>7</v>
      </c>
      <c r="D1242" s="7" t="s">
        <v>33</v>
      </c>
      <c r="E1242" s="7" t="s">
        <v>25</v>
      </c>
      <c r="F1242" s="8">
        <v>4.0</v>
      </c>
      <c r="G1242" s="9">
        <v>2.0</v>
      </c>
    </row>
    <row r="1243" ht="14.25" hidden="1" customHeight="1">
      <c r="B1243" s="7" t="s">
        <v>19</v>
      </c>
      <c r="C1243" s="7" t="s">
        <v>7</v>
      </c>
      <c r="D1243" s="7" t="s">
        <v>33</v>
      </c>
      <c r="E1243" s="7" t="s">
        <v>28</v>
      </c>
      <c r="F1243" s="8">
        <v>4.0</v>
      </c>
      <c r="G1243" s="9">
        <v>2.0</v>
      </c>
    </row>
    <row r="1244" ht="14.25" hidden="1" customHeight="1">
      <c r="B1244" s="7" t="s">
        <v>19</v>
      </c>
      <c r="C1244" s="7" t="s">
        <v>7</v>
      </c>
      <c r="D1244" s="7" t="s">
        <v>33</v>
      </c>
      <c r="E1244" s="7" t="s">
        <v>10</v>
      </c>
      <c r="F1244" s="8">
        <v>4.0</v>
      </c>
      <c r="G1244" s="9">
        <v>2.0</v>
      </c>
    </row>
    <row r="1245" ht="14.25" hidden="1" customHeight="1">
      <c r="B1245" s="7" t="s">
        <v>19</v>
      </c>
      <c r="C1245" s="7" t="s">
        <v>7</v>
      </c>
      <c r="D1245" s="7" t="s">
        <v>33</v>
      </c>
      <c r="E1245" s="7" t="s">
        <v>10</v>
      </c>
      <c r="F1245" s="8">
        <v>4.0</v>
      </c>
      <c r="G1245" s="9">
        <v>2.0</v>
      </c>
    </row>
    <row r="1246" ht="14.25" hidden="1" customHeight="1">
      <c r="B1246" s="7" t="s">
        <v>19</v>
      </c>
      <c r="C1246" s="7" t="s">
        <v>29</v>
      </c>
      <c r="D1246" s="7" t="s">
        <v>33</v>
      </c>
      <c r="E1246" s="7" t="s">
        <v>32</v>
      </c>
      <c r="F1246" s="8">
        <v>4.0</v>
      </c>
      <c r="G1246" s="9">
        <v>4.0</v>
      </c>
    </row>
    <row r="1247" ht="14.25" hidden="1" customHeight="1">
      <c r="B1247" s="7" t="s">
        <v>19</v>
      </c>
      <c r="C1247" s="7" t="s">
        <v>29</v>
      </c>
      <c r="D1247" s="7" t="s">
        <v>28</v>
      </c>
      <c r="E1247" s="7" t="s">
        <v>25</v>
      </c>
      <c r="F1247" s="8">
        <v>4.0</v>
      </c>
      <c r="G1247" s="9">
        <v>4.0</v>
      </c>
    </row>
    <row r="1248" ht="14.25" hidden="1" customHeight="1">
      <c r="B1248" s="7" t="s">
        <v>19</v>
      </c>
      <c r="C1248" s="7" t="s">
        <v>29</v>
      </c>
      <c r="D1248" s="7" t="s">
        <v>28</v>
      </c>
      <c r="E1248" s="7" t="s">
        <v>31</v>
      </c>
      <c r="F1248" s="8">
        <v>4.0</v>
      </c>
      <c r="G1248" s="9">
        <v>4.0</v>
      </c>
    </row>
    <row r="1249" ht="14.25" hidden="1" customHeight="1">
      <c r="B1249" s="7" t="s">
        <v>19</v>
      </c>
      <c r="C1249" s="7" t="s">
        <v>29</v>
      </c>
      <c r="D1249" s="7" t="s">
        <v>34</v>
      </c>
      <c r="E1249" s="7" t="s">
        <v>33</v>
      </c>
      <c r="F1249" s="8">
        <v>4.0</v>
      </c>
      <c r="G1249" s="9">
        <v>4.0</v>
      </c>
    </row>
    <row r="1250" ht="14.25" hidden="1" customHeight="1">
      <c r="B1250" s="7" t="s">
        <v>19</v>
      </c>
      <c r="C1250" s="7" t="s">
        <v>7</v>
      </c>
      <c r="D1250" s="7" t="s">
        <v>9</v>
      </c>
      <c r="E1250" s="7" t="s">
        <v>25</v>
      </c>
      <c r="F1250" s="8">
        <v>4.0</v>
      </c>
      <c r="G1250" s="9">
        <v>4.0</v>
      </c>
    </row>
    <row r="1251" ht="14.25" hidden="1" customHeight="1">
      <c r="B1251" s="7" t="s">
        <v>19</v>
      </c>
      <c r="C1251" s="7" t="s">
        <v>29</v>
      </c>
      <c r="D1251" s="7" t="s">
        <v>9</v>
      </c>
      <c r="E1251" s="7" t="s">
        <v>32</v>
      </c>
      <c r="F1251" s="8">
        <v>4.0</v>
      </c>
      <c r="G1251" s="9">
        <v>4.0</v>
      </c>
    </row>
    <row r="1252" ht="14.25" hidden="1" customHeight="1">
      <c r="B1252" s="7" t="s">
        <v>19</v>
      </c>
      <c r="C1252" s="7" t="s">
        <v>30</v>
      </c>
      <c r="D1252" s="7" t="s">
        <v>24</v>
      </c>
      <c r="E1252" s="7" t="s">
        <v>10</v>
      </c>
      <c r="F1252" s="8">
        <v>4.0</v>
      </c>
      <c r="G1252" s="9">
        <v>2.0</v>
      </c>
    </row>
    <row r="1253" ht="14.25" hidden="1" customHeight="1">
      <c r="B1253" s="7" t="s">
        <v>19</v>
      </c>
      <c r="C1253" s="7" t="s">
        <v>7</v>
      </c>
      <c r="D1253" s="7" t="s">
        <v>10</v>
      </c>
      <c r="E1253" s="7" t="s">
        <v>35</v>
      </c>
      <c r="F1253" s="8">
        <v>4.0</v>
      </c>
      <c r="G1253" s="9">
        <v>2.0</v>
      </c>
    </row>
    <row r="1254" ht="14.25" hidden="1" customHeight="1">
      <c r="B1254" s="7" t="s">
        <v>19</v>
      </c>
      <c r="C1254" s="7" t="s">
        <v>29</v>
      </c>
      <c r="D1254" s="7" t="s">
        <v>10</v>
      </c>
      <c r="E1254" s="7" t="s">
        <v>31</v>
      </c>
      <c r="F1254" s="8">
        <v>4.0</v>
      </c>
      <c r="G1254" s="9">
        <v>4.0</v>
      </c>
    </row>
    <row r="1255" ht="14.25" hidden="1" customHeight="1">
      <c r="B1255" s="7" t="s">
        <v>19</v>
      </c>
      <c r="C1255" s="7" t="s">
        <v>7</v>
      </c>
      <c r="D1255" s="7" t="s">
        <v>32</v>
      </c>
      <c r="E1255" s="7" t="s">
        <v>33</v>
      </c>
      <c r="F1255" s="8">
        <v>4.0</v>
      </c>
      <c r="G1255" s="9">
        <v>2.0</v>
      </c>
    </row>
    <row r="1256" ht="14.25" hidden="1" customHeight="1">
      <c r="B1256" s="7" t="s">
        <v>19</v>
      </c>
      <c r="C1256" s="7" t="s">
        <v>7</v>
      </c>
      <c r="D1256" s="7" t="s">
        <v>32</v>
      </c>
      <c r="E1256" s="7" t="s">
        <v>35</v>
      </c>
      <c r="F1256" s="8">
        <v>4.0</v>
      </c>
      <c r="G1256" s="9">
        <v>2.0</v>
      </c>
    </row>
    <row r="1257" ht="14.25" hidden="1" customHeight="1">
      <c r="B1257" s="7" t="s">
        <v>19</v>
      </c>
      <c r="C1257" s="7" t="s">
        <v>30</v>
      </c>
      <c r="D1257" s="7" t="s">
        <v>32</v>
      </c>
      <c r="E1257" s="7" t="s">
        <v>31</v>
      </c>
      <c r="F1257" s="8">
        <v>4.0</v>
      </c>
      <c r="G1257" s="9">
        <v>2.0</v>
      </c>
    </row>
    <row r="1258" ht="14.25" hidden="1" customHeight="1">
      <c r="B1258" s="7" t="s">
        <v>19</v>
      </c>
      <c r="C1258" s="7" t="s">
        <v>7</v>
      </c>
      <c r="D1258" s="7" t="s">
        <v>32</v>
      </c>
      <c r="E1258" s="7" t="s">
        <v>8</v>
      </c>
      <c r="F1258" s="8">
        <v>4.0</v>
      </c>
      <c r="G1258" s="9">
        <v>2.0</v>
      </c>
    </row>
    <row r="1259" ht="14.25" hidden="1" customHeight="1">
      <c r="B1259" s="7" t="s">
        <v>19</v>
      </c>
      <c r="C1259" s="7" t="s">
        <v>30</v>
      </c>
      <c r="D1259" s="7" t="s">
        <v>32</v>
      </c>
      <c r="E1259" s="7" t="s">
        <v>8</v>
      </c>
      <c r="F1259" s="8">
        <v>4.0</v>
      </c>
      <c r="G1259" s="9">
        <v>2.0</v>
      </c>
    </row>
    <row r="1260" ht="14.25" hidden="1" customHeight="1">
      <c r="B1260" s="7" t="s">
        <v>19</v>
      </c>
      <c r="C1260" s="7" t="s">
        <v>7</v>
      </c>
      <c r="D1260" s="7" t="s">
        <v>31</v>
      </c>
      <c r="E1260" s="7" t="s">
        <v>28</v>
      </c>
      <c r="F1260" s="8">
        <v>4.0</v>
      </c>
      <c r="G1260" s="9">
        <v>2.0</v>
      </c>
    </row>
    <row r="1261" ht="14.25" hidden="1" customHeight="1">
      <c r="B1261" s="7" t="s">
        <v>19</v>
      </c>
      <c r="C1261" s="7" t="s">
        <v>29</v>
      </c>
      <c r="D1261" s="7" t="s">
        <v>31</v>
      </c>
      <c r="E1261" s="7" t="s">
        <v>9</v>
      </c>
      <c r="F1261" s="8">
        <v>4.0</v>
      </c>
      <c r="G1261" s="9">
        <v>4.0</v>
      </c>
    </row>
    <row r="1262" ht="14.25" hidden="1" customHeight="1">
      <c r="B1262" s="7" t="s">
        <v>19</v>
      </c>
      <c r="C1262" s="7" t="s">
        <v>30</v>
      </c>
      <c r="D1262" s="7" t="s">
        <v>8</v>
      </c>
      <c r="E1262" s="7" t="s">
        <v>35</v>
      </c>
      <c r="F1262" s="8">
        <v>4.0</v>
      </c>
      <c r="G1262" s="9">
        <v>2.0</v>
      </c>
    </row>
    <row r="1263" ht="14.25" hidden="1" customHeight="1">
      <c r="B1263" s="7" t="s">
        <v>19</v>
      </c>
      <c r="C1263" s="7" t="s">
        <v>29</v>
      </c>
      <c r="D1263" s="7" t="s">
        <v>8</v>
      </c>
      <c r="E1263" s="7" t="s">
        <v>9</v>
      </c>
      <c r="F1263" s="8">
        <v>4.0</v>
      </c>
      <c r="G1263" s="9">
        <v>4.0</v>
      </c>
    </row>
    <row r="1264" ht="14.25" hidden="1" customHeight="1">
      <c r="B1264" s="7" t="s">
        <v>19</v>
      </c>
      <c r="C1264" s="7" t="s">
        <v>7</v>
      </c>
      <c r="D1264" s="7" t="s">
        <v>8</v>
      </c>
      <c r="E1264" s="7" t="s">
        <v>9</v>
      </c>
      <c r="F1264" s="8">
        <v>4.0</v>
      </c>
      <c r="G1264" s="9">
        <v>2.0</v>
      </c>
    </row>
    <row r="1265" ht="14.25" hidden="1" customHeight="1">
      <c r="B1265" s="7" t="s">
        <v>19</v>
      </c>
      <c r="C1265" s="7" t="s">
        <v>7</v>
      </c>
      <c r="D1265" s="7" t="s">
        <v>8</v>
      </c>
      <c r="E1265" s="7" t="s">
        <v>10</v>
      </c>
      <c r="F1265" s="8">
        <v>4.0</v>
      </c>
      <c r="G1265" s="9">
        <v>2.0</v>
      </c>
    </row>
    <row r="1266" ht="14.25" hidden="1" customHeight="1">
      <c r="B1266" s="7" t="s">
        <v>19</v>
      </c>
      <c r="C1266" s="7" t="s">
        <v>29</v>
      </c>
      <c r="D1266" s="7" t="s">
        <v>25</v>
      </c>
      <c r="E1266" s="7" t="s">
        <v>28</v>
      </c>
      <c r="F1266" s="8">
        <v>3.0</v>
      </c>
      <c r="G1266" s="9">
        <v>3.0</v>
      </c>
    </row>
    <row r="1267" ht="14.25" hidden="1" customHeight="1">
      <c r="B1267" s="7" t="s">
        <v>19</v>
      </c>
      <c r="C1267" s="7" t="s">
        <v>29</v>
      </c>
      <c r="D1267" s="7" t="s">
        <v>33</v>
      </c>
      <c r="E1267" s="7" t="s">
        <v>31</v>
      </c>
      <c r="F1267" s="8">
        <v>3.0</v>
      </c>
      <c r="G1267" s="9">
        <v>3.0</v>
      </c>
    </row>
    <row r="1268" ht="14.25" hidden="1" customHeight="1">
      <c r="B1268" s="7" t="s">
        <v>19</v>
      </c>
      <c r="C1268" s="7" t="s">
        <v>29</v>
      </c>
      <c r="D1268" s="7" t="s">
        <v>11</v>
      </c>
      <c r="E1268" s="7" t="s">
        <v>31</v>
      </c>
      <c r="F1268" s="8">
        <v>3.0</v>
      </c>
      <c r="G1268" s="9">
        <v>3.0</v>
      </c>
    </row>
    <row r="1269" ht="14.25" hidden="1" customHeight="1">
      <c r="B1269" s="7" t="s">
        <v>19</v>
      </c>
      <c r="C1269" s="7" t="s">
        <v>29</v>
      </c>
      <c r="D1269" s="7" t="s">
        <v>32</v>
      </c>
      <c r="E1269" s="7" t="s">
        <v>33</v>
      </c>
      <c r="F1269" s="8">
        <v>3.0</v>
      </c>
      <c r="G1269" s="9">
        <v>3.0</v>
      </c>
    </row>
    <row r="1270" ht="14.25" hidden="1" customHeight="1">
      <c r="B1270" s="7" t="s">
        <v>19</v>
      </c>
      <c r="C1270" s="7" t="s">
        <v>29</v>
      </c>
      <c r="D1270" s="7" t="s">
        <v>31</v>
      </c>
      <c r="E1270" s="7" t="s">
        <v>33</v>
      </c>
      <c r="F1270" s="8">
        <v>3.0</v>
      </c>
      <c r="G1270" s="9">
        <v>3.0</v>
      </c>
    </row>
    <row r="1271" ht="14.25" hidden="1" customHeight="1">
      <c r="B1271" s="7" t="s">
        <v>19</v>
      </c>
      <c r="C1271" s="7" t="s">
        <v>29</v>
      </c>
      <c r="D1271" s="7" t="s">
        <v>8</v>
      </c>
      <c r="E1271" s="7" t="s">
        <v>28</v>
      </c>
      <c r="F1271" s="8">
        <v>3.0</v>
      </c>
      <c r="G1271" s="9">
        <v>3.0</v>
      </c>
    </row>
    <row r="1272" ht="14.25" hidden="1" customHeight="1">
      <c r="B1272" s="7" t="s">
        <v>19</v>
      </c>
      <c r="C1272" s="7" t="s">
        <v>29</v>
      </c>
      <c r="D1272" s="7" t="s">
        <v>8</v>
      </c>
      <c r="E1272" s="7" t="s">
        <v>35</v>
      </c>
      <c r="F1272" s="8">
        <v>3.0</v>
      </c>
      <c r="G1272" s="9">
        <v>3.0</v>
      </c>
    </row>
    <row r="1273" ht="14.25" hidden="1" customHeight="1">
      <c r="B1273" s="7" t="s">
        <v>19</v>
      </c>
      <c r="C1273" s="7" t="s">
        <v>29</v>
      </c>
      <c r="D1273" s="7" t="s">
        <v>8</v>
      </c>
      <c r="E1273" s="7" t="s">
        <v>9</v>
      </c>
      <c r="F1273" s="8">
        <v>3.0</v>
      </c>
      <c r="G1273" s="9">
        <v>3.0</v>
      </c>
    </row>
    <row r="1274" ht="14.25" hidden="1" customHeight="1">
      <c r="B1274" s="7" t="s">
        <v>19</v>
      </c>
      <c r="C1274" s="7" t="s">
        <v>7</v>
      </c>
      <c r="D1274" s="7" t="s">
        <v>25</v>
      </c>
      <c r="E1274" s="7" t="s">
        <v>35</v>
      </c>
      <c r="F1274" s="8">
        <v>2.0</v>
      </c>
      <c r="G1274" s="9">
        <v>1.0</v>
      </c>
    </row>
    <row r="1275" ht="14.25" hidden="1" customHeight="1">
      <c r="B1275" s="7" t="s">
        <v>19</v>
      </c>
      <c r="C1275" s="7" t="s">
        <v>30</v>
      </c>
      <c r="D1275" s="7" t="s">
        <v>25</v>
      </c>
      <c r="E1275" s="7" t="s">
        <v>9</v>
      </c>
      <c r="F1275" s="8">
        <v>2.0</v>
      </c>
      <c r="G1275" s="9">
        <v>1.0</v>
      </c>
    </row>
    <row r="1276" ht="14.25" hidden="1" customHeight="1">
      <c r="B1276" s="7" t="s">
        <v>19</v>
      </c>
      <c r="C1276" s="7" t="s">
        <v>7</v>
      </c>
      <c r="D1276" s="7" t="s">
        <v>25</v>
      </c>
      <c r="E1276" s="7" t="s">
        <v>10</v>
      </c>
      <c r="F1276" s="8">
        <v>2.0</v>
      </c>
      <c r="G1276" s="9">
        <v>1.0</v>
      </c>
    </row>
    <row r="1277" ht="14.25" hidden="1" customHeight="1">
      <c r="B1277" s="7" t="s">
        <v>19</v>
      </c>
      <c r="C1277" s="7" t="s">
        <v>7</v>
      </c>
      <c r="D1277" s="7" t="s">
        <v>25</v>
      </c>
      <c r="E1277" s="7" t="s">
        <v>10</v>
      </c>
      <c r="F1277" s="8">
        <v>2.0</v>
      </c>
      <c r="G1277" s="9">
        <v>1.0</v>
      </c>
    </row>
    <row r="1278" ht="14.25" hidden="1" customHeight="1">
      <c r="B1278" s="7" t="s">
        <v>19</v>
      </c>
      <c r="C1278" s="7" t="s">
        <v>7</v>
      </c>
      <c r="D1278" s="7" t="s">
        <v>25</v>
      </c>
      <c r="E1278" s="7" t="s">
        <v>8</v>
      </c>
      <c r="F1278" s="8">
        <v>2.0</v>
      </c>
      <c r="G1278" s="9">
        <v>1.0</v>
      </c>
    </row>
    <row r="1279" ht="14.25" hidden="1" customHeight="1">
      <c r="B1279" s="7" t="s">
        <v>19</v>
      </c>
      <c r="C1279" s="7" t="s">
        <v>7</v>
      </c>
      <c r="D1279" s="7" t="s">
        <v>33</v>
      </c>
      <c r="E1279" s="7" t="s">
        <v>25</v>
      </c>
      <c r="F1279" s="8">
        <v>2.0</v>
      </c>
      <c r="G1279" s="9">
        <v>1.0</v>
      </c>
    </row>
    <row r="1280" ht="14.25" hidden="1" customHeight="1">
      <c r="B1280" s="7" t="s">
        <v>19</v>
      </c>
      <c r="C1280" s="7" t="s">
        <v>30</v>
      </c>
      <c r="D1280" s="7" t="s">
        <v>33</v>
      </c>
      <c r="E1280" s="7" t="s">
        <v>25</v>
      </c>
      <c r="F1280" s="8">
        <v>2.0</v>
      </c>
      <c r="G1280" s="9">
        <v>1.0</v>
      </c>
    </row>
    <row r="1281" ht="14.25" hidden="1" customHeight="1">
      <c r="B1281" s="7" t="s">
        <v>19</v>
      </c>
      <c r="C1281" s="7" t="s">
        <v>29</v>
      </c>
      <c r="D1281" s="7" t="s">
        <v>33</v>
      </c>
      <c r="E1281" s="7" t="s">
        <v>28</v>
      </c>
      <c r="F1281" s="8">
        <v>2.0</v>
      </c>
      <c r="G1281" s="9">
        <v>2.0</v>
      </c>
    </row>
    <row r="1282" ht="14.25" hidden="1" customHeight="1">
      <c r="B1282" s="7" t="s">
        <v>19</v>
      </c>
      <c r="C1282" s="7" t="s">
        <v>7</v>
      </c>
      <c r="D1282" s="7" t="s">
        <v>33</v>
      </c>
      <c r="E1282" s="7" t="s">
        <v>9</v>
      </c>
      <c r="F1282" s="8">
        <v>2.0</v>
      </c>
      <c r="G1282" s="9">
        <v>1.0</v>
      </c>
    </row>
    <row r="1283" ht="14.25" hidden="1" customHeight="1">
      <c r="B1283" s="7" t="s">
        <v>19</v>
      </c>
      <c r="C1283" s="7" t="s">
        <v>7</v>
      </c>
      <c r="D1283" s="7" t="s">
        <v>33</v>
      </c>
      <c r="E1283" s="7" t="s">
        <v>10</v>
      </c>
      <c r="F1283" s="8">
        <v>2.0</v>
      </c>
      <c r="G1283" s="9">
        <v>2.0</v>
      </c>
    </row>
    <row r="1284" ht="14.25" hidden="1" customHeight="1">
      <c r="B1284" s="7" t="s">
        <v>19</v>
      </c>
      <c r="C1284" s="7" t="s">
        <v>29</v>
      </c>
      <c r="D1284" s="7" t="s">
        <v>33</v>
      </c>
      <c r="E1284" s="7" t="s">
        <v>8</v>
      </c>
      <c r="F1284" s="8">
        <v>2.0</v>
      </c>
      <c r="G1284" s="9">
        <v>2.0</v>
      </c>
    </row>
    <row r="1285" ht="14.25" hidden="1" customHeight="1">
      <c r="B1285" s="7" t="s">
        <v>19</v>
      </c>
      <c r="C1285" s="7" t="s">
        <v>7</v>
      </c>
      <c r="D1285" s="7" t="s">
        <v>33</v>
      </c>
      <c r="E1285" s="7" t="s">
        <v>8</v>
      </c>
      <c r="F1285" s="8">
        <v>2.0</v>
      </c>
      <c r="G1285" s="9">
        <v>1.0</v>
      </c>
    </row>
    <row r="1286" ht="14.25" hidden="1" customHeight="1">
      <c r="B1286" s="7" t="s">
        <v>19</v>
      </c>
      <c r="C1286" s="7" t="s">
        <v>7</v>
      </c>
      <c r="D1286" s="7" t="s">
        <v>28</v>
      </c>
      <c r="E1286" s="7" t="s">
        <v>9</v>
      </c>
      <c r="F1286" s="8">
        <v>2.0</v>
      </c>
      <c r="G1286" s="9">
        <v>1.0</v>
      </c>
    </row>
    <row r="1287" ht="14.25" hidden="1" customHeight="1">
      <c r="B1287" s="7" t="s">
        <v>19</v>
      </c>
      <c r="C1287" s="7" t="s">
        <v>7</v>
      </c>
      <c r="D1287" s="7" t="s">
        <v>28</v>
      </c>
      <c r="E1287" s="7" t="s">
        <v>8</v>
      </c>
      <c r="F1287" s="8">
        <v>2.0</v>
      </c>
      <c r="G1287" s="9">
        <v>1.0</v>
      </c>
    </row>
    <row r="1288" ht="14.25" hidden="1" customHeight="1">
      <c r="B1288" s="7" t="s">
        <v>19</v>
      </c>
      <c r="C1288" s="7" t="s">
        <v>30</v>
      </c>
      <c r="D1288" s="7" t="s">
        <v>11</v>
      </c>
      <c r="E1288" s="7" t="s">
        <v>10</v>
      </c>
      <c r="F1288" s="8">
        <v>2.0</v>
      </c>
      <c r="G1288" s="9">
        <v>1.0</v>
      </c>
    </row>
    <row r="1289" ht="14.25" hidden="1" customHeight="1">
      <c r="B1289" s="7" t="s">
        <v>19</v>
      </c>
      <c r="C1289" s="7" t="s">
        <v>7</v>
      </c>
      <c r="D1289" s="7" t="s">
        <v>11</v>
      </c>
      <c r="E1289" s="7" t="s">
        <v>8</v>
      </c>
      <c r="F1289" s="8">
        <v>2.0</v>
      </c>
      <c r="G1289" s="9">
        <v>1.0</v>
      </c>
    </row>
    <row r="1290" ht="14.25" hidden="1" customHeight="1">
      <c r="B1290" s="7" t="s">
        <v>19</v>
      </c>
      <c r="C1290" s="7" t="s">
        <v>29</v>
      </c>
      <c r="D1290" s="7" t="s">
        <v>35</v>
      </c>
      <c r="E1290" s="7" t="s">
        <v>28</v>
      </c>
      <c r="F1290" s="8">
        <v>2.0</v>
      </c>
      <c r="G1290" s="9">
        <v>2.0</v>
      </c>
    </row>
    <row r="1291" ht="14.25" hidden="1" customHeight="1">
      <c r="B1291" s="7" t="s">
        <v>19</v>
      </c>
      <c r="C1291" s="7" t="s">
        <v>7</v>
      </c>
      <c r="D1291" s="7" t="s">
        <v>34</v>
      </c>
      <c r="E1291" s="7" t="s">
        <v>33</v>
      </c>
      <c r="F1291" s="8">
        <v>2.0</v>
      </c>
      <c r="G1291" s="9">
        <v>1.0</v>
      </c>
    </row>
    <row r="1292" ht="14.25" hidden="1" customHeight="1">
      <c r="B1292" s="7" t="s">
        <v>19</v>
      </c>
      <c r="C1292" s="7" t="s">
        <v>7</v>
      </c>
      <c r="D1292" s="7" t="s">
        <v>34</v>
      </c>
      <c r="E1292" s="7" t="s">
        <v>28</v>
      </c>
      <c r="F1292" s="8">
        <v>2.0</v>
      </c>
      <c r="G1292" s="9">
        <v>1.0</v>
      </c>
    </row>
    <row r="1293" ht="14.25" hidden="1" customHeight="1">
      <c r="B1293" s="7" t="s">
        <v>19</v>
      </c>
      <c r="C1293" s="7" t="s">
        <v>7</v>
      </c>
      <c r="D1293" s="7" t="s">
        <v>34</v>
      </c>
      <c r="E1293" s="7" t="s">
        <v>32</v>
      </c>
      <c r="F1293" s="8">
        <v>2.0</v>
      </c>
      <c r="G1293" s="9">
        <v>1.0</v>
      </c>
    </row>
    <row r="1294" ht="14.25" hidden="1" customHeight="1">
      <c r="B1294" s="7" t="s">
        <v>19</v>
      </c>
      <c r="C1294" s="7" t="s">
        <v>29</v>
      </c>
      <c r="D1294" s="7" t="s">
        <v>9</v>
      </c>
      <c r="E1294" s="7" t="s">
        <v>33</v>
      </c>
      <c r="F1294" s="8">
        <v>2.0</v>
      </c>
      <c r="G1294" s="9">
        <v>2.0</v>
      </c>
    </row>
    <row r="1295" ht="14.25" hidden="1" customHeight="1">
      <c r="B1295" s="7" t="s">
        <v>19</v>
      </c>
      <c r="C1295" s="7" t="s">
        <v>29</v>
      </c>
      <c r="D1295" s="7" t="s">
        <v>9</v>
      </c>
      <c r="E1295" s="7" t="s">
        <v>33</v>
      </c>
      <c r="F1295" s="8">
        <v>2.0</v>
      </c>
      <c r="G1295" s="9">
        <v>2.0</v>
      </c>
    </row>
    <row r="1296" ht="14.25" hidden="1" customHeight="1">
      <c r="B1296" s="7" t="s">
        <v>19</v>
      </c>
      <c r="C1296" s="7" t="s">
        <v>29</v>
      </c>
      <c r="D1296" s="7" t="s">
        <v>9</v>
      </c>
      <c r="E1296" s="7" t="s">
        <v>28</v>
      </c>
      <c r="F1296" s="8">
        <v>2.0</v>
      </c>
      <c r="G1296" s="9">
        <v>2.0</v>
      </c>
    </row>
    <row r="1297" ht="14.25" hidden="1" customHeight="1">
      <c r="B1297" s="7" t="s">
        <v>19</v>
      </c>
      <c r="C1297" s="7" t="s">
        <v>30</v>
      </c>
      <c r="D1297" s="7" t="s">
        <v>9</v>
      </c>
      <c r="E1297" s="7" t="s">
        <v>28</v>
      </c>
      <c r="F1297" s="8">
        <v>2.0</v>
      </c>
      <c r="G1297" s="9">
        <v>1.0</v>
      </c>
    </row>
    <row r="1298" ht="14.25" hidden="1" customHeight="1">
      <c r="B1298" s="7" t="s">
        <v>19</v>
      </c>
      <c r="C1298" s="7" t="s">
        <v>7</v>
      </c>
      <c r="D1298" s="7" t="s">
        <v>9</v>
      </c>
      <c r="E1298" s="7" t="s">
        <v>28</v>
      </c>
      <c r="F1298" s="8">
        <v>2.0</v>
      </c>
      <c r="G1298" s="9">
        <v>1.0</v>
      </c>
    </row>
    <row r="1299" ht="14.25" hidden="1" customHeight="1">
      <c r="B1299" s="7" t="s">
        <v>19</v>
      </c>
      <c r="C1299" s="7" t="s">
        <v>7</v>
      </c>
      <c r="D1299" s="7" t="s">
        <v>9</v>
      </c>
      <c r="E1299" s="7" t="s">
        <v>10</v>
      </c>
      <c r="F1299" s="8">
        <v>2.0</v>
      </c>
      <c r="G1299" s="9">
        <v>2.0</v>
      </c>
    </row>
    <row r="1300" ht="14.25" hidden="1" customHeight="1">
      <c r="B1300" s="7" t="s">
        <v>19</v>
      </c>
      <c r="C1300" s="7" t="s">
        <v>30</v>
      </c>
      <c r="D1300" s="7" t="s">
        <v>9</v>
      </c>
      <c r="E1300" s="7" t="s">
        <v>31</v>
      </c>
      <c r="F1300" s="8">
        <v>2.0</v>
      </c>
      <c r="G1300" s="9">
        <v>1.0</v>
      </c>
    </row>
    <row r="1301" ht="14.25" hidden="1" customHeight="1">
      <c r="B1301" s="7" t="s">
        <v>19</v>
      </c>
      <c r="C1301" s="7" t="s">
        <v>7</v>
      </c>
      <c r="D1301" s="7" t="s">
        <v>9</v>
      </c>
      <c r="E1301" s="7" t="s">
        <v>8</v>
      </c>
      <c r="F1301" s="8">
        <v>2.0</v>
      </c>
      <c r="G1301" s="9">
        <v>2.0</v>
      </c>
    </row>
    <row r="1302" ht="14.25" hidden="1" customHeight="1">
      <c r="B1302" s="7" t="s">
        <v>19</v>
      </c>
      <c r="C1302" s="7" t="s">
        <v>30</v>
      </c>
      <c r="D1302" s="7" t="s">
        <v>24</v>
      </c>
      <c r="E1302" s="7" t="s">
        <v>8</v>
      </c>
      <c r="F1302" s="8">
        <v>2.0</v>
      </c>
      <c r="G1302" s="9">
        <v>1.0</v>
      </c>
    </row>
    <row r="1303" ht="14.25" hidden="1" customHeight="1">
      <c r="B1303" s="7" t="s">
        <v>19</v>
      </c>
      <c r="C1303" s="7" t="s">
        <v>7</v>
      </c>
      <c r="D1303" s="7" t="s">
        <v>10</v>
      </c>
      <c r="E1303" s="7" t="s">
        <v>28</v>
      </c>
      <c r="F1303" s="8">
        <v>2.0</v>
      </c>
      <c r="G1303" s="9">
        <v>1.0</v>
      </c>
    </row>
    <row r="1304" ht="14.25" hidden="1" customHeight="1">
      <c r="B1304" s="7" t="s">
        <v>19</v>
      </c>
      <c r="C1304" s="7" t="s">
        <v>30</v>
      </c>
      <c r="D1304" s="7" t="s">
        <v>10</v>
      </c>
      <c r="E1304" s="7" t="s">
        <v>9</v>
      </c>
      <c r="F1304" s="8">
        <v>2.0</v>
      </c>
      <c r="G1304" s="9">
        <v>1.0</v>
      </c>
    </row>
    <row r="1305" ht="14.25" hidden="1" customHeight="1">
      <c r="B1305" s="7" t="s">
        <v>19</v>
      </c>
      <c r="C1305" s="7" t="s">
        <v>30</v>
      </c>
      <c r="D1305" s="7" t="s">
        <v>10</v>
      </c>
      <c r="E1305" s="7" t="s">
        <v>24</v>
      </c>
      <c r="F1305" s="8">
        <v>2.0</v>
      </c>
      <c r="G1305" s="9">
        <v>1.0</v>
      </c>
    </row>
    <row r="1306" ht="14.25" hidden="1" customHeight="1">
      <c r="B1306" s="7" t="s">
        <v>19</v>
      </c>
      <c r="C1306" s="7" t="s">
        <v>7</v>
      </c>
      <c r="D1306" s="7" t="s">
        <v>10</v>
      </c>
      <c r="E1306" s="7" t="s">
        <v>31</v>
      </c>
      <c r="F1306" s="8">
        <v>2.0</v>
      </c>
      <c r="G1306" s="9">
        <v>1.0</v>
      </c>
    </row>
    <row r="1307" ht="14.25" hidden="1" customHeight="1">
      <c r="B1307" s="7" t="s">
        <v>19</v>
      </c>
      <c r="C1307" s="7" t="s">
        <v>7</v>
      </c>
      <c r="D1307" s="7" t="s">
        <v>32</v>
      </c>
      <c r="E1307" s="7" t="s">
        <v>9</v>
      </c>
      <c r="F1307" s="8">
        <v>2.0</v>
      </c>
      <c r="G1307" s="9">
        <v>1.0</v>
      </c>
    </row>
    <row r="1308" ht="14.25" hidden="1" customHeight="1">
      <c r="B1308" s="7" t="s">
        <v>19</v>
      </c>
      <c r="C1308" s="7" t="s">
        <v>30</v>
      </c>
      <c r="D1308" s="7" t="s">
        <v>32</v>
      </c>
      <c r="E1308" s="7" t="s">
        <v>24</v>
      </c>
      <c r="F1308" s="8">
        <v>2.0</v>
      </c>
      <c r="G1308" s="9">
        <v>1.0</v>
      </c>
    </row>
    <row r="1309" ht="14.25" hidden="1" customHeight="1">
      <c r="B1309" s="7" t="s">
        <v>19</v>
      </c>
      <c r="C1309" s="7" t="s">
        <v>29</v>
      </c>
      <c r="D1309" s="7" t="s">
        <v>32</v>
      </c>
      <c r="E1309" s="7" t="s">
        <v>10</v>
      </c>
      <c r="F1309" s="8">
        <v>2.0</v>
      </c>
      <c r="G1309" s="9">
        <v>2.0</v>
      </c>
    </row>
    <row r="1310" ht="14.25" hidden="1" customHeight="1">
      <c r="B1310" s="7" t="s">
        <v>19</v>
      </c>
      <c r="C1310" s="7" t="s">
        <v>7</v>
      </c>
      <c r="D1310" s="7" t="s">
        <v>31</v>
      </c>
      <c r="E1310" s="7" t="s">
        <v>28</v>
      </c>
      <c r="F1310" s="8">
        <v>2.0</v>
      </c>
      <c r="G1310" s="9">
        <v>2.0</v>
      </c>
    </row>
    <row r="1311" ht="14.25" hidden="1" customHeight="1">
      <c r="B1311" s="7" t="s">
        <v>19</v>
      </c>
      <c r="C1311" s="7" t="s">
        <v>30</v>
      </c>
      <c r="D1311" s="7" t="s">
        <v>31</v>
      </c>
      <c r="E1311" s="7" t="s">
        <v>28</v>
      </c>
      <c r="F1311" s="8">
        <v>2.0</v>
      </c>
      <c r="G1311" s="9">
        <v>1.0</v>
      </c>
    </row>
    <row r="1312" ht="14.25" hidden="1" customHeight="1">
      <c r="B1312" s="7" t="s">
        <v>19</v>
      </c>
      <c r="C1312" s="7" t="s">
        <v>30</v>
      </c>
      <c r="D1312" s="7" t="s">
        <v>31</v>
      </c>
      <c r="E1312" s="7" t="s">
        <v>9</v>
      </c>
      <c r="F1312" s="8">
        <v>2.0</v>
      </c>
      <c r="G1312" s="9">
        <v>1.0</v>
      </c>
    </row>
    <row r="1313" ht="14.25" hidden="1" customHeight="1">
      <c r="B1313" s="7" t="s">
        <v>19</v>
      </c>
      <c r="C1313" s="7" t="s">
        <v>7</v>
      </c>
      <c r="D1313" s="7" t="s">
        <v>31</v>
      </c>
      <c r="E1313" s="7" t="s">
        <v>10</v>
      </c>
      <c r="F1313" s="8">
        <v>2.0</v>
      </c>
      <c r="G1313" s="9">
        <v>1.0</v>
      </c>
    </row>
    <row r="1314" ht="14.25" hidden="1" customHeight="1">
      <c r="B1314" s="7" t="s">
        <v>19</v>
      </c>
      <c r="C1314" s="7" t="s">
        <v>7</v>
      </c>
      <c r="D1314" s="7" t="s">
        <v>31</v>
      </c>
      <c r="E1314" s="7" t="s">
        <v>10</v>
      </c>
      <c r="F1314" s="8">
        <v>2.0</v>
      </c>
      <c r="G1314" s="9">
        <v>1.0</v>
      </c>
    </row>
    <row r="1315" ht="14.25" hidden="1" customHeight="1">
      <c r="B1315" s="7" t="s">
        <v>19</v>
      </c>
      <c r="C1315" s="7" t="s">
        <v>29</v>
      </c>
      <c r="D1315" s="7" t="s">
        <v>31</v>
      </c>
      <c r="E1315" s="7" t="s">
        <v>31</v>
      </c>
      <c r="F1315" s="8">
        <v>2.0</v>
      </c>
      <c r="G1315" s="9">
        <v>2.0</v>
      </c>
    </row>
    <row r="1316" ht="14.25" hidden="1" customHeight="1">
      <c r="B1316" s="7" t="s">
        <v>19</v>
      </c>
      <c r="C1316" s="7" t="s">
        <v>7</v>
      </c>
      <c r="D1316" s="7" t="s">
        <v>31</v>
      </c>
      <c r="E1316" s="7" t="s">
        <v>31</v>
      </c>
      <c r="F1316" s="8">
        <v>2.0</v>
      </c>
      <c r="G1316" s="9">
        <v>1.0</v>
      </c>
    </row>
    <row r="1317" ht="14.25" hidden="1" customHeight="1">
      <c r="B1317" s="7" t="s">
        <v>19</v>
      </c>
      <c r="C1317" s="7" t="s">
        <v>30</v>
      </c>
      <c r="D1317" s="7" t="s">
        <v>31</v>
      </c>
      <c r="E1317" s="7" t="s">
        <v>8</v>
      </c>
      <c r="F1317" s="8">
        <v>2.0</v>
      </c>
      <c r="G1317" s="9">
        <v>1.0</v>
      </c>
    </row>
    <row r="1318" ht="14.25" hidden="1" customHeight="1">
      <c r="B1318" s="7" t="s">
        <v>19</v>
      </c>
      <c r="C1318" s="7" t="s">
        <v>29</v>
      </c>
      <c r="D1318" s="7" t="s">
        <v>8</v>
      </c>
      <c r="E1318" s="7" t="s">
        <v>35</v>
      </c>
      <c r="F1318" s="8">
        <v>2.0</v>
      </c>
      <c r="G1318" s="9">
        <v>2.0</v>
      </c>
    </row>
    <row r="1319" ht="14.25" hidden="1" customHeight="1">
      <c r="B1319" s="7" t="s">
        <v>19</v>
      </c>
      <c r="C1319" s="7" t="s">
        <v>7</v>
      </c>
      <c r="D1319" s="7" t="s">
        <v>8</v>
      </c>
      <c r="E1319" s="7" t="s">
        <v>9</v>
      </c>
      <c r="F1319" s="8">
        <v>2.0</v>
      </c>
      <c r="G1319" s="9">
        <v>1.0</v>
      </c>
    </row>
    <row r="1320" ht="14.25" hidden="1" customHeight="1">
      <c r="B1320" s="7" t="s">
        <v>19</v>
      </c>
      <c r="C1320" s="7" t="s">
        <v>36</v>
      </c>
      <c r="D1320" s="7" t="s">
        <v>8</v>
      </c>
      <c r="E1320" s="7" t="s">
        <v>24</v>
      </c>
      <c r="F1320" s="8">
        <v>2.0</v>
      </c>
      <c r="G1320" s="9">
        <v>2.0</v>
      </c>
    </row>
    <row r="1321" ht="14.25" hidden="1" customHeight="1">
      <c r="B1321" s="7" t="s">
        <v>19</v>
      </c>
      <c r="C1321" s="7" t="s">
        <v>29</v>
      </c>
      <c r="D1321" s="7" t="s">
        <v>8</v>
      </c>
      <c r="E1321" s="7" t="s">
        <v>10</v>
      </c>
      <c r="F1321" s="8">
        <v>2.0</v>
      </c>
      <c r="G1321" s="9">
        <v>2.0</v>
      </c>
    </row>
    <row r="1322" ht="14.25" hidden="1" customHeight="1">
      <c r="B1322" s="7" t="s">
        <v>19</v>
      </c>
      <c r="C1322" s="7" t="s">
        <v>36</v>
      </c>
      <c r="D1322" s="7" t="s">
        <v>8</v>
      </c>
      <c r="E1322" s="7" t="s">
        <v>10</v>
      </c>
      <c r="F1322" s="8">
        <v>2.0</v>
      </c>
      <c r="G1322" s="9">
        <v>2.0</v>
      </c>
    </row>
    <row r="1323" ht="14.25" hidden="1" customHeight="1">
      <c r="B1323" s="7" t="s">
        <v>19</v>
      </c>
      <c r="C1323" s="7" t="s">
        <v>7</v>
      </c>
      <c r="D1323" s="7" t="s">
        <v>8</v>
      </c>
      <c r="E1323" s="7" t="s">
        <v>10</v>
      </c>
      <c r="F1323" s="8">
        <v>2.0</v>
      </c>
      <c r="G1323" s="9">
        <v>1.0</v>
      </c>
    </row>
    <row r="1324" ht="14.25" hidden="1" customHeight="1">
      <c r="B1324" s="7" t="s">
        <v>19</v>
      </c>
      <c r="C1324" s="7" t="s">
        <v>30</v>
      </c>
      <c r="D1324" s="7" t="s">
        <v>8</v>
      </c>
      <c r="E1324" s="7" t="s">
        <v>32</v>
      </c>
      <c r="F1324" s="8">
        <v>2.0</v>
      </c>
      <c r="G1324" s="9">
        <v>1.0</v>
      </c>
    </row>
    <row r="1325" ht="14.25" customHeight="1">
      <c r="B1325" s="7" t="s">
        <v>19</v>
      </c>
      <c r="C1325" s="7" t="s">
        <v>36</v>
      </c>
      <c r="D1325" s="7" t="s">
        <v>8</v>
      </c>
      <c r="E1325" s="7" t="s">
        <v>31</v>
      </c>
      <c r="F1325" s="8">
        <v>2.0</v>
      </c>
      <c r="G1325" s="9">
        <v>2.0</v>
      </c>
    </row>
    <row r="1326" ht="14.25" hidden="1" customHeight="1">
      <c r="B1326" s="7" t="s">
        <v>19</v>
      </c>
      <c r="C1326" s="7" t="s">
        <v>36</v>
      </c>
      <c r="D1326" s="7" t="s">
        <v>25</v>
      </c>
      <c r="E1326" s="7" t="s">
        <v>33</v>
      </c>
      <c r="F1326" s="8">
        <v>1.0</v>
      </c>
      <c r="G1326" s="9">
        <v>1.0</v>
      </c>
    </row>
    <row r="1327" ht="14.25" hidden="1" customHeight="1">
      <c r="B1327" s="7" t="s">
        <v>19</v>
      </c>
      <c r="C1327" s="7" t="s">
        <v>29</v>
      </c>
      <c r="D1327" s="7" t="s">
        <v>25</v>
      </c>
      <c r="E1327" s="7" t="s">
        <v>32</v>
      </c>
      <c r="F1327" s="8">
        <v>1.0</v>
      </c>
      <c r="G1327" s="9">
        <v>1.0</v>
      </c>
    </row>
    <row r="1328" ht="14.25" hidden="1" customHeight="1">
      <c r="B1328" s="7" t="s">
        <v>19</v>
      </c>
      <c r="C1328" s="7" t="s">
        <v>36</v>
      </c>
      <c r="D1328" s="7" t="s">
        <v>33</v>
      </c>
      <c r="E1328" s="7" t="s">
        <v>28</v>
      </c>
      <c r="F1328" s="8">
        <v>1.0</v>
      </c>
      <c r="G1328" s="9">
        <v>1.0</v>
      </c>
    </row>
    <row r="1329" ht="14.25" hidden="1" customHeight="1">
      <c r="B1329" s="7" t="s">
        <v>19</v>
      </c>
      <c r="C1329" s="7" t="s">
        <v>29</v>
      </c>
      <c r="D1329" s="7" t="s">
        <v>33</v>
      </c>
      <c r="E1329" s="7" t="s">
        <v>9</v>
      </c>
      <c r="F1329" s="8">
        <v>1.0</v>
      </c>
      <c r="G1329" s="9">
        <v>1.0</v>
      </c>
    </row>
    <row r="1330" ht="14.25" hidden="1" customHeight="1">
      <c r="B1330" s="7" t="s">
        <v>19</v>
      </c>
      <c r="C1330" s="7" t="s">
        <v>29</v>
      </c>
      <c r="D1330" s="7" t="s">
        <v>28</v>
      </c>
      <c r="E1330" s="7" t="s">
        <v>35</v>
      </c>
      <c r="F1330" s="8">
        <v>1.0</v>
      </c>
      <c r="G1330" s="9">
        <v>1.0</v>
      </c>
    </row>
    <row r="1331" ht="14.25" hidden="1" customHeight="1">
      <c r="B1331" s="7" t="s">
        <v>19</v>
      </c>
      <c r="C1331" s="7" t="s">
        <v>29</v>
      </c>
      <c r="D1331" s="7" t="s">
        <v>28</v>
      </c>
      <c r="E1331" s="7" t="s">
        <v>35</v>
      </c>
      <c r="F1331" s="8">
        <v>1.0</v>
      </c>
      <c r="G1331" s="9">
        <v>1.0</v>
      </c>
    </row>
    <row r="1332" ht="14.25" hidden="1" customHeight="1">
      <c r="B1332" s="7" t="s">
        <v>19</v>
      </c>
      <c r="C1332" s="7" t="s">
        <v>36</v>
      </c>
      <c r="D1332" s="7" t="s">
        <v>11</v>
      </c>
      <c r="E1332" s="7" t="s">
        <v>8</v>
      </c>
      <c r="F1332" s="8">
        <v>1.0</v>
      </c>
      <c r="G1332" s="9">
        <v>1.0</v>
      </c>
    </row>
    <row r="1333" ht="14.25" hidden="1" customHeight="1">
      <c r="B1333" s="7" t="s">
        <v>19</v>
      </c>
      <c r="C1333" s="7" t="s">
        <v>29</v>
      </c>
      <c r="D1333" s="7" t="s">
        <v>34</v>
      </c>
      <c r="E1333" s="7" t="s">
        <v>32</v>
      </c>
      <c r="F1333" s="8">
        <v>1.0</v>
      </c>
      <c r="G1333" s="9">
        <v>1.0</v>
      </c>
    </row>
    <row r="1334" ht="14.25" hidden="1" customHeight="1">
      <c r="B1334" s="7" t="s">
        <v>19</v>
      </c>
      <c r="C1334" s="7" t="s">
        <v>36</v>
      </c>
      <c r="D1334" s="7" t="s">
        <v>9</v>
      </c>
      <c r="E1334" s="7" t="s">
        <v>28</v>
      </c>
      <c r="F1334" s="8">
        <v>1.0</v>
      </c>
      <c r="G1334" s="9">
        <v>1.0</v>
      </c>
    </row>
    <row r="1335" ht="14.25" hidden="1" customHeight="1">
      <c r="B1335" s="7" t="s">
        <v>19</v>
      </c>
      <c r="C1335" s="7" t="s">
        <v>29</v>
      </c>
      <c r="D1335" s="7" t="s">
        <v>9</v>
      </c>
      <c r="E1335" s="7" t="s">
        <v>10</v>
      </c>
      <c r="F1335" s="8">
        <v>1.0</v>
      </c>
      <c r="G1335" s="9">
        <v>1.0</v>
      </c>
    </row>
    <row r="1336" ht="14.25" hidden="1" customHeight="1">
      <c r="B1336" s="7" t="s">
        <v>19</v>
      </c>
      <c r="C1336" s="7" t="s">
        <v>29</v>
      </c>
      <c r="D1336" s="7" t="s">
        <v>10</v>
      </c>
      <c r="E1336" s="7" t="s">
        <v>25</v>
      </c>
      <c r="F1336" s="8">
        <v>1.0</v>
      </c>
      <c r="G1336" s="9">
        <v>1.0</v>
      </c>
    </row>
    <row r="1337" ht="14.25" hidden="1" customHeight="1">
      <c r="B1337" s="7" t="s">
        <v>19</v>
      </c>
      <c r="C1337" s="7" t="s">
        <v>29</v>
      </c>
      <c r="D1337" s="7" t="s">
        <v>32</v>
      </c>
      <c r="E1337" s="7" t="s">
        <v>31</v>
      </c>
      <c r="F1337" s="8">
        <v>1.0</v>
      </c>
      <c r="G1337" s="9">
        <v>1.0</v>
      </c>
    </row>
    <row r="1338" ht="14.25" hidden="1" customHeight="1">
      <c r="B1338" s="7" t="s">
        <v>19</v>
      </c>
      <c r="C1338" s="7" t="s">
        <v>29</v>
      </c>
      <c r="D1338" s="7" t="s">
        <v>31</v>
      </c>
      <c r="E1338" s="7" t="s">
        <v>25</v>
      </c>
      <c r="F1338" s="8">
        <v>1.0</v>
      </c>
      <c r="G1338" s="9">
        <v>1.0</v>
      </c>
    </row>
    <row r="1339" ht="14.25" hidden="1" customHeight="1">
      <c r="B1339" s="7" t="s">
        <v>19</v>
      </c>
      <c r="C1339" s="7" t="s">
        <v>29</v>
      </c>
      <c r="D1339" s="7" t="s">
        <v>31</v>
      </c>
      <c r="E1339" s="7" t="s">
        <v>28</v>
      </c>
      <c r="F1339" s="8">
        <v>1.0</v>
      </c>
      <c r="G1339" s="9">
        <v>1.0</v>
      </c>
    </row>
    <row r="1340" ht="14.25" hidden="1" customHeight="1">
      <c r="B1340" s="7" t="s">
        <v>19</v>
      </c>
      <c r="C1340" s="7" t="s">
        <v>29</v>
      </c>
      <c r="D1340" s="7" t="s">
        <v>31</v>
      </c>
      <c r="E1340" s="7" t="s">
        <v>9</v>
      </c>
      <c r="F1340" s="8">
        <v>1.0</v>
      </c>
      <c r="G1340" s="9">
        <v>1.0</v>
      </c>
    </row>
    <row r="1341" ht="14.25" hidden="1" customHeight="1">
      <c r="B1341" s="7" t="s">
        <v>19</v>
      </c>
      <c r="C1341" s="7" t="s">
        <v>29</v>
      </c>
      <c r="D1341" s="7" t="s">
        <v>31</v>
      </c>
      <c r="E1341" s="7" t="s">
        <v>10</v>
      </c>
      <c r="F1341" s="8">
        <v>1.0</v>
      </c>
      <c r="G1341" s="9">
        <v>1.0</v>
      </c>
    </row>
    <row r="1342" ht="14.25" hidden="1" customHeight="1">
      <c r="B1342" s="7" t="s">
        <v>19</v>
      </c>
      <c r="C1342" s="7" t="s">
        <v>29</v>
      </c>
      <c r="D1342" s="7" t="s">
        <v>31</v>
      </c>
      <c r="E1342" s="7" t="s">
        <v>8</v>
      </c>
      <c r="F1342" s="8">
        <v>1.0</v>
      </c>
      <c r="G1342" s="9">
        <v>1.0</v>
      </c>
    </row>
    <row r="1343" ht="14.25" hidden="1" customHeight="1">
      <c r="B1343" s="7" t="s">
        <v>19</v>
      </c>
      <c r="C1343" s="7" t="s">
        <v>29</v>
      </c>
      <c r="D1343" s="7" t="s">
        <v>8</v>
      </c>
      <c r="E1343" s="7" t="s">
        <v>33</v>
      </c>
      <c r="F1343" s="8">
        <v>1.0</v>
      </c>
      <c r="G1343" s="9">
        <v>1.0</v>
      </c>
    </row>
    <row r="1344" ht="14.25" hidden="1" customHeight="1">
      <c r="B1344" s="7" t="s">
        <v>19</v>
      </c>
      <c r="C1344" s="7" t="s">
        <v>36</v>
      </c>
      <c r="D1344" s="7" t="s">
        <v>8</v>
      </c>
      <c r="E1344" s="7" t="s">
        <v>28</v>
      </c>
      <c r="F1344" s="8">
        <v>1.0</v>
      </c>
      <c r="G1344" s="9">
        <v>1.0</v>
      </c>
    </row>
    <row r="1345" ht="14.25" hidden="1" customHeight="1">
      <c r="B1345" s="7" t="s">
        <v>19</v>
      </c>
      <c r="C1345" s="7" t="s">
        <v>36</v>
      </c>
      <c r="D1345" s="7" t="s">
        <v>8</v>
      </c>
      <c r="E1345" s="7" t="s">
        <v>9</v>
      </c>
      <c r="F1345" s="8">
        <v>1.0</v>
      </c>
      <c r="G1345" s="9">
        <v>1.0</v>
      </c>
    </row>
    <row r="1346" ht="14.25" hidden="1" customHeight="1">
      <c r="B1346" s="7" t="s">
        <v>12</v>
      </c>
      <c r="C1346" s="7" t="s">
        <v>7</v>
      </c>
      <c r="D1346" s="7" t="s">
        <v>25</v>
      </c>
      <c r="E1346" s="7" t="s">
        <v>8</v>
      </c>
      <c r="F1346" s="8">
        <v>4530.0</v>
      </c>
      <c r="G1346" s="9">
        <v>2265.0</v>
      </c>
    </row>
    <row r="1347" ht="14.25" hidden="1" customHeight="1">
      <c r="B1347" s="7" t="s">
        <v>12</v>
      </c>
      <c r="C1347" s="7" t="s">
        <v>7</v>
      </c>
      <c r="D1347" s="7" t="s">
        <v>25</v>
      </c>
      <c r="E1347" s="7" t="s">
        <v>8</v>
      </c>
      <c r="F1347" s="8">
        <v>4094.0</v>
      </c>
      <c r="G1347" s="9">
        <v>2047.0</v>
      </c>
    </row>
    <row r="1348" ht="14.25" hidden="1" customHeight="1">
      <c r="B1348" s="7" t="s">
        <v>12</v>
      </c>
      <c r="C1348" s="7" t="s">
        <v>7</v>
      </c>
      <c r="D1348" s="7" t="s">
        <v>8</v>
      </c>
      <c r="E1348" s="7" t="s">
        <v>24</v>
      </c>
      <c r="F1348" s="8">
        <v>4046.0</v>
      </c>
      <c r="G1348" s="9">
        <v>2023.0</v>
      </c>
    </row>
    <row r="1349" ht="14.25" hidden="1" customHeight="1">
      <c r="B1349" s="7" t="s">
        <v>12</v>
      </c>
      <c r="C1349" s="7" t="s">
        <v>29</v>
      </c>
      <c r="D1349" s="7" t="s">
        <v>11</v>
      </c>
      <c r="E1349" s="7" t="s">
        <v>10</v>
      </c>
      <c r="F1349" s="8">
        <v>3311.0</v>
      </c>
      <c r="G1349" s="9">
        <v>3311.0</v>
      </c>
    </row>
    <row r="1350" ht="14.25" hidden="1" customHeight="1">
      <c r="B1350" s="7" t="s">
        <v>12</v>
      </c>
      <c r="C1350" s="7" t="s">
        <v>7</v>
      </c>
      <c r="D1350" s="7" t="s">
        <v>8</v>
      </c>
      <c r="E1350" s="7" t="s">
        <v>9</v>
      </c>
      <c r="F1350" s="8">
        <v>3232.0</v>
      </c>
      <c r="G1350" s="9">
        <v>1616.0</v>
      </c>
    </row>
    <row r="1351" ht="14.25" hidden="1" customHeight="1">
      <c r="B1351" s="7" t="s">
        <v>12</v>
      </c>
      <c r="C1351" s="7" t="s">
        <v>7</v>
      </c>
      <c r="D1351" s="7" t="s">
        <v>9</v>
      </c>
      <c r="E1351" s="7" t="s">
        <v>25</v>
      </c>
      <c r="F1351" s="8">
        <v>2786.0</v>
      </c>
      <c r="G1351" s="9">
        <v>1393.0</v>
      </c>
    </row>
    <row r="1352" ht="14.25" hidden="1" customHeight="1">
      <c r="B1352" s="7" t="s">
        <v>12</v>
      </c>
      <c r="C1352" s="7" t="s">
        <v>7</v>
      </c>
      <c r="D1352" s="7" t="s">
        <v>8</v>
      </c>
      <c r="E1352" s="7" t="s">
        <v>25</v>
      </c>
      <c r="F1352" s="8">
        <v>2666.0</v>
      </c>
      <c r="G1352" s="9">
        <v>1333.0</v>
      </c>
    </row>
    <row r="1353" ht="14.25" hidden="1" customHeight="1">
      <c r="B1353" s="7" t="s">
        <v>12</v>
      </c>
      <c r="C1353" s="7" t="s">
        <v>7</v>
      </c>
      <c r="D1353" s="7" t="s">
        <v>8</v>
      </c>
      <c r="E1353" s="7" t="s">
        <v>28</v>
      </c>
      <c r="F1353" s="8">
        <v>2392.0</v>
      </c>
      <c r="G1353" s="9">
        <v>1196.0</v>
      </c>
    </row>
    <row r="1354" ht="14.25" hidden="1" customHeight="1">
      <c r="B1354" s="7" t="s">
        <v>12</v>
      </c>
      <c r="C1354" s="7" t="s">
        <v>7</v>
      </c>
      <c r="D1354" s="7" t="s">
        <v>10</v>
      </c>
      <c r="E1354" s="7" t="s">
        <v>11</v>
      </c>
      <c r="F1354" s="8">
        <v>2274.0</v>
      </c>
      <c r="G1354" s="9">
        <v>1137.0</v>
      </c>
    </row>
    <row r="1355" ht="14.25" hidden="1" customHeight="1">
      <c r="B1355" s="7" t="s">
        <v>12</v>
      </c>
      <c r="C1355" s="7" t="s">
        <v>7</v>
      </c>
      <c r="D1355" s="7" t="s">
        <v>8</v>
      </c>
      <c r="E1355" s="7" t="s">
        <v>11</v>
      </c>
      <c r="F1355" s="8">
        <v>2136.0</v>
      </c>
      <c r="G1355" s="9">
        <v>1068.0</v>
      </c>
    </row>
    <row r="1356" ht="14.25" customHeight="1">
      <c r="B1356" s="7" t="s">
        <v>12</v>
      </c>
      <c r="C1356" s="7" t="s">
        <v>7</v>
      </c>
      <c r="D1356" s="7" t="s">
        <v>8</v>
      </c>
      <c r="E1356" s="7" t="s">
        <v>31</v>
      </c>
      <c r="F1356" s="8">
        <v>2116.0</v>
      </c>
      <c r="G1356" s="9">
        <v>1058.0</v>
      </c>
    </row>
    <row r="1357" ht="14.25" hidden="1" customHeight="1">
      <c r="B1357" s="7" t="s">
        <v>12</v>
      </c>
      <c r="C1357" s="7" t="s">
        <v>7</v>
      </c>
      <c r="D1357" s="7" t="s">
        <v>31</v>
      </c>
      <c r="E1357" s="7" t="s">
        <v>9</v>
      </c>
      <c r="F1357" s="8">
        <v>1614.0</v>
      </c>
      <c r="G1357" s="9">
        <v>807.0</v>
      </c>
    </row>
    <row r="1358" ht="14.25" hidden="1" customHeight="1">
      <c r="B1358" s="7" t="s">
        <v>12</v>
      </c>
      <c r="C1358" s="7" t="s">
        <v>7</v>
      </c>
      <c r="D1358" s="7" t="s">
        <v>9</v>
      </c>
      <c r="E1358" s="7" t="s">
        <v>8</v>
      </c>
      <c r="F1358" s="8">
        <v>1560.0</v>
      </c>
      <c r="G1358" s="9">
        <v>780.0</v>
      </c>
    </row>
    <row r="1359" ht="14.25" hidden="1" customHeight="1">
      <c r="B1359" s="7" t="s">
        <v>12</v>
      </c>
      <c r="C1359" s="7" t="s">
        <v>7</v>
      </c>
      <c r="D1359" s="7" t="s">
        <v>31</v>
      </c>
      <c r="E1359" s="7" t="s">
        <v>25</v>
      </c>
      <c r="F1359" s="8">
        <v>1456.0</v>
      </c>
      <c r="G1359" s="9">
        <v>728.0</v>
      </c>
    </row>
    <row r="1360" ht="14.25" hidden="1" customHeight="1">
      <c r="B1360" s="7" t="s">
        <v>12</v>
      </c>
      <c r="C1360" s="7" t="s">
        <v>7</v>
      </c>
      <c r="D1360" s="7" t="s">
        <v>28</v>
      </c>
      <c r="E1360" s="7" t="s">
        <v>25</v>
      </c>
      <c r="F1360" s="8">
        <v>1284.0</v>
      </c>
      <c r="G1360" s="9">
        <v>642.0</v>
      </c>
    </row>
    <row r="1361" ht="14.25" hidden="1" customHeight="1">
      <c r="B1361" s="7" t="s">
        <v>12</v>
      </c>
      <c r="C1361" s="7" t="s">
        <v>7</v>
      </c>
      <c r="D1361" s="7" t="s">
        <v>31</v>
      </c>
      <c r="E1361" s="7" t="s">
        <v>28</v>
      </c>
      <c r="F1361" s="8">
        <v>1218.0</v>
      </c>
      <c r="G1361" s="9">
        <v>609.0</v>
      </c>
    </row>
    <row r="1362" ht="14.25" hidden="1" customHeight="1">
      <c r="B1362" s="7" t="s">
        <v>12</v>
      </c>
      <c r="C1362" s="7" t="s">
        <v>7</v>
      </c>
      <c r="D1362" s="7" t="s">
        <v>25</v>
      </c>
      <c r="E1362" s="7" t="s">
        <v>10</v>
      </c>
      <c r="F1362" s="8">
        <v>1214.0</v>
      </c>
      <c r="G1362" s="9">
        <v>607.0</v>
      </c>
    </row>
    <row r="1363" ht="14.25" hidden="1" customHeight="1">
      <c r="B1363" s="7" t="s">
        <v>12</v>
      </c>
      <c r="C1363" s="7" t="s">
        <v>7</v>
      </c>
      <c r="D1363" s="7" t="s">
        <v>31</v>
      </c>
      <c r="E1363" s="7" t="s">
        <v>9</v>
      </c>
      <c r="F1363" s="8">
        <v>1096.0</v>
      </c>
      <c r="G1363" s="9">
        <v>548.0</v>
      </c>
    </row>
    <row r="1364" ht="14.25" hidden="1" customHeight="1">
      <c r="B1364" s="7" t="s">
        <v>12</v>
      </c>
      <c r="C1364" s="7" t="s">
        <v>7</v>
      </c>
      <c r="D1364" s="7" t="s">
        <v>32</v>
      </c>
      <c r="E1364" s="7" t="s">
        <v>28</v>
      </c>
      <c r="F1364" s="8">
        <v>1072.0</v>
      </c>
      <c r="G1364" s="9">
        <v>536.0</v>
      </c>
    </row>
    <row r="1365" ht="14.25" hidden="1" customHeight="1">
      <c r="B1365" s="7" t="s">
        <v>12</v>
      </c>
      <c r="C1365" s="7" t="s">
        <v>29</v>
      </c>
      <c r="D1365" s="7" t="s">
        <v>8</v>
      </c>
      <c r="E1365" s="7" t="s">
        <v>24</v>
      </c>
      <c r="F1365" s="8">
        <v>1068.0</v>
      </c>
      <c r="G1365" s="9">
        <v>1068.0</v>
      </c>
    </row>
    <row r="1366" ht="14.25" hidden="1" customHeight="1">
      <c r="B1366" s="7" t="s">
        <v>12</v>
      </c>
      <c r="C1366" s="7" t="s">
        <v>7</v>
      </c>
      <c r="D1366" s="7" t="s">
        <v>25</v>
      </c>
      <c r="E1366" s="7" t="s">
        <v>9</v>
      </c>
      <c r="F1366" s="8">
        <v>1034.0</v>
      </c>
      <c r="G1366" s="9">
        <v>517.0</v>
      </c>
    </row>
    <row r="1367" ht="14.25" hidden="1" customHeight="1">
      <c r="B1367" s="7" t="s">
        <v>12</v>
      </c>
      <c r="C1367" s="7" t="s">
        <v>7</v>
      </c>
      <c r="D1367" s="7" t="s">
        <v>25</v>
      </c>
      <c r="E1367" s="7" t="s">
        <v>28</v>
      </c>
      <c r="F1367" s="8">
        <v>978.0</v>
      </c>
      <c r="G1367" s="9">
        <v>489.0</v>
      </c>
    </row>
    <row r="1368" ht="14.25" hidden="1" customHeight="1">
      <c r="B1368" s="7" t="s">
        <v>12</v>
      </c>
      <c r="C1368" s="7" t="s">
        <v>29</v>
      </c>
      <c r="D1368" s="7" t="s">
        <v>32</v>
      </c>
      <c r="E1368" s="7" t="s">
        <v>28</v>
      </c>
      <c r="F1368" s="8">
        <v>950.0</v>
      </c>
      <c r="G1368" s="9">
        <v>950.0</v>
      </c>
    </row>
    <row r="1369" ht="14.25" hidden="1" customHeight="1">
      <c r="B1369" s="7" t="s">
        <v>12</v>
      </c>
      <c r="C1369" s="7" t="s">
        <v>29</v>
      </c>
      <c r="D1369" s="7" t="s">
        <v>31</v>
      </c>
      <c r="E1369" s="7" t="s">
        <v>28</v>
      </c>
      <c r="F1369" s="8">
        <v>936.0</v>
      </c>
      <c r="G1369" s="9">
        <v>936.0</v>
      </c>
    </row>
    <row r="1370" ht="14.25" customHeight="1">
      <c r="B1370" s="7" t="s">
        <v>12</v>
      </c>
      <c r="C1370" s="7" t="s">
        <v>7</v>
      </c>
      <c r="D1370" s="7" t="s">
        <v>8</v>
      </c>
      <c r="E1370" s="7" t="s">
        <v>31</v>
      </c>
      <c r="F1370" s="8">
        <v>918.0</v>
      </c>
      <c r="G1370" s="9">
        <v>459.0</v>
      </c>
    </row>
    <row r="1371" ht="14.25" hidden="1" customHeight="1">
      <c r="B1371" s="7" t="s">
        <v>12</v>
      </c>
      <c r="C1371" s="7" t="s">
        <v>29</v>
      </c>
      <c r="D1371" s="7" t="s">
        <v>10</v>
      </c>
      <c r="E1371" s="7" t="s">
        <v>11</v>
      </c>
      <c r="F1371" s="8">
        <v>888.0</v>
      </c>
      <c r="G1371" s="9">
        <v>888.0</v>
      </c>
    </row>
    <row r="1372" ht="14.25" hidden="1" customHeight="1">
      <c r="B1372" s="7" t="s">
        <v>12</v>
      </c>
      <c r="C1372" s="7" t="s">
        <v>7</v>
      </c>
      <c r="D1372" s="7" t="s">
        <v>25</v>
      </c>
      <c r="E1372" s="7" t="s">
        <v>31</v>
      </c>
      <c r="F1372" s="8">
        <v>882.0</v>
      </c>
      <c r="G1372" s="9">
        <v>441.0</v>
      </c>
    </row>
    <row r="1373" ht="14.25" hidden="1" customHeight="1">
      <c r="B1373" s="7" t="s">
        <v>12</v>
      </c>
      <c r="C1373" s="7" t="s">
        <v>29</v>
      </c>
      <c r="D1373" s="7" t="s">
        <v>9</v>
      </c>
      <c r="E1373" s="7" t="s">
        <v>8</v>
      </c>
      <c r="F1373" s="8">
        <v>877.0</v>
      </c>
      <c r="G1373" s="9">
        <v>877.0</v>
      </c>
    </row>
    <row r="1374" ht="14.25" hidden="1" customHeight="1">
      <c r="B1374" s="7" t="s">
        <v>12</v>
      </c>
      <c r="C1374" s="7" t="s">
        <v>7</v>
      </c>
      <c r="D1374" s="7" t="s">
        <v>33</v>
      </c>
      <c r="E1374" s="7" t="s">
        <v>10</v>
      </c>
      <c r="F1374" s="8">
        <v>834.0</v>
      </c>
      <c r="G1374" s="9">
        <v>417.0</v>
      </c>
    </row>
    <row r="1375" ht="14.25" hidden="1" customHeight="1">
      <c r="B1375" s="7" t="s">
        <v>12</v>
      </c>
      <c r="C1375" s="7" t="s">
        <v>7</v>
      </c>
      <c r="D1375" s="7" t="s">
        <v>8</v>
      </c>
      <c r="E1375" s="7" t="s">
        <v>10</v>
      </c>
      <c r="F1375" s="8">
        <v>826.0</v>
      </c>
      <c r="G1375" s="9">
        <v>413.0</v>
      </c>
    </row>
    <row r="1376" ht="14.25" hidden="1" customHeight="1">
      <c r="B1376" s="7" t="s">
        <v>12</v>
      </c>
      <c r="C1376" s="7" t="s">
        <v>30</v>
      </c>
      <c r="D1376" s="7" t="s">
        <v>31</v>
      </c>
      <c r="E1376" s="7" t="s">
        <v>25</v>
      </c>
      <c r="F1376" s="8">
        <v>810.0</v>
      </c>
      <c r="G1376" s="9">
        <v>405.0</v>
      </c>
    </row>
    <row r="1377" ht="14.25" hidden="1" customHeight="1">
      <c r="B1377" s="7" t="s">
        <v>12</v>
      </c>
      <c r="C1377" s="7" t="s">
        <v>7</v>
      </c>
      <c r="D1377" s="7" t="s">
        <v>9</v>
      </c>
      <c r="E1377" s="7" t="s">
        <v>31</v>
      </c>
      <c r="F1377" s="8">
        <v>776.0</v>
      </c>
      <c r="G1377" s="9">
        <v>388.0</v>
      </c>
    </row>
    <row r="1378" ht="14.25" hidden="1" customHeight="1">
      <c r="B1378" s="7" t="s">
        <v>12</v>
      </c>
      <c r="C1378" s="7" t="s">
        <v>7</v>
      </c>
      <c r="D1378" s="7" t="s">
        <v>33</v>
      </c>
      <c r="E1378" s="7" t="s">
        <v>8</v>
      </c>
      <c r="F1378" s="8">
        <v>736.0</v>
      </c>
      <c r="G1378" s="9">
        <v>368.0</v>
      </c>
    </row>
    <row r="1379" ht="14.25" hidden="1" customHeight="1">
      <c r="B1379" s="7" t="s">
        <v>12</v>
      </c>
      <c r="C1379" s="7" t="s">
        <v>29</v>
      </c>
      <c r="D1379" s="7" t="s">
        <v>31</v>
      </c>
      <c r="E1379" s="7" t="s">
        <v>9</v>
      </c>
      <c r="F1379" s="8">
        <v>722.0</v>
      </c>
      <c r="G1379" s="9">
        <v>722.0</v>
      </c>
    </row>
    <row r="1380" ht="14.25" hidden="1" customHeight="1">
      <c r="B1380" s="7" t="s">
        <v>12</v>
      </c>
      <c r="C1380" s="7" t="s">
        <v>7</v>
      </c>
      <c r="D1380" s="7" t="s">
        <v>11</v>
      </c>
      <c r="E1380" s="7" t="s">
        <v>10</v>
      </c>
      <c r="F1380" s="8">
        <v>716.0</v>
      </c>
      <c r="G1380" s="9">
        <v>358.0</v>
      </c>
    </row>
    <row r="1381" ht="14.25" hidden="1" customHeight="1">
      <c r="B1381" s="7" t="s">
        <v>12</v>
      </c>
      <c r="C1381" s="7" t="s">
        <v>7</v>
      </c>
      <c r="D1381" s="7" t="s">
        <v>10</v>
      </c>
      <c r="E1381" s="7" t="s">
        <v>33</v>
      </c>
      <c r="F1381" s="8">
        <v>690.0</v>
      </c>
      <c r="G1381" s="9">
        <v>345.0</v>
      </c>
    </row>
    <row r="1382" ht="14.25" hidden="1" customHeight="1">
      <c r="B1382" s="7" t="s">
        <v>12</v>
      </c>
      <c r="C1382" s="7" t="s">
        <v>7</v>
      </c>
      <c r="D1382" s="7" t="s">
        <v>32</v>
      </c>
      <c r="E1382" s="7" t="s">
        <v>33</v>
      </c>
      <c r="F1382" s="8">
        <v>686.0</v>
      </c>
      <c r="G1382" s="9">
        <v>343.0</v>
      </c>
    </row>
    <row r="1383" ht="14.25" hidden="1" customHeight="1">
      <c r="B1383" s="7" t="s">
        <v>12</v>
      </c>
      <c r="C1383" s="7" t="s">
        <v>7</v>
      </c>
      <c r="D1383" s="7" t="s">
        <v>8</v>
      </c>
      <c r="E1383" s="7" t="s">
        <v>33</v>
      </c>
      <c r="F1383" s="8">
        <v>666.0</v>
      </c>
      <c r="G1383" s="9">
        <v>333.0</v>
      </c>
    </row>
    <row r="1384" ht="14.25" hidden="1" customHeight="1">
      <c r="B1384" s="7" t="s">
        <v>12</v>
      </c>
      <c r="C1384" s="7" t="s">
        <v>30</v>
      </c>
      <c r="D1384" s="7" t="s">
        <v>8</v>
      </c>
      <c r="E1384" s="7" t="s">
        <v>24</v>
      </c>
      <c r="F1384" s="8">
        <v>626.0</v>
      </c>
      <c r="G1384" s="9">
        <v>313.0</v>
      </c>
    </row>
    <row r="1385" ht="14.25" hidden="1" customHeight="1">
      <c r="B1385" s="7" t="s">
        <v>12</v>
      </c>
      <c r="C1385" s="7" t="s">
        <v>7</v>
      </c>
      <c r="D1385" s="7" t="s">
        <v>31</v>
      </c>
      <c r="E1385" s="7" t="s">
        <v>24</v>
      </c>
      <c r="F1385" s="8">
        <v>622.0</v>
      </c>
      <c r="G1385" s="9">
        <v>311.0</v>
      </c>
    </row>
    <row r="1386" ht="14.25" hidden="1" customHeight="1">
      <c r="B1386" s="7" t="s">
        <v>12</v>
      </c>
      <c r="C1386" s="7" t="s">
        <v>30</v>
      </c>
      <c r="D1386" s="7" t="s">
        <v>31</v>
      </c>
      <c r="E1386" s="7" t="s">
        <v>9</v>
      </c>
      <c r="F1386" s="8">
        <v>616.0</v>
      </c>
      <c r="G1386" s="9">
        <v>308.0</v>
      </c>
    </row>
    <row r="1387" ht="14.25" hidden="1" customHeight="1">
      <c r="B1387" s="7" t="s">
        <v>12</v>
      </c>
      <c r="C1387" s="7" t="s">
        <v>7</v>
      </c>
      <c r="D1387" s="7" t="s">
        <v>8</v>
      </c>
      <c r="E1387" s="7" t="s">
        <v>28</v>
      </c>
      <c r="F1387" s="8">
        <v>614.0</v>
      </c>
      <c r="G1387" s="9">
        <v>307.0</v>
      </c>
    </row>
    <row r="1388" ht="14.25" hidden="1" customHeight="1">
      <c r="B1388" s="7" t="s">
        <v>12</v>
      </c>
      <c r="C1388" s="7" t="s">
        <v>29</v>
      </c>
      <c r="D1388" s="7" t="s">
        <v>32</v>
      </c>
      <c r="E1388" s="7" t="s">
        <v>9</v>
      </c>
      <c r="F1388" s="8">
        <v>586.0</v>
      </c>
      <c r="G1388" s="9">
        <v>586.0</v>
      </c>
    </row>
    <row r="1389" ht="14.25" hidden="1" customHeight="1">
      <c r="B1389" s="7" t="s">
        <v>12</v>
      </c>
      <c r="C1389" s="7" t="s">
        <v>7</v>
      </c>
      <c r="D1389" s="7" t="s">
        <v>10</v>
      </c>
      <c r="E1389" s="7" t="s">
        <v>9</v>
      </c>
      <c r="F1389" s="8">
        <v>550.0</v>
      </c>
      <c r="G1389" s="9">
        <v>275.0</v>
      </c>
    </row>
    <row r="1390" ht="14.25" hidden="1" customHeight="1">
      <c r="B1390" s="7" t="s">
        <v>12</v>
      </c>
      <c r="C1390" s="7" t="s">
        <v>7</v>
      </c>
      <c r="D1390" s="7" t="s">
        <v>9</v>
      </c>
      <c r="E1390" s="7" t="s">
        <v>8</v>
      </c>
      <c r="F1390" s="8">
        <v>534.0</v>
      </c>
      <c r="G1390" s="9">
        <v>267.0</v>
      </c>
    </row>
    <row r="1391" ht="14.25" customHeight="1">
      <c r="B1391" s="7" t="s">
        <v>12</v>
      </c>
      <c r="C1391" s="7" t="s">
        <v>7</v>
      </c>
      <c r="D1391" s="7" t="s">
        <v>8</v>
      </c>
      <c r="E1391" s="7" t="s">
        <v>31</v>
      </c>
      <c r="F1391" s="8">
        <v>530.0</v>
      </c>
      <c r="G1391" s="9">
        <v>265.0</v>
      </c>
    </row>
    <row r="1392" ht="14.25" hidden="1" customHeight="1">
      <c r="B1392" s="7" t="s">
        <v>12</v>
      </c>
      <c r="C1392" s="7" t="s">
        <v>7</v>
      </c>
      <c r="D1392" s="7" t="s">
        <v>31</v>
      </c>
      <c r="E1392" s="7" t="s">
        <v>28</v>
      </c>
      <c r="F1392" s="8">
        <v>524.0</v>
      </c>
      <c r="G1392" s="9">
        <v>262.0</v>
      </c>
    </row>
    <row r="1393" ht="14.25" hidden="1" customHeight="1">
      <c r="B1393" s="7" t="s">
        <v>12</v>
      </c>
      <c r="C1393" s="7" t="s">
        <v>7</v>
      </c>
      <c r="D1393" s="7" t="s">
        <v>28</v>
      </c>
      <c r="E1393" s="7" t="s">
        <v>9</v>
      </c>
      <c r="F1393" s="8">
        <v>486.0</v>
      </c>
      <c r="G1393" s="9">
        <v>243.0</v>
      </c>
    </row>
    <row r="1394" ht="14.25" hidden="1" customHeight="1">
      <c r="B1394" s="7" t="s">
        <v>12</v>
      </c>
      <c r="C1394" s="7" t="s">
        <v>7</v>
      </c>
      <c r="D1394" s="7" t="s">
        <v>9</v>
      </c>
      <c r="E1394" s="7" t="s">
        <v>28</v>
      </c>
      <c r="F1394" s="8">
        <v>468.0</v>
      </c>
      <c r="G1394" s="9">
        <v>234.0</v>
      </c>
    </row>
    <row r="1395" ht="14.25" hidden="1" customHeight="1">
      <c r="B1395" s="7" t="s">
        <v>12</v>
      </c>
      <c r="C1395" s="7" t="s">
        <v>7</v>
      </c>
      <c r="D1395" s="7" t="s">
        <v>8</v>
      </c>
      <c r="E1395" s="7" t="s">
        <v>9</v>
      </c>
      <c r="F1395" s="8">
        <v>464.0</v>
      </c>
      <c r="G1395" s="9">
        <v>232.0</v>
      </c>
    </row>
    <row r="1396" ht="14.25" hidden="1" customHeight="1">
      <c r="B1396" s="7" t="s">
        <v>12</v>
      </c>
      <c r="C1396" s="7" t="s">
        <v>29</v>
      </c>
      <c r="D1396" s="7" t="s">
        <v>8</v>
      </c>
      <c r="E1396" s="7" t="s">
        <v>28</v>
      </c>
      <c r="F1396" s="8">
        <v>458.0</v>
      </c>
      <c r="G1396" s="9">
        <v>458.0</v>
      </c>
    </row>
    <row r="1397" ht="14.25" hidden="1" customHeight="1">
      <c r="B1397" s="7" t="s">
        <v>12</v>
      </c>
      <c r="C1397" s="7" t="s">
        <v>7</v>
      </c>
      <c r="D1397" s="7" t="s">
        <v>32</v>
      </c>
      <c r="E1397" s="7" t="s">
        <v>9</v>
      </c>
      <c r="F1397" s="8">
        <v>456.0</v>
      </c>
      <c r="G1397" s="9">
        <v>228.0</v>
      </c>
    </row>
    <row r="1398" ht="14.25" hidden="1" customHeight="1">
      <c r="B1398" s="7" t="s">
        <v>12</v>
      </c>
      <c r="C1398" s="7" t="s">
        <v>29</v>
      </c>
      <c r="D1398" s="7" t="s">
        <v>8</v>
      </c>
      <c r="E1398" s="7" t="s">
        <v>9</v>
      </c>
      <c r="F1398" s="8">
        <v>436.0</v>
      </c>
      <c r="G1398" s="9">
        <v>436.0</v>
      </c>
    </row>
    <row r="1399" ht="14.25" hidden="1" customHeight="1">
      <c r="B1399" s="7" t="s">
        <v>12</v>
      </c>
      <c r="C1399" s="7" t="s">
        <v>29</v>
      </c>
      <c r="D1399" s="7" t="s">
        <v>32</v>
      </c>
      <c r="E1399" s="7" t="s">
        <v>33</v>
      </c>
      <c r="F1399" s="8">
        <v>428.0</v>
      </c>
      <c r="G1399" s="9">
        <v>428.0</v>
      </c>
    </row>
    <row r="1400" ht="14.25" hidden="1" customHeight="1">
      <c r="B1400" s="7" t="s">
        <v>12</v>
      </c>
      <c r="C1400" s="7" t="s">
        <v>7</v>
      </c>
      <c r="D1400" s="7" t="s">
        <v>33</v>
      </c>
      <c r="E1400" s="7" t="s">
        <v>8</v>
      </c>
      <c r="F1400" s="8">
        <v>422.0</v>
      </c>
      <c r="G1400" s="9">
        <v>211.0</v>
      </c>
    </row>
    <row r="1401" ht="14.25" hidden="1" customHeight="1">
      <c r="B1401" s="7" t="s">
        <v>12</v>
      </c>
      <c r="C1401" s="7" t="s">
        <v>7</v>
      </c>
      <c r="D1401" s="7" t="s">
        <v>9</v>
      </c>
      <c r="E1401" s="7" t="s">
        <v>10</v>
      </c>
      <c r="F1401" s="8">
        <v>420.0</v>
      </c>
      <c r="G1401" s="9">
        <v>210.0</v>
      </c>
    </row>
    <row r="1402" ht="14.25" hidden="1" customHeight="1">
      <c r="B1402" s="7" t="s">
        <v>12</v>
      </c>
      <c r="C1402" s="7" t="s">
        <v>7</v>
      </c>
      <c r="D1402" s="7" t="s">
        <v>33</v>
      </c>
      <c r="E1402" s="7" t="s">
        <v>31</v>
      </c>
      <c r="F1402" s="8">
        <v>418.0</v>
      </c>
      <c r="G1402" s="9">
        <v>209.0</v>
      </c>
    </row>
    <row r="1403" ht="14.25" hidden="1" customHeight="1">
      <c r="B1403" s="7" t="s">
        <v>12</v>
      </c>
      <c r="C1403" s="7" t="s">
        <v>7</v>
      </c>
      <c r="D1403" s="7" t="s">
        <v>33</v>
      </c>
      <c r="E1403" s="7" t="s">
        <v>25</v>
      </c>
      <c r="F1403" s="8">
        <v>416.0</v>
      </c>
      <c r="G1403" s="9">
        <v>208.0</v>
      </c>
    </row>
    <row r="1404" ht="14.25" hidden="1" customHeight="1">
      <c r="B1404" s="7" t="s">
        <v>12</v>
      </c>
      <c r="C1404" s="7" t="s">
        <v>7</v>
      </c>
      <c r="D1404" s="7" t="s">
        <v>10</v>
      </c>
      <c r="E1404" s="7" t="s">
        <v>25</v>
      </c>
      <c r="F1404" s="8">
        <v>416.0</v>
      </c>
      <c r="G1404" s="9">
        <v>208.0</v>
      </c>
    </row>
    <row r="1405" ht="14.25" hidden="1" customHeight="1">
      <c r="B1405" s="7" t="s">
        <v>12</v>
      </c>
      <c r="C1405" s="7" t="s">
        <v>7</v>
      </c>
      <c r="D1405" s="7" t="s">
        <v>28</v>
      </c>
      <c r="E1405" s="7" t="s">
        <v>8</v>
      </c>
      <c r="F1405" s="8">
        <v>412.0</v>
      </c>
      <c r="G1405" s="9">
        <v>206.0</v>
      </c>
    </row>
    <row r="1406" ht="14.25" hidden="1" customHeight="1">
      <c r="B1406" s="7" t="s">
        <v>12</v>
      </c>
      <c r="C1406" s="7" t="s">
        <v>29</v>
      </c>
      <c r="D1406" s="7" t="s">
        <v>8</v>
      </c>
      <c r="E1406" s="7" t="s">
        <v>11</v>
      </c>
      <c r="F1406" s="8">
        <v>403.0</v>
      </c>
      <c r="G1406" s="9">
        <v>403.0</v>
      </c>
    </row>
    <row r="1407" ht="14.25" hidden="1" customHeight="1">
      <c r="B1407" s="7" t="s">
        <v>12</v>
      </c>
      <c r="C1407" s="7" t="s">
        <v>7</v>
      </c>
      <c r="D1407" s="7" t="s">
        <v>25</v>
      </c>
      <c r="E1407" s="7" t="s">
        <v>33</v>
      </c>
      <c r="F1407" s="8">
        <v>384.0</v>
      </c>
      <c r="G1407" s="9">
        <v>192.0</v>
      </c>
    </row>
    <row r="1408" ht="14.25" hidden="1" customHeight="1">
      <c r="B1408" s="7" t="s">
        <v>12</v>
      </c>
      <c r="C1408" s="7" t="s">
        <v>29</v>
      </c>
      <c r="D1408" s="7" t="s">
        <v>28</v>
      </c>
      <c r="E1408" s="7" t="s">
        <v>8</v>
      </c>
      <c r="F1408" s="8">
        <v>380.0</v>
      </c>
      <c r="G1408" s="9">
        <v>380.0</v>
      </c>
    </row>
    <row r="1409" ht="14.25" hidden="1" customHeight="1">
      <c r="B1409" s="7" t="s">
        <v>12</v>
      </c>
      <c r="C1409" s="7" t="s">
        <v>29</v>
      </c>
      <c r="D1409" s="7" t="s">
        <v>34</v>
      </c>
      <c r="E1409" s="7" t="s">
        <v>8</v>
      </c>
      <c r="F1409" s="8">
        <v>358.0</v>
      </c>
      <c r="G1409" s="9">
        <v>358.0</v>
      </c>
    </row>
    <row r="1410" ht="14.25" hidden="1" customHeight="1">
      <c r="B1410" s="7" t="s">
        <v>12</v>
      </c>
      <c r="C1410" s="7" t="s">
        <v>7</v>
      </c>
      <c r="D1410" s="7" t="s">
        <v>31</v>
      </c>
      <c r="E1410" s="7" t="s">
        <v>33</v>
      </c>
      <c r="F1410" s="8">
        <v>358.0</v>
      </c>
      <c r="G1410" s="9">
        <v>179.0</v>
      </c>
    </row>
    <row r="1411" ht="14.25" hidden="1" customHeight="1">
      <c r="B1411" s="7" t="s">
        <v>12</v>
      </c>
      <c r="C1411" s="7" t="s">
        <v>30</v>
      </c>
      <c r="D1411" s="7" t="s">
        <v>31</v>
      </c>
      <c r="E1411" s="7" t="s">
        <v>28</v>
      </c>
      <c r="F1411" s="8">
        <v>340.0</v>
      </c>
      <c r="G1411" s="9">
        <v>170.0</v>
      </c>
    </row>
    <row r="1412" ht="14.25" hidden="1" customHeight="1">
      <c r="B1412" s="7" t="s">
        <v>12</v>
      </c>
      <c r="C1412" s="7" t="s">
        <v>29</v>
      </c>
      <c r="D1412" s="7" t="s">
        <v>34</v>
      </c>
      <c r="E1412" s="7" t="s">
        <v>28</v>
      </c>
      <c r="F1412" s="8">
        <v>338.0</v>
      </c>
      <c r="G1412" s="9">
        <v>338.0</v>
      </c>
    </row>
    <row r="1413" ht="14.25" hidden="1" customHeight="1">
      <c r="B1413" s="7" t="s">
        <v>12</v>
      </c>
      <c r="C1413" s="7" t="s">
        <v>7</v>
      </c>
      <c r="D1413" s="7" t="s">
        <v>32</v>
      </c>
      <c r="E1413" s="7" t="s">
        <v>25</v>
      </c>
      <c r="F1413" s="8">
        <v>326.0</v>
      </c>
      <c r="G1413" s="9">
        <v>163.0</v>
      </c>
    </row>
    <row r="1414" ht="14.25" hidden="1" customHeight="1">
      <c r="B1414" s="7" t="s">
        <v>12</v>
      </c>
      <c r="C1414" s="7" t="s">
        <v>30</v>
      </c>
      <c r="D1414" s="7" t="s">
        <v>8</v>
      </c>
      <c r="E1414" s="7" t="s">
        <v>28</v>
      </c>
      <c r="F1414" s="8">
        <v>324.0</v>
      </c>
      <c r="G1414" s="9">
        <v>162.0</v>
      </c>
    </row>
    <row r="1415" ht="14.25" hidden="1" customHeight="1">
      <c r="B1415" s="7" t="s">
        <v>12</v>
      </c>
      <c r="C1415" s="7" t="s">
        <v>29</v>
      </c>
      <c r="D1415" s="7" t="s">
        <v>33</v>
      </c>
      <c r="E1415" s="7" t="s">
        <v>8</v>
      </c>
      <c r="F1415" s="8">
        <v>321.0</v>
      </c>
      <c r="G1415" s="9">
        <v>321.0</v>
      </c>
    </row>
    <row r="1416" ht="14.25" hidden="1" customHeight="1">
      <c r="B1416" s="7" t="s">
        <v>12</v>
      </c>
      <c r="C1416" s="7" t="s">
        <v>7</v>
      </c>
      <c r="D1416" s="7" t="s">
        <v>8</v>
      </c>
      <c r="E1416" s="7" t="s">
        <v>10</v>
      </c>
      <c r="F1416" s="8">
        <v>320.0</v>
      </c>
      <c r="G1416" s="9">
        <v>160.0</v>
      </c>
    </row>
    <row r="1417" ht="14.25" hidden="1" customHeight="1">
      <c r="B1417" s="7" t="s">
        <v>12</v>
      </c>
      <c r="C1417" s="7" t="s">
        <v>7</v>
      </c>
      <c r="D1417" s="7" t="s">
        <v>28</v>
      </c>
      <c r="E1417" s="7" t="s">
        <v>8</v>
      </c>
      <c r="F1417" s="8">
        <v>314.0</v>
      </c>
      <c r="G1417" s="9">
        <v>157.0</v>
      </c>
    </row>
    <row r="1418" ht="14.25" customHeight="1">
      <c r="B1418" s="7" t="s">
        <v>12</v>
      </c>
      <c r="C1418" s="7" t="s">
        <v>29</v>
      </c>
      <c r="D1418" s="7" t="s">
        <v>8</v>
      </c>
      <c r="E1418" s="7" t="s">
        <v>31</v>
      </c>
      <c r="F1418" s="8">
        <v>309.0</v>
      </c>
      <c r="G1418" s="9">
        <v>309.0</v>
      </c>
    </row>
    <row r="1419" ht="14.25" hidden="1" customHeight="1">
      <c r="B1419" s="7" t="s">
        <v>12</v>
      </c>
      <c r="C1419" s="7" t="s">
        <v>29</v>
      </c>
      <c r="D1419" s="7" t="s">
        <v>9</v>
      </c>
      <c r="E1419" s="7" t="s">
        <v>10</v>
      </c>
      <c r="F1419" s="8">
        <v>296.0</v>
      </c>
      <c r="G1419" s="9">
        <v>296.0</v>
      </c>
    </row>
    <row r="1420" ht="14.25" hidden="1" customHeight="1">
      <c r="B1420" s="7" t="s">
        <v>12</v>
      </c>
      <c r="C1420" s="7" t="s">
        <v>29</v>
      </c>
      <c r="D1420" s="7" t="s">
        <v>28</v>
      </c>
      <c r="E1420" s="7" t="s">
        <v>31</v>
      </c>
      <c r="F1420" s="8">
        <v>281.0</v>
      </c>
      <c r="G1420" s="9">
        <v>281.0</v>
      </c>
    </row>
    <row r="1421" ht="14.25" hidden="1" customHeight="1">
      <c r="B1421" s="7" t="s">
        <v>12</v>
      </c>
      <c r="C1421" s="7" t="s">
        <v>7</v>
      </c>
      <c r="D1421" s="7" t="s">
        <v>32</v>
      </c>
      <c r="E1421" s="7" t="s">
        <v>28</v>
      </c>
      <c r="F1421" s="8">
        <v>272.0</v>
      </c>
      <c r="G1421" s="9">
        <v>136.0</v>
      </c>
    </row>
    <row r="1422" ht="14.25" customHeight="1">
      <c r="B1422" s="7" t="s">
        <v>12</v>
      </c>
      <c r="C1422" s="7" t="s">
        <v>30</v>
      </c>
      <c r="D1422" s="7" t="s">
        <v>8</v>
      </c>
      <c r="E1422" s="7" t="s">
        <v>31</v>
      </c>
      <c r="F1422" s="8">
        <v>264.0</v>
      </c>
      <c r="G1422" s="9">
        <v>132.0</v>
      </c>
    </row>
    <row r="1423" ht="14.25" hidden="1" customHeight="1">
      <c r="B1423" s="7" t="s">
        <v>12</v>
      </c>
      <c r="C1423" s="7" t="s">
        <v>30</v>
      </c>
      <c r="D1423" s="7" t="s">
        <v>8</v>
      </c>
      <c r="E1423" s="7" t="s">
        <v>25</v>
      </c>
      <c r="F1423" s="8">
        <v>262.0</v>
      </c>
      <c r="G1423" s="9">
        <v>131.0</v>
      </c>
    </row>
    <row r="1424" ht="14.25" hidden="1" customHeight="1">
      <c r="B1424" s="7" t="s">
        <v>12</v>
      </c>
      <c r="C1424" s="7" t="s">
        <v>30</v>
      </c>
      <c r="D1424" s="7" t="s">
        <v>32</v>
      </c>
      <c r="E1424" s="7" t="s">
        <v>31</v>
      </c>
      <c r="F1424" s="8">
        <v>260.0</v>
      </c>
      <c r="G1424" s="9">
        <v>130.0</v>
      </c>
    </row>
    <row r="1425" ht="14.25" hidden="1" customHeight="1">
      <c r="B1425" s="7" t="s">
        <v>12</v>
      </c>
      <c r="C1425" s="7" t="s">
        <v>30</v>
      </c>
      <c r="D1425" s="7" t="s">
        <v>8</v>
      </c>
      <c r="E1425" s="7" t="s">
        <v>9</v>
      </c>
      <c r="F1425" s="8">
        <v>242.0</v>
      </c>
      <c r="G1425" s="9">
        <v>121.0</v>
      </c>
    </row>
    <row r="1426" ht="14.25" hidden="1" customHeight="1">
      <c r="B1426" s="7" t="s">
        <v>12</v>
      </c>
      <c r="C1426" s="7" t="s">
        <v>29</v>
      </c>
      <c r="D1426" s="7" t="s">
        <v>31</v>
      </c>
      <c r="E1426" s="7" t="s">
        <v>33</v>
      </c>
      <c r="F1426" s="8">
        <v>236.0</v>
      </c>
      <c r="G1426" s="9">
        <v>236.0</v>
      </c>
    </row>
    <row r="1427" ht="14.25" hidden="1" customHeight="1">
      <c r="B1427" s="7" t="s">
        <v>12</v>
      </c>
      <c r="C1427" s="7" t="s">
        <v>7</v>
      </c>
      <c r="D1427" s="7" t="s">
        <v>9</v>
      </c>
      <c r="E1427" s="7" t="s">
        <v>25</v>
      </c>
      <c r="F1427" s="8">
        <v>230.0</v>
      </c>
      <c r="G1427" s="9">
        <v>115.0</v>
      </c>
    </row>
    <row r="1428" ht="14.25" hidden="1" customHeight="1">
      <c r="B1428" s="7" t="s">
        <v>12</v>
      </c>
      <c r="C1428" s="7" t="s">
        <v>7</v>
      </c>
      <c r="D1428" s="7" t="s">
        <v>10</v>
      </c>
      <c r="E1428" s="7" t="s">
        <v>8</v>
      </c>
      <c r="F1428" s="8">
        <v>226.0</v>
      </c>
      <c r="G1428" s="9">
        <v>113.0</v>
      </c>
    </row>
    <row r="1429" ht="14.25" hidden="1" customHeight="1">
      <c r="B1429" s="7" t="s">
        <v>12</v>
      </c>
      <c r="C1429" s="7" t="s">
        <v>29</v>
      </c>
      <c r="D1429" s="7" t="s">
        <v>8</v>
      </c>
      <c r="E1429" s="7" t="s">
        <v>10</v>
      </c>
      <c r="F1429" s="8">
        <v>225.0</v>
      </c>
      <c r="G1429" s="9">
        <v>225.0</v>
      </c>
    </row>
    <row r="1430" ht="14.25" hidden="1" customHeight="1">
      <c r="B1430" s="7" t="s">
        <v>12</v>
      </c>
      <c r="C1430" s="7" t="s">
        <v>29</v>
      </c>
      <c r="D1430" s="7" t="s">
        <v>33</v>
      </c>
      <c r="E1430" s="7" t="s">
        <v>8</v>
      </c>
      <c r="F1430" s="8">
        <v>222.0</v>
      </c>
      <c r="G1430" s="9">
        <v>222.0</v>
      </c>
    </row>
    <row r="1431" ht="14.25" hidden="1" customHeight="1">
      <c r="B1431" s="7" t="s">
        <v>12</v>
      </c>
      <c r="C1431" s="7" t="s">
        <v>29</v>
      </c>
      <c r="D1431" s="7" t="s">
        <v>31</v>
      </c>
      <c r="E1431" s="7" t="s">
        <v>24</v>
      </c>
      <c r="F1431" s="8">
        <v>219.0</v>
      </c>
      <c r="G1431" s="9">
        <v>219.0</v>
      </c>
    </row>
    <row r="1432" ht="14.25" hidden="1" customHeight="1">
      <c r="B1432" s="7" t="s">
        <v>12</v>
      </c>
      <c r="C1432" s="7" t="s">
        <v>7</v>
      </c>
      <c r="D1432" s="7" t="s">
        <v>25</v>
      </c>
      <c r="E1432" s="7" t="s">
        <v>32</v>
      </c>
      <c r="F1432" s="8">
        <v>206.0</v>
      </c>
      <c r="G1432" s="9">
        <v>103.0</v>
      </c>
    </row>
    <row r="1433" ht="14.25" hidden="1" customHeight="1">
      <c r="B1433" s="7" t="s">
        <v>12</v>
      </c>
      <c r="C1433" s="7" t="s">
        <v>30</v>
      </c>
      <c r="D1433" s="7" t="s">
        <v>31</v>
      </c>
      <c r="E1433" s="7" t="s">
        <v>33</v>
      </c>
      <c r="F1433" s="8">
        <v>202.0</v>
      </c>
      <c r="G1433" s="9">
        <v>101.0</v>
      </c>
    </row>
    <row r="1434" ht="14.25" hidden="1" customHeight="1">
      <c r="B1434" s="7" t="s">
        <v>12</v>
      </c>
      <c r="C1434" s="7" t="s">
        <v>7</v>
      </c>
      <c r="D1434" s="7" t="s">
        <v>28</v>
      </c>
      <c r="E1434" s="7" t="s">
        <v>25</v>
      </c>
      <c r="F1434" s="8">
        <v>198.0</v>
      </c>
      <c r="G1434" s="9">
        <v>99.0</v>
      </c>
    </row>
    <row r="1435" ht="14.25" hidden="1" customHeight="1">
      <c r="B1435" s="7" t="s">
        <v>12</v>
      </c>
      <c r="C1435" s="7" t="s">
        <v>7</v>
      </c>
      <c r="D1435" s="7" t="s">
        <v>11</v>
      </c>
      <c r="E1435" s="7" t="s">
        <v>8</v>
      </c>
      <c r="F1435" s="8">
        <v>192.0</v>
      </c>
      <c r="G1435" s="9">
        <v>96.0</v>
      </c>
    </row>
    <row r="1436" ht="14.25" hidden="1" customHeight="1">
      <c r="B1436" s="7" t="s">
        <v>12</v>
      </c>
      <c r="C1436" s="7" t="s">
        <v>29</v>
      </c>
      <c r="D1436" s="7" t="s">
        <v>28</v>
      </c>
      <c r="E1436" s="7" t="s">
        <v>25</v>
      </c>
      <c r="F1436" s="8">
        <v>190.0</v>
      </c>
      <c r="G1436" s="9">
        <v>190.0</v>
      </c>
    </row>
    <row r="1437" ht="14.25" hidden="1" customHeight="1">
      <c r="B1437" s="7" t="s">
        <v>12</v>
      </c>
      <c r="C1437" s="7" t="s">
        <v>30</v>
      </c>
      <c r="D1437" s="7" t="s">
        <v>9</v>
      </c>
      <c r="E1437" s="7" t="s">
        <v>25</v>
      </c>
      <c r="F1437" s="8">
        <v>190.0</v>
      </c>
      <c r="G1437" s="9">
        <v>95.0</v>
      </c>
    </row>
    <row r="1438" ht="14.25" hidden="1" customHeight="1">
      <c r="B1438" s="7" t="s">
        <v>12</v>
      </c>
      <c r="C1438" s="7" t="s">
        <v>29</v>
      </c>
      <c r="D1438" s="7" t="s">
        <v>11</v>
      </c>
      <c r="E1438" s="7" t="s">
        <v>8</v>
      </c>
      <c r="F1438" s="8">
        <v>187.0</v>
      </c>
      <c r="G1438" s="9">
        <v>187.0</v>
      </c>
    </row>
    <row r="1439" ht="14.25" hidden="1" customHeight="1">
      <c r="B1439" s="7" t="s">
        <v>12</v>
      </c>
      <c r="C1439" s="7" t="s">
        <v>29</v>
      </c>
      <c r="D1439" s="7" t="s">
        <v>33</v>
      </c>
      <c r="E1439" s="7" t="s">
        <v>8</v>
      </c>
      <c r="F1439" s="8">
        <v>186.0</v>
      </c>
      <c r="G1439" s="9">
        <v>186.0</v>
      </c>
    </row>
    <row r="1440" ht="14.25" hidden="1" customHeight="1">
      <c r="B1440" s="7" t="s">
        <v>12</v>
      </c>
      <c r="C1440" s="7" t="s">
        <v>29</v>
      </c>
      <c r="D1440" s="7" t="s">
        <v>9</v>
      </c>
      <c r="E1440" s="7" t="s">
        <v>33</v>
      </c>
      <c r="F1440" s="8">
        <v>185.0</v>
      </c>
      <c r="G1440" s="9">
        <v>185.0</v>
      </c>
    </row>
    <row r="1441" ht="14.25" hidden="1" customHeight="1">
      <c r="B1441" s="7" t="s">
        <v>12</v>
      </c>
      <c r="C1441" s="7" t="s">
        <v>29</v>
      </c>
      <c r="D1441" s="7" t="s">
        <v>8</v>
      </c>
      <c r="E1441" s="7" t="s">
        <v>25</v>
      </c>
      <c r="F1441" s="8">
        <v>183.0</v>
      </c>
      <c r="G1441" s="9">
        <v>183.0</v>
      </c>
    </row>
    <row r="1442" ht="14.25" hidden="1" customHeight="1">
      <c r="B1442" s="7" t="s">
        <v>12</v>
      </c>
      <c r="C1442" s="7" t="s">
        <v>7</v>
      </c>
      <c r="D1442" s="7" t="s">
        <v>8</v>
      </c>
      <c r="E1442" s="7" t="s">
        <v>35</v>
      </c>
      <c r="F1442" s="8">
        <v>182.0</v>
      </c>
      <c r="G1442" s="9">
        <v>91.0</v>
      </c>
    </row>
    <row r="1443" ht="14.25" hidden="1" customHeight="1">
      <c r="B1443" s="7" t="s">
        <v>12</v>
      </c>
      <c r="C1443" s="7" t="s">
        <v>7</v>
      </c>
      <c r="D1443" s="7" t="s">
        <v>31</v>
      </c>
      <c r="E1443" s="7" t="s">
        <v>25</v>
      </c>
      <c r="F1443" s="8">
        <v>178.0</v>
      </c>
      <c r="G1443" s="9">
        <v>89.0</v>
      </c>
    </row>
    <row r="1444" ht="14.25" customHeight="1">
      <c r="B1444" s="7" t="s">
        <v>12</v>
      </c>
      <c r="C1444" s="7" t="s">
        <v>30</v>
      </c>
      <c r="D1444" s="7" t="s">
        <v>8</v>
      </c>
      <c r="E1444" s="7" t="s">
        <v>31</v>
      </c>
      <c r="F1444" s="8">
        <v>176.0</v>
      </c>
      <c r="G1444" s="9">
        <v>88.0</v>
      </c>
    </row>
    <row r="1445" ht="14.25" hidden="1" customHeight="1">
      <c r="B1445" s="7" t="s">
        <v>12</v>
      </c>
      <c r="C1445" s="7" t="s">
        <v>7</v>
      </c>
      <c r="D1445" s="7" t="s">
        <v>34</v>
      </c>
      <c r="E1445" s="7" t="s">
        <v>28</v>
      </c>
      <c r="F1445" s="8">
        <v>174.0</v>
      </c>
      <c r="G1445" s="9">
        <v>87.0</v>
      </c>
    </row>
    <row r="1446" ht="14.25" hidden="1" customHeight="1">
      <c r="B1446" s="7" t="s">
        <v>12</v>
      </c>
      <c r="C1446" s="7" t="s">
        <v>7</v>
      </c>
      <c r="D1446" s="7" t="s">
        <v>9</v>
      </c>
      <c r="E1446" s="7" t="s">
        <v>32</v>
      </c>
      <c r="F1446" s="8">
        <v>170.0</v>
      </c>
      <c r="G1446" s="9">
        <v>85.0</v>
      </c>
    </row>
    <row r="1447" ht="14.25" hidden="1" customHeight="1">
      <c r="B1447" s="7" t="s">
        <v>12</v>
      </c>
      <c r="C1447" s="7" t="s">
        <v>7</v>
      </c>
      <c r="D1447" s="7" t="s">
        <v>28</v>
      </c>
      <c r="E1447" s="7" t="s">
        <v>8</v>
      </c>
      <c r="F1447" s="8">
        <v>160.0</v>
      </c>
      <c r="G1447" s="9">
        <v>80.0</v>
      </c>
    </row>
    <row r="1448" ht="14.25" hidden="1" customHeight="1">
      <c r="B1448" s="7" t="s">
        <v>12</v>
      </c>
      <c r="C1448" s="7" t="s">
        <v>7</v>
      </c>
      <c r="D1448" s="7" t="s">
        <v>10</v>
      </c>
      <c r="E1448" s="7" t="s">
        <v>31</v>
      </c>
      <c r="F1448" s="8">
        <v>160.0</v>
      </c>
      <c r="G1448" s="9">
        <v>80.0</v>
      </c>
    </row>
    <row r="1449" ht="14.25" hidden="1" customHeight="1">
      <c r="B1449" s="7" t="s">
        <v>12</v>
      </c>
      <c r="C1449" s="7" t="s">
        <v>7</v>
      </c>
      <c r="D1449" s="7" t="s">
        <v>33</v>
      </c>
      <c r="E1449" s="7" t="s">
        <v>9</v>
      </c>
      <c r="F1449" s="8">
        <v>158.0</v>
      </c>
      <c r="G1449" s="9">
        <v>79.0</v>
      </c>
    </row>
    <row r="1450" ht="14.25" hidden="1" customHeight="1">
      <c r="B1450" s="7" t="s">
        <v>12</v>
      </c>
      <c r="C1450" s="7" t="s">
        <v>30</v>
      </c>
      <c r="D1450" s="7" t="s">
        <v>31</v>
      </c>
      <c r="E1450" s="7" t="s">
        <v>10</v>
      </c>
      <c r="F1450" s="8">
        <v>158.0</v>
      </c>
      <c r="G1450" s="9">
        <v>79.0</v>
      </c>
    </row>
    <row r="1451" ht="14.25" hidden="1" customHeight="1">
      <c r="B1451" s="7" t="s">
        <v>12</v>
      </c>
      <c r="C1451" s="7" t="s">
        <v>29</v>
      </c>
      <c r="D1451" s="7" t="s">
        <v>28</v>
      </c>
      <c r="E1451" s="7" t="s">
        <v>8</v>
      </c>
      <c r="F1451" s="8">
        <v>152.0</v>
      </c>
      <c r="G1451" s="9">
        <v>152.0</v>
      </c>
    </row>
    <row r="1452" ht="14.25" hidden="1" customHeight="1">
      <c r="B1452" s="7" t="s">
        <v>12</v>
      </c>
      <c r="C1452" s="7" t="s">
        <v>7</v>
      </c>
      <c r="D1452" s="7" t="s">
        <v>8</v>
      </c>
      <c r="E1452" s="7" t="s">
        <v>25</v>
      </c>
      <c r="F1452" s="8">
        <v>152.0</v>
      </c>
      <c r="G1452" s="9">
        <v>76.0</v>
      </c>
    </row>
    <row r="1453" ht="14.25" hidden="1" customHeight="1">
      <c r="B1453" s="7" t="s">
        <v>12</v>
      </c>
      <c r="C1453" s="7" t="s">
        <v>29</v>
      </c>
      <c r="D1453" s="7" t="s">
        <v>25</v>
      </c>
      <c r="E1453" s="7" t="s">
        <v>28</v>
      </c>
      <c r="F1453" s="8">
        <v>151.0</v>
      </c>
      <c r="G1453" s="9">
        <v>151.0</v>
      </c>
    </row>
    <row r="1454" ht="14.25" hidden="1" customHeight="1">
      <c r="B1454" s="7" t="s">
        <v>12</v>
      </c>
      <c r="C1454" s="7" t="s">
        <v>7</v>
      </c>
      <c r="D1454" s="7" t="s">
        <v>33</v>
      </c>
      <c r="E1454" s="7" t="s">
        <v>28</v>
      </c>
      <c r="F1454" s="8">
        <v>150.0</v>
      </c>
      <c r="G1454" s="9">
        <v>75.0</v>
      </c>
    </row>
    <row r="1455" ht="14.25" hidden="1" customHeight="1">
      <c r="B1455" s="7" t="s">
        <v>12</v>
      </c>
      <c r="C1455" s="7" t="s">
        <v>29</v>
      </c>
      <c r="D1455" s="7" t="s">
        <v>11</v>
      </c>
      <c r="E1455" s="7" t="s">
        <v>8</v>
      </c>
      <c r="F1455" s="8">
        <v>146.0</v>
      </c>
      <c r="G1455" s="9">
        <v>146.0</v>
      </c>
    </row>
    <row r="1456" ht="14.25" hidden="1" customHeight="1">
      <c r="B1456" s="7" t="s">
        <v>12</v>
      </c>
      <c r="C1456" s="7" t="s">
        <v>7</v>
      </c>
      <c r="D1456" s="7" t="s">
        <v>24</v>
      </c>
      <c r="E1456" s="7" t="s">
        <v>31</v>
      </c>
      <c r="F1456" s="8">
        <v>146.0</v>
      </c>
      <c r="G1456" s="9">
        <v>73.0</v>
      </c>
    </row>
    <row r="1457" ht="14.25" hidden="1" customHeight="1">
      <c r="B1457" s="7" t="s">
        <v>12</v>
      </c>
      <c r="C1457" s="7" t="s">
        <v>7</v>
      </c>
      <c r="D1457" s="7" t="s">
        <v>28</v>
      </c>
      <c r="E1457" s="7" t="s">
        <v>31</v>
      </c>
      <c r="F1457" s="8">
        <v>144.0</v>
      </c>
      <c r="G1457" s="9">
        <v>72.0</v>
      </c>
    </row>
    <row r="1458" ht="14.25" hidden="1" customHeight="1">
      <c r="B1458" s="7" t="s">
        <v>12</v>
      </c>
      <c r="C1458" s="7" t="s">
        <v>7</v>
      </c>
      <c r="D1458" s="7" t="s">
        <v>28</v>
      </c>
      <c r="E1458" s="7" t="s">
        <v>31</v>
      </c>
      <c r="F1458" s="8">
        <v>142.0</v>
      </c>
      <c r="G1458" s="9">
        <v>71.0</v>
      </c>
    </row>
    <row r="1459" ht="14.25" hidden="1" customHeight="1">
      <c r="B1459" s="7" t="s">
        <v>12</v>
      </c>
      <c r="C1459" s="7" t="s">
        <v>30</v>
      </c>
      <c r="D1459" s="7" t="s">
        <v>8</v>
      </c>
      <c r="E1459" s="7" t="s">
        <v>10</v>
      </c>
      <c r="F1459" s="8">
        <v>142.0</v>
      </c>
      <c r="G1459" s="9">
        <v>71.0</v>
      </c>
    </row>
    <row r="1460" ht="14.25" hidden="1" customHeight="1">
      <c r="B1460" s="7" t="s">
        <v>12</v>
      </c>
      <c r="C1460" s="7" t="s">
        <v>7</v>
      </c>
      <c r="D1460" s="7" t="s">
        <v>11</v>
      </c>
      <c r="E1460" s="7" t="s">
        <v>25</v>
      </c>
      <c r="F1460" s="8">
        <v>140.0</v>
      </c>
      <c r="G1460" s="9">
        <v>70.0</v>
      </c>
    </row>
    <row r="1461" ht="14.25" hidden="1" customHeight="1">
      <c r="B1461" s="7" t="s">
        <v>12</v>
      </c>
      <c r="C1461" s="7" t="s">
        <v>29</v>
      </c>
      <c r="D1461" s="7" t="s">
        <v>31</v>
      </c>
      <c r="E1461" s="7" t="s">
        <v>9</v>
      </c>
      <c r="F1461" s="8">
        <v>137.0</v>
      </c>
      <c r="G1461" s="9">
        <v>137.0</v>
      </c>
    </row>
    <row r="1462" ht="14.25" hidden="1" customHeight="1">
      <c r="B1462" s="7" t="s">
        <v>12</v>
      </c>
      <c r="C1462" s="7" t="s">
        <v>7</v>
      </c>
      <c r="D1462" s="7" t="s">
        <v>10</v>
      </c>
      <c r="E1462" s="7" t="s">
        <v>9</v>
      </c>
      <c r="F1462" s="8">
        <v>136.0</v>
      </c>
      <c r="G1462" s="9">
        <v>68.0</v>
      </c>
    </row>
    <row r="1463" ht="14.25" hidden="1" customHeight="1">
      <c r="B1463" s="7" t="s">
        <v>12</v>
      </c>
      <c r="C1463" s="7" t="s">
        <v>7</v>
      </c>
      <c r="D1463" s="7" t="s">
        <v>33</v>
      </c>
      <c r="E1463" s="7" t="s">
        <v>28</v>
      </c>
      <c r="F1463" s="8">
        <v>134.0</v>
      </c>
      <c r="G1463" s="9">
        <v>67.0</v>
      </c>
    </row>
    <row r="1464" ht="14.25" hidden="1" customHeight="1">
      <c r="B1464" s="7" t="s">
        <v>12</v>
      </c>
      <c r="C1464" s="7" t="s">
        <v>29</v>
      </c>
      <c r="D1464" s="7" t="s">
        <v>9</v>
      </c>
      <c r="E1464" s="7" t="s">
        <v>28</v>
      </c>
      <c r="F1464" s="8">
        <v>128.0</v>
      </c>
      <c r="G1464" s="9">
        <v>128.0</v>
      </c>
    </row>
    <row r="1465" ht="14.25" hidden="1" customHeight="1">
      <c r="B1465" s="7" t="s">
        <v>12</v>
      </c>
      <c r="C1465" s="7" t="s">
        <v>29</v>
      </c>
      <c r="D1465" s="7" t="s">
        <v>8</v>
      </c>
      <c r="E1465" s="7" t="s">
        <v>28</v>
      </c>
      <c r="F1465" s="8">
        <v>128.0</v>
      </c>
      <c r="G1465" s="9">
        <v>128.0</v>
      </c>
    </row>
    <row r="1466" ht="14.25" hidden="1" customHeight="1">
      <c r="B1466" s="7" t="s">
        <v>12</v>
      </c>
      <c r="C1466" s="7" t="s">
        <v>29</v>
      </c>
      <c r="D1466" s="7" t="s">
        <v>33</v>
      </c>
      <c r="E1466" s="7" t="s">
        <v>10</v>
      </c>
      <c r="F1466" s="8">
        <v>127.0</v>
      </c>
      <c r="G1466" s="9">
        <v>127.0</v>
      </c>
    </row>
    <row r="1467" ht="14.25" hidden="1" customHeight="1">
      <c r="B1467" s="7" t="s">
        <v>12</v>
      </c>
      <c r="C1467" s="7" t="s">
        <v>29</v>
      </c>
      <c r="D1467" s="7" t="s">
        <v>10</v>
      </c>
      <c r="E1467" s="7" t="s">
        <v>25</v>
      </c>
      <c r="F1467" s="8">
        <v>122.0</v>
      </c>
      <c r="G1467" s="9">
        <v>122.0</v>
      </c>
    </row>
    <row r="1468" ht="14.25" hidden="1" customHeight="1">
      <c r="B1468" s="7" t="s">
        <v>12</v>
      </c>
      <c r="C1468" s="7" t="s">
        <v>7</v>
      </c>
      <c r="D1468" s="7" t="s">
        <v>32</v>
      </c>
      <c r="E1468" s="7" t="s">
        <v>8</v>
      </c>
      <c r="F1468" s="8">
        <v>120.0</v>
      </c>
      <c r="G1468" s="9">
        <v>60.0</v>
      </c>
    </row>
    <row r="1469" ht="14.25" hidden="1" customHeight="1">
      <c r="B1469" s="7" t="s">
        <v>12</v>
      </c>
      <c r="C1469" s="7" t="s">
        <v>29</v>
      </c>
      <c r="D1469" s="7" t="s">
        <v>8</v>
      </c>
      <c r="E1469" s="7" t="s">
        <v>28</v>
      </c>
      <c r="F1469" s="8">
        <v>119.0</v>
      </c>
      <c r="G1469" s="9">
        <v>119.0</v>
      </c>
    </row>
    <row r="1470" ht="14.25" hidden="1" customHeight="1">
      <c r="B1470" s="7" t="s">
        <v>12</v>
      </c>
      <c r="C1470" s="7" t="s">
        <v>7</v>
      </c>
      <c r="D1470" s="7" t="s">
        <v>33</v>
      </c>
      <c r="E1470" s="7" t="s">
        <v>32</v>
      </c>
      <c r="F1470" s="8">
        <v>114.0</v>
      </c>
      <c r="G1470" s="9">
        <v>57.0</v>
      </c>
    </row>
    <row r="1471" ht="14.25" hidden="1" customHeight="1">
      <c r="B1471" s="7" t="s">
        <v>12</v>
      </c>
      <c r="C1471" s="7" t="s">
        <v>7</v>
      </c>
      <c r="D1471" s="7" t="s">
        <v>10</v>
      </c>
      <c r="E1471" s="7" t="s">
        <v>28</v>
      </c>
      <c r="F1471" s="8">
        <v>114.0</v>
      </c>
      <c r="G1471" s="9">
        <v>57.0</v>
      </c>
    </row>
    <row r="1472" ht="14.25" hidden="1" customHeight="1">
      <c r="B1472" s="7" t="s">
        <v>12</v>
      </c>
      <c r="C1472" s="7" t="s">
        <v>7</v>
      </c>
      <c r="D1472" s="7" t="s">
        <v>8</v>
      </c>
      <c r="E1472" s="7" t="s">
        <v>28</v>
      </c>
      <c r="F1472" s="8">
        <v>112.0</v>
      </c>
      <c r="G1472" s="9">
        <v>56.0</v>
      </c>
    </row>
    <row r="1473" ht="14.25" customHeight="1">
      <c r="B1473" s="7" t="s">
        <v>12</v>
      </c>
      <c r="C1473" s="7" t="s">
        <v>29</v>
      </c>
      <c r="D1473" s="7" t="s">
        <v>8</v>
      </c>
      <c r="E1473" s="7" t="s">
        <v>31</v>
      </c>
      <c r="F1473" s="8">
        <v>109.0</v>
      </c>
      <c r="G1473" s="9">
        <v>109.0</v>
      </c>
    </row>
    <row r="1474" ht="14.25" hidden="1" customHeight="1">
      <c r="B1474" s="7" t="s">
        <v>12</v>
      </c>
      <c r="C1474" s="7" t="s">
        <v>7</v>
      </c>
      <c r="D1474" s="7" t="s">
        <v>11</v>
      </c>
      <c r="E1474" s="7" t="s">
        <v>8</v>
      </c>
      <c r="F1474" s="8">
        <v>108.0</v>
      </c>
      <c r="G1474" s="9">
        <v>54.0</v>
      </c>
    </row>
    <row r="1475" ht="14.25" hidden="1" customHeight="1">
      <c r="B1475" s="7" t="s">
        <v>12</v>
      </c>
      <c r="C1475" s="7" t="s">
        <v>29</v>
      </c>
      <c r="D1475" s="7" t="s">
        <v>25</v>
      </c>
      <c r="E1475" s="7" t="s">
        <v>10</v>
      </c>
      <c r="F1475" s="8">
        <v>106.0</v>
      </c>
      <c r="G1475" s="9">
        <v>106.0</v>
      </c>
    </row>
    <row r="1476" ht="14.25" hidden="1" customHeight="1">
      <c r="B1476" s="7" t="s">
        <v>12</v>
      </c>
      <c r="C1476" s="7" t="s">
        <v>29</v>
      </c>
      <c r="D1476" s="7" t="s">
        <v>25</v>
      </c>
      <c r="E1476" s="7" t="s">
        <v>8</v>
      </c>
      <c r="F1476" s="8">
        <v>97.0</v>
      </c>
      <c r="G1476" s="9">
        <v>97.0</v>
      </c>
    </row>
    <row r="1477" ht="14.25" hidden="1" customHeight="1">
      <c r="B1477" s="7" t="s">
        <v>12</v>
      </c>
      <c r="C1477" s="7" t="s">
        <v>29</v>
      </c>
      <c r="D1477" s="7" t="s">
        <v>31</v>
      </c>
      <c r="E1477" s="7" t="s">
        <v>25</v>
      </c>
      <c r="F1477" s="8">
        <v>94.0</v>
      </c>
      <c r="G1477" s="9">
        <v>94.0</v>
      </c>
    </row>
    <row r="1478" ht="14.25" hidden="1" customHeight="1">
      <c r="B1478" s="7" t="s">
        <v>12</v>
      </c>
      <c r="C1478" s="7" t="s">
        <v>7</v>
      </c>
      <c r="D1478" s="7" t="s">
        <v>32</v>
      </c>
      <c r="E1478" s="7" t="s">
        <v>9</v>
      </c>
      <c r="F1478" s="8">
        <v>90.0</v>
      </c>
      <c r="G1478" s="9">
        <v>45.0</v>
      </c>
    </row>
    <row r="1479" ht="14.25" hidden="1" customHeight="1">
      <c r="B1479" s="7" t="s">
        <v>12</v>
      </c>
      <c r="C1479" s="7" t="s">
        <v>7</v>
      </c>
      <c r="D1479" s="7" t="s">
        <v>10</v>
      </c>
      <c r="E1479" s="7" t="s">
        <v>8</v>
      </c>
      <c r="F1479" s="8">
        <v>88.0</v>
      </c>
      <c r="G1479" s="9">
        <v>44.0</v>
      </c>
    </row>
    <row r="1480" ht="14.25" hidden="1" customHeight="1">
      <c r="B1480" s="7" t="s">
        <v>12</v>
      </c>
      <c r="C1480" s="7" t="s">
        <v>7</v>
      </c>
      <c r="D1480" s="7" t="s">
        <v>9</v>
      </c>
      <c r="E1480" s="7" t="s">
        <v>33</v>
      </c>
      <c r="F1480" s="8">
        <v>86.0</v>
      </c>
      <c r="G1480" s="9">
        <v>43.0</v>
      </c>
    </row>
    <row r="1481" ht="14.25" hidden="1" customHeight="1">
      <c r="B1481" s="7" t="s">
        <v>12</v>
      </c>
      <c r="C1481" s="7" t="s">
        <v>30</v>
      </c>
      <c r="D1481" s="7" t="s">
        <v>33</v>
      </c>
      <c r="E1481" s="7" t="s">
        <v>8</v>
      </c>
      <c r="F1481" s="8">
        <v>84.0</v>
      </c>
      <c r="G1481" s="9">
        <v>42.0</v>
      </c>
    </row>
    <row r="1482" ht="14.25" hidden="1" customHeight="1">
      <c r="B1482" s="7" t="s">
        <v>12</v>
      </c>
      <c r="C1482" s="7" t="s">
        <v>29</v>
      </c>
      <c r="D1482" s="7" t="s">
        <v>31</v>
      </c>
      <c r="E1482" s="7" t="s">
        <v>10</v>
      </c>
      <c r="F1482" s="8">
        <v>82.0</v>
      </c>
      <c r="G1482" s="9">
        <v>82.0</v>
      </c>
    </row>
    <row r="1483" ht="14.25" hidden="1" customHeight="1">
      <c r="B1483" s="7" t="s">
        <v>12</v>
      </c>
      <c r="C1483" s="7" t="s">
        <v>7</v>
      </c>
      <c r="D1483" s="7" t="s">
        <v>33</v>
      </c>
      <c r="E1483" s="7" t="s">
        <v>25</v>
      </c>
      <c r="F1483" s="8">
        <v>80.0</v>
      </c>
      <c r="G1483" s="9">
        <v>40.0</v>
      </c>
    </row>
    <row r="1484" ht="14.25" hidden="1" customHeight="1">
      <c r="B1484" s="7" t="s">
        <v>12</v>
      </c>
      <c r="C1484" s="7" t="s">
        <v>7</v>
      </c>
      <c r="D1484" s="7" t="s">
        <v>34</v>
      </c>
      <c r="E1484" s="7" t="s">
        <v>8</v>
      </c>
      <c r="F1484" s="8">
        <v>80.0</v>
      </c>
      <c r="G1484" s="9">
        <v>40.0</v>
      </c>
    </row>
    <row r="1485" ht="14.25" hidden="1" customHeight="1">
      <c r="B1485" s="7" t="s">
        <v>12</v>
      </c>
      <c r="C1485" s="7" t="s">
        <v>7</v>
      </c>
      <c r="D1485" s="7" t="s">
        <v>25</v>
      </c>
      <c r="E1485" s="7" t="s">
        <v>31</v>
      </c>
      <c r="F1485" s="8">
        <v>74.0</v>
      </c>
      <c r="G1485" s="9">
        <v>37.0</v>
      </c>
    </row>
    <row r="1486" ht="14.25" hidden="1" customHeight="1">
      <c r="B1486" s="7" t="s">
        <v>12</v>
      </c>
      <c r="C1486" s="7" t="s">
        <v>29</v>
      </c>
      <c r="D1486" s="7" t="s">
        <v>9</v>
      </c>
      <c r="E1486" s="7" t="s">
        <v>8</v>
      </c>
      <c r="F1486" s="8">
        <v>74.0</v>
      </c>
      <c r="G1486" s="9">
        <v>74.0</v>
      </c>
    </row>
    <row r="1487" ht="14.25" hidden="1" customHeight="1">
      <c r="B1487" s="7" t="s">
        <v>12</v>
      </c>
      <c r="C1487" s="7" t="s">
        <v>29</v>
      </c>
      <c r="D1487" s="7" t="s">
        <v>10</v>
      </c>
      <c r="E1487" s="7" t="s">
        <v>25</v>
      </c>
      <c r="F1487" s="8">
        <v>74.0</v>
      </c>
      <c r="G1487" s="9">
        <v>74.0</v>
      </c>
    </row>
    <row r="1488" ht="14.25" hidden="1" customHeight="1">
      <c r="B1488" s="7" t="s">
        <v>12</v>
      </c>
      <c r="C1488" s="7" t="s">
        <v>29</v>
      </c>
      <c r="D1488" s="7" t="s">
        <v>9</v>
      </c>
      <c r="E1488" s="7" t="s">
        <v>25</v>
      </c>
      <c r="F1488" s="8">
        <v>72.0</v>
      </c>
      <c r="G1488" s="9">
        <v>72.0</v>
      </c>
    </row>
    <row r="1489" ht="14.25" hidden="1" customHeight="1">
      <c r="B1489" s="7" t="s">
        <v>12</v>
      </c>
      <c r="C1489" s="7" t="s">
        <v>29</v>
      </c>
      <c r="D1489" s="7" t="s">
        <v>10</v>
      </c>
      <c r="E1489" s="7" t="s">
        <v>33</v>
      </c>
      <c r="F1489" s="8">
        <v>71.0</v>
      </c>
      <c r="G1489" s="9">
        <v>71.0</v>
      </c>
    </row>
    <row r="1490" ht="14.25" hidden="1" customHeight="1">
      <c r="B1490" s="7" t="s">
        <v>12</v>
      </c>
      <c r="C1490" s="7" t="s">
        <v>29</v>
      </c>
      <c r="D1490" s="7" t="s">
        <v>8</v>
      </c>
      <c r="E1490" s="7" t="s">
        <v>33</v>
      </c>
      <c r="F1490" s="8">
        <v>71.0</v>
      </c>
      <c r="G1490" s="9">
        <v>71.0</v>
      </c>
    </row>
    <row r="1491" ht="14.25" hidden="1" customHeight="1">
      <c r="B1491" s="7" t="s">
        <v>12</v>
      </c>
      <c r="C1491" s="7" t="s">
        <v>7</v>
      </c>
      <c r="D1491" s="7" t="s">
        <v>9</v>
      </c>
      <c r="E1491" s="7" t="s">
        <v>28</v>
      </c>
      <c r="F1491" s="8">
        <v>66.0</v>
      </c>
      <c r="G1491" s="9">
        <v>33.0</v>
      </c>
    </row>
    <row r="1492" ht="14.25" hidden="1" customHeight="1">
      <c r="B1492" s="7" t="s">
        <v>12</v>
      </c>
      <c r="C1492" s="7" t="s">
        <v>7</v>
      </c>
      <c r="D1492" s="7" t="s">
        <v>31</v>
      </c>
      <c r="E1492" s="7" t="s">
        <v>10</v>
      </c>
      <c r="F1492" s="8">
        <v>66.0</v>
      </c>
      <c r="G1492" s="9">
        <v>33.0</v>
      </c>
    </row>
    <row r="1493" ht="14.25" hidden="1" customHeight="1">
      <c r="B1493" s="7" t="s">
        <v>12</v>
      </c>
      <c r="C1493" s="7" t="s">
        <v>29</v>
      </c>
      <c r="D1493" s="7" t="s">
        <v>28</v>
      </c>
      <c r="E1493" s="7" t="s">
        <v>10</v>
      </c>
      <c r="F1493" s="8">
        <v>64.0</v>
      </c>
      <c r="G1493" s="9">
        <v>64.0</v>
      </c>
    </row>
    <row r="1494" ht="14.25" hidden="1" customHeight="1">
      <c r="B1494" s="7" t="s">
        <v>12</v>
      </c>
      <c r="C1494" s="7" t="s">
        <v>7</v>
      </c>
      <c r="D1494" s="7" t="s">
        <v>28</v>
      </c>
      <c r="E1494" s="7" t="s">
        <v>32</v>
      </c>
      <c r="F1494" s="8">
        <v>64.0</v>
      </c>
      <c r="G1494" s="9">
        <v>32.0</v>
      </c>
    </row>
    <row r="1495" ht="14.25" hidden="1" customHeight="1">
      <c r="B1495" s="7" t="s">
        <v>12</v>
      </c>
      <c r="C1495" s="7" t="s">
        <v>7</v>
      </c>
      <c r="D1495" s="7" t="s">
        <v>9</v>
      </c>
      <c r="E1495" s="7" t="s">
        <v>31</v>
      </c>
      <c r="F1495" s="8">
        <v>62.0</v>
      </c>
      <c r="G1495" s="9">
        <v>31.0</v>
      </c>
    </row>
    <row r="1496" ht="14.25" hidden="1" customHeight="1">
      <c r="B1496" s="7" t="s">
        <v>12</v>
      </c>
      <c r="C1496" s="7" t="s">
        <v>7</v>
      </c>
      <c r="D1496" s="7" t="s">
        <v>25</v>
      </c>
      <c r="E1496" s="7" t="s">
        <v>28</v>
      </c>
      <c r="F1496" s="8">
        <v>60.0</v>
      </c>
      <c r="G1496" s="9">
        <v>30.0</v>
      </c>
    </row>
    <row r="1497" ht="14.25" hidden="1" customHeight="1">
      <c r="B1497" s="7" t="s">
        <v>12</v>
      </c>
      <c r="C1497" s="7" t="s">
        <v>29</v>
      </c>
      <c r="D1497" s="7" t="s">
        <v>9</v>
      </c>
      <c r="E1497" s="7" t="s">
        <v>25</v>
      </c>
      <c r="F1497" s="8">
        <v>60.0</v>
      </c>
      <c r="G1497" s="9">
        <v>60.0</v>
      </c>
    </row>
    <row r="1498" ht="14.25" hidden="1" customHeight="1">
      <c r="B1498" s="7" t="s">
        <v>12</v>
      </c>
      <c r="C1498" s="7" t="s">
        <v>29</v>
      </c>
      <c r="D1498" s="7" t="s">
        <v>25</v>
      </c>
      <c r="E1498" s="7" t="s">
        <v>31</v>
      </c>
      <c r="F1498" s="8">
        <v>58.0</v>
      </c>
      <c r="G1498" s="9">
        <v>58.0</v>
      </c>
    </row>
    <row r="1499" ht="14.25" hidden="1" customHeight="1">
      <c r="B1499" s="7" t="s">
        <v>12</v>
      </c>
      <c r="C1499" s="7" t="s">
        <v>7</v>
      </c>
      <c r="D1499" s="7" t="s">
        <v>31</v>
      </c>
      <c r="E1499" s="7" t="s">
        <v>35</v>
      </c>
      <c r="F1499" s="8">
        <v>52.0</v>
      </c>
      <c r="G1499" s="9">
        <v>26.0</v>
      </c>
    </row>
    <row r="1500" ht="14.25" hidden="1" customHeight="1">
      <c r="B1500" s="7" t="s">
        <v>12</v>
      </c>
      <c r="C1500" s="7" t="s">
        <v>7</v>
      </c>
      <c r="D1500" s="7" t="s">
        <v>25</v>
      </c>
      <c r="E1500" s="7" t="s">
        <v>8</v>
      </c>
      <c r="F1500" s="8">
        <v>50.0</v>
      </c>
      <c r="G1500" s="9">
        <v>50.0</v>
      </c>
    </row>
    <row r="1501" ht="14.25" hidden="1" customHeight="1">
      <c r="B1501" s="7" t="s">
        <v>12</v>
      </c>
      <c r="C1501" s="7" t="s">
        <v>7</v>
      </c>
      <c r="D1501" s="7" t="s">
        <v>33</v>
      </c>
      <c r="E1501" s="7" t="s">
        <v>8</v>
      </c>
      <c r="F1501" s="8">
        <v>50.0</v>
      </c>
      <c r="G1501" s="9">
        <v>25.0</v>
      </c>
    </row>
    <row r="1502" ht="14.25" hidden="1" customHeight="1">
      <c r="B1502" s="7" t="s">
        <v>12</v>
      </c>
      <c r="C1502" s="7" t="s">
        <v>7</v>
      </c>
      <c r="D1502" s="7" t="s">
        <v>8</v>
      </c>
      <c r="E1502" s="7" t="s">
        <v>28</v>
      </c>
      <c r="F1502" s="8">
        <v>50.0</v>
      </c>
      <c r="G1502" s="9">
        <v>25.0</v>
      </c>
    </row>
    <row r="1503" ht="14.25" hidden="1" customHeight="1">
      <c r="B1503" s="7" t="s">
        <v>12</v>
      </c>
      <c r="C1503" s="7" t="s">
        <v>29</v>
      </c>
      <c r="D1503" s="7" t="s">
        <v>32</v>
      </c>
      <c r="E1503" s="7" t="s">
        <v>35</v>
      </c>
      <c r="F1503" s="8">
        <v>49.0</v>
      </c>
      <c r="G1503" s="9">
        <v>49.0</v>
      </c>
    </row>
    <row r="1504" ht="14.25" hidden="1" customHeight="1">
      <c r="B1504" s="7" t="s">
        <v>12</v>
      </c>
      <c r="C1504" s="7" t="s">
        <v>29</v>
      </c>
      <c r="D1504" s="7" t="s">
        <v>28</v>
      </c>
      <c r="E1504" s="7" t="s">
        <v>31</v>
      </c>
      <c r="F1504" s="8">
        <v>48.0</v>
      </c>
      <c r="G1504" s="9">
        <v>48.0</v>
      </c>
    </row>
    <row r="1505" ht="14.25" hidden="1" customHeight="1">
      <c r="B1505" s="7" t="s">
        <v>12</v>
      </c>
      <c r="C1505" s="7" t="s">
        <v>29</v>
      </c>
      <c r="D1505" s="7" t="s">
        <v>33</v>
      </c>
      <c r="E1505" s="7" t="s">
        <v>9</v>
      </c>
      <c r="F1505" s="8">
        <v>46.0</v>
      </c>
      <c r="G1505" s="9">
        <v>46.0</v>
      </c>
    </row>
    <row r="1506" ht="14.25" hidden="1" customHeight="1">
      <c r="B1506" s="7" t="s">
        <v>12</v>
      </c>
      <c r="C1506" s="7" t="s">
        <v>29</v>
      </c>
      <c r="D1506" s="7" t="s">
        <v>28</v>
      </c>
      <c r="E1506" s="7" t="s">
        <v>32</v>
      </c>
      <c r="F1506" s="8">
        <v>46.0</v>
      </c>
      <c r="G1506" s="9">
        <v>46.0</v>
      </c>
    </row>
    <row r="1507" ht="14.25" hidden="1" customHeight="1">
      <c r="B1507" s="7" t="s">
        <v>12</v>
      </c>
      <c r="C1507" s="7" t="s">
        <v>7</v>
      </c>
      <c r="D1507" s="7" t="s">
        <v>33</v>
      </c>
      <c r="E1507" s="7" t="s">
        <v>31</v>
      </c>
      <c r="F1507" s="8">
        <v>42.0</v>
      </c>
      <c r="G1507" s="9">
        <v>21.0</v>
      </c>
    </row>
    <row r="1508" ht="14.25" hidden="1" customHeight="1">
      <c r="B1508" s="7" t="s">
        <v>12</v>
      </c>
      <c r="C1508" s="7" t="s">
        <v>30</v>
      </c>
      <c r="D1508" s="7" t="s">
        <v>10</v>
      </c>
      <c r="E1508" s="7" t="s">
        <v>31</v>
      </c>
      <c r="F1508" s="8">
        <v>42.0</v>
      </c>
      <c r="G1508" s="9">
        <v>21.0</v>
      </c>
    </row>
    <row r="1509" ht="14.25" hidden="1" customHeight="1">
      <c r="B1509" s="7" t="s">
        <v>12</v>
      </c>
      <c r="C1509" s="7" t="s">
        <v>7</v>
      </c>
      <c r="D1509" s="7" t="s">
        <v>31</v>
      </c>
      <c r="E1509" s="7" t="s">
        <v>8</v>
      </c>
      <c r="F1509" s="8">
        <v>42.0</v>
      </c>
      <c r="G1509" s="9">
        <v>21.0</v>
      </c>
    </row>
    <row r="1510" ht="14.25" hidden="1" customHeight="1">
      <c r="B1510" s="7" t="s">
        <v>12</v>
      </c>
      <c r="C1510" s="7" t="s">
        <v>7</v>
      </c>
      <c r="D1510" s="7" t="s">
        <v>9</v>
      </c>
      <c r="E1510" s="7" t="s">
        <v>31</v>
      </c>
      <c r="F1510" s="8">
        <v>40.0</v>
      </c>
      <c r="G1510" s="9">
        <v>20.0</v>
      </c>
    </row>
    <row r="1511" ht="14.25" hidden="1" customHeight="1">
      <c r="B1511" s="7" t="s">
        <v>12</v>
      </c>
      <c r="C1511" s="7" t="s">
        <v>29</v>
      </c>
      <c r="D1511" s="7" t="s">
        <v>33</v>
      </c>
      <c r="E1511" s="7" t="s">
        <v>28</v>
      </c>
      <c r="F1511" s="8">
        <v>39.0</v>
      </c>
      <c r="G1511" s="9">
        <v>39.0</v>
      </c>
    </row>
    <row r="1512" ht="14.25" hidden="1" customHeight="1">
      <c r="B1512" s="7" t="s">
        <v>12</v>
      </c>
      <c r="C1512" s="7" t="s">
        <v>29</v>
      </c>
      <c r="D1512" s="7" t="s">
        <v>33</v>
      </c>
      <c r="E1512" s="7" t="s">
        <v>31</v>
      </c>
      <c r="F1512" s="8">
        <v>39.0</v>
      </c>
      <c r="G1512" s="9">
        <v>39.0</v>
      </c>
    </row>
    <row r="1513" ht="14.25" hidden="1" customHeight="1">
      <c r="B1513" s="7" t="s">
        <v>12</v>
      </c>
      <c r="C1513" s="7" t="s">
        <v>29</v>
      </c>
      <c r="D1513" s="7" t="s">
        <v>10</v>
      </c>
      <c r="E1513" s="7" t="s">
        <v>8</v>
      </c>
      <c r="F1513" s="8">
        <v>39.0</v>
      </c>
      <c r="G1513" s="9">
        <v>39.0</v>
      </c>
    </row>
    <row r="1514" ht="14.25" hidden="1" customHeight="1">
      <c r="B1514" s="7" t="s">
        <v>12</v>
      </c>
      <c r="C1514" s="7" t="s">
        <v>7</v>
      </c>
      <c r="D1514" s="7" t="s">
        <v>10</v>
      </c>
      <c r="E1514" s="7" t="s">
        <v>33</v>
      </c>
      <c r="F1514" s="8">
        <v>38.0</v>
      </c>
      <c r="G1514" s="9">
        <v>19.0</v>
      </c>
    </row>
    <row r="1515" ht="14.25" hidden="1" customHeight="1">
      <c r="B1515" s="7" t="s">
        <v>12</v>
      </c>
      <c r="C1515" s="7" t="s">
        <v>30</v>
      </c>
      <c r="D1515" s="7" t="s">
        <v>10</v>
      </c>
      <c r="E1515" s="7" t="s">
        <v>9</v>
      </c>
      <c r="F1515" s="8">
        <v>38.0</v>
      </c>
      <c r="G1515" s="9">
        <v>19.0</v>
      </c>
    </row>
    <row r="1516" ht="14.25" hidden="1" customHeight="1">
      <c r="B1516" s="7" t="s">
        <v>12</v>
      </c>
      <c r="C1516" s="7" t="s">
        <v>7</v>
      </c>
      <c r="D1516" s="7" t="s">
        <v>8</v>
      </c>
      <c r="E1516" s="7" t="s">
        <v>28</v>
      </c>
      <c r="F1516" s="8">
        <v>38.0</v>
      </c>
      <c r="G1516" s="9">
        <v>19.0</v>
      </c>
    </row>
    <row r="1517" ht="14.25" hidden="1" customHeight="1">
      <c r="B1517" s="7" t="s">
        <v>12</v>
      </c>
      <c r="C1517" s="7" t="s">
        <v>7</v>
      </c>
      <c r="D1517" s="7" t="s">
        <v>8</v>
      </c>
      <c r="E1517" s="7" t="s">
        <v>9</v>
      </c>
      <c r="F1517" s="8">
        <v>38.0</v>
      </c>
      <c r="G1517" s="9">
        <v>19.0</v>
      </c>
    </row>
    <row r="1518" ht="14.25" hidden="1" customHeight="1">
      <c r="B1518" s="7" t="s">
        <v>12</v>
      </c>
      <c r="C1518" s="7" t="s">
        <v>7</v>
      </c>
      <c r="D1518" s="7" t="s">
        <v>8</v>
      </c>
      <c r="E1518" s="7" t="s">
        <v>10</v>
      </c>
      <c r="F1518" s="8">
        <v>38.0</v>
      </c>
      <c r="G1518" s="9">
        <v>19.0</v>
      </c>
    </row>
    <row r="1519" ht="14.25" hidden="1" customHeight="1">
      <c r="B1519" s="7" t="s">
        <v>12</v>
      </c>
      <c r="C1519" s="7" t="s">
        <v>30</v>
      </c>
      <c r="D1519" s="7" t="s">
        <v>33</v>
      </c>
      <c r="E1519" s="7" t="s">
        <v>28</v>
      </c>
      <c r="F1519" s="8">
        <v>36.0</v>
      </c>
      <c r="G1519" s="9">
        <v>18.0</v>
      </c>
    </row>
    <row r="1520" ht="14.25" hidden="1" customHeight="1">
      <c r="B1520" s="7" t="s">
        <v>12</v>
      </c>
      <c r="C1520" s="7" t="s">
        <v>29</v>
      </c>
      <c r="D1520" s="7" t="s">
        <v>9</v>
      </c>
      <c r="E1520" s="7" t="s">
        <v>8</v>
      </c>
      <c r="F1520" s="8">
        <v>36.0</v>
      </c>
      <c r="G1520" s="9">
        <v>36.0</v>
      </c>
    </row>
    <row r="1521" ht="14.25" hidden="1" customHeight="1">
      <c r="B1521" s="7" t="s">
        <v>12</v>
      </c>
      <c r="C1521" s="7" t="s">
        <v>29</v>
      </c>
      <c r="D1521" s="7" t="s">
        <v>24</v>
      </c>
      <c r="E1521" s="7" t="s">
        <v>31</v>
      </c>
      <c r="F1521" s="8">
        <v>36.0</v>
      </c>
      <c r="G1521" s="9">
        <v>36.0</v>
      </c>
    </row>
    <row r="1522" ht="14.25" hidden="1" customHeight="1">
      <c r="B1522" s="7" t="s">
        <v>12</v>
      </c>
      <c r="C1522" s="7" t="s">
        <v>7</v>
      </c>
      <c r="D1522" s="7" t="s">
        <v>10</v>
      </c>
      <c r="E1522" s="7" t="s">
        <v>25</v>
      </c>
      <c r="F1522" s="8">
        <v>36.0</v>
      </c>
      <c r="G1522" s="9">
        <v>18.0</v>
      </c>
    </row>
    <row r="1523" ht="14.25" hidden="1" customHeight="1">
      <c r="B1523" s="7" t="s">
        <v>12</v>
      </c>
      <c r="C1523" s="7" t="s">
        <v>29</v>
      </c>
      <c r="D1523" s="7" t="s">
        <v>10</v>
      </c>
      <c r="E1523" s="7" t="s">
        <v>31</v>
      </c>
      <c r="F1523" s="8">
        <v>36.0</v>
      </c>
      <c r="G1523" s="9">
        <v>36.0</v>
      </c>
    </row>
    <row r="1524" ht="14.25" hidden="1" customHeight="1">
      <c r="B1524" s="7" t="s">
        <v>12</v>
      </c>
      <c r="C1524" s="7" t="s">
        <v>29</v>
      </c>
      <c r="D1524" s="7" t="s">
        <v>10</v>
      </c>
      <c r="E1524" s="7" t="s">
        <v>8</v>
      </c>
      <c r="F1524" s="8">
        <v>36.0</v>
      </c>
      <c r="G1524" s="9">
        <v>36.0</v>
      </c>
    </row>
    <row r="1525" ht="14.25" hidden="1" customHeight="1">
      <c r="B1525" s="7" t="s">
        <v>12</v>
      </c>
      <c r="C1525" s="7" t="s">
        <v>29</v>
      </c>
      <c r="D1525" s="7" t="s">
        <v>11</v>
      </c>
      <c r="E1525" s="7" t="s">
        <v>25</v>
      </c>
      <c r="F1525" s="8">
        <v>35.0</v>
      </c>
      <c r="G1525" s="9">
        <v>35.0</v>
      </c>
    </row>
    <row r="1526" ht="14.25" hidden="1" customHeight="1">
      <c r="B1526" s="7" t="s">
        <v>12</v>
      </c>
      <c r="C1526" s="7" t="s">
        <v>29</v>
      </c>
      <c r="D1526" s="7" t="s">
        <v>8</v>
      </c>
      <c r="E1526" s="7" t="s">
        <v>10</v>
      </c>
      <c r="F1526" s="8">
        <v>35.0</v>
      </c>
      <c r="G1526" s="9">
        <v>35.0</v>
      </c>
    </row>
    <row r="1527" ht="14.25" hidden="1" customHeight="1">
      <c r="B1527" s="7" t="s">
        <v>12</v>
      </c>
      <c r="C1527" s="7" t="s">
        <v>30</v>
      </c>
      <c r="D1527" s="7" t="s">
        <v>28</v>
      </c>
      <c r="E1527" s="7" t="s">
        <v>8</v>
      </c>
      <c r="F1527" s="8">
        <v>34.0</v>
      </c>
      <c r="G1527" s="9">
        <v>17.0</v>
      </c>
    </row>
    <row r="1528" ht="14.25" hidden="1" customHeight="1">
      <c r="B1528" s="7" t="s">
        <v>12</v>
      </c>
      <c r="C1528" s="7" t="s">
        <v>29</v>
      </c>
      <c r="D1528" s="7" t="s">
        <v>9</v>
      </c>
      <c r="E1528" s="7" t="s">
        <v>31</v>
      </c>
      <c r="F1528" s="8">
        <v>34.0</v>
      </c>
      <c r="G1528" s="9">
        <v>34.0</v>
      </c>
    </row>
    <row r="1529" ht="14.25" hidden="1" customHeight="1">
      <c r="B1529" s="7" t="s">
        <v>12</v>
      </c>
      <c r="C1529" s="7" t="s">
        <v>7</v>
      </c>
      <c r="D1529" s="7" t="s">
        <v>24</v>
      </c>
      <c r="E1529" s="7" t="s">
        <v>31</v>
      </c>
      <c r="F1529" s="8">
        <v>34.0</v>
      </c>
      <c r="G1529" s="9">
        <v>17.0</v>
      </c>
    </row>
    <row r="1530" ht="14.25" hidden="1" customHeight="1">
      <c r="B1530" s="7" t="s">
        <v>12</v>
      </c>
      <c r="C1530" s="7" t="s">
        <v>30</v>
      </c>
      <c r="D1530" s="7" t="s">
        <v>10</v>
      </c>
      <c r="E1530" s="7" t="s">
        <v>8</v>
      </c>
      <c r="F1530" s="8">
        <v>34.0</v>
      </c>
      <c r="G1530" s="9">
        <v>17.0</v>
      </c>
    </row>
    <row r="1531" ht="14.25" hidden="1" customHeight="1">
      <c r="B1531" s="7" t="s">
        <v>12</v>
      </c>
      <c r="C1531" s="7" t="s">
        <v>29</v>
      </c>
      <c r="D1531" s="7" t="s">
        <v>33</v>
      </c>
      <c r="E1531" s="7" t="s">
        <v>10</v>
      </c>
      <c r="F1531" s="8">
        <v>32.0</v>
      </c>
      <c r="G1531" s="9">
        <v>32.0</v>
      </c>
    </row>
    <row r="1532" ht="14.25" hidden="1" customHeight="1">
      <c r="B1532" s="7" t="s">
        <v>12</v>
      </c>
      <c r="C1532" s="7" t="s">
        <v>7</v>
      </c>
      <c r="D1532" s="7" t="s">
        <v>32</v>
      </c>
      <c r="E1532" s="7" t="s">
        <v>25</v>
      </c>
      <c r="F1532" s="8">
        <v>32.0</v>
      </c>
      <c r="G1532" s="9">
        <v>16.0</v>
      </c>
    </row>
    <row r="1533" ht="14.25" hidden="1" customHeight="1">
      <c r="B1533" s="7" t="s">
        <v>12</v>
      </c>
      <c r="C1533" s="7" t="s">
        <v>30</v>
      </c>
      <c r="D1533" s="7" t="s">
        <v>32</v>
      </c>
      <c r="E1533" s="7" t="s">
        <v>9</v>
      </c>
      <c r="F1533" s="8">
        <v>32.0</v>
      </c>
      <c r="G1533" s="9">
        <v>16.0</v>
      </c>
    </row>
    <row r="1534" ht="14.25" hidden="1" customHeight="1">
      <c r="B1534" s="7" t="s">
        <v>12</v>
      </c>
      <c r="C1534" s="7" t="s">
        <v>29</v>
      </c>
      <c r="D1534" s="7" t="s">
        <v>32</v>
      </c>
      <c r="E1534" s="7" t="s">
        <v>35</v>
      </c>
      <c r="F1534" s="8">
        <v>31.0</v>
      </c>
      <c r="G1534" s="9">
        <v>31.0</v>
      </c>
    </row>
    <row r="1535" ht="14.25" hidden="1" customHeight="1">
      <c r="B1535" s="7" t="s">
        <v>12</v>
      </c>
      <c r="C1535" s="7" t="s">
        <v>7</v>
      </c>
      <c r="D1535" s="7" t="s">
        <v>33</v>
      </c>
      <c r="E1535" s="7" t="s">
        <v>31</v>
      </c>
      <c r="F1535" s="8">
        <v>30.0</v>
      </c>
      <c r="G1535" s="9">
        <v>15.0</v>
      </c>
    </row>
    <row r="1536" ht="14.25" hidden="1" customHeight="1">
      <c r="B1536" s="7" t="s">
        <v>12</v>
      </c>
      <c r="C1536" s="7" t="s">
        <v>7</v>
      </c>
      <c r="D1536" s="7" t="s">
        <v>28</v>
      </c>
      <c r="E1536" s="7" t="s">
        <v>10</v>
      </c>
      <c r="F1536" s="8">
        <v>30.0</v>
      </c>
      <c r="G1536" s="9">
        <v>15.0</v>
      </c>
    </row>
    <row r="1537" ht="14.25" hidden="1" customHeight="1">
      <c r="B1537" s="7" t="s">
        <v>12</v>
      </c>
      <c r="C1537" s="7" t="s">
        <v>7</v>
      </c>
      <c r="D1537" s="7" t="s">
        <v>11</v>
      </c>
      <c r="E1537" s="7" t="s">
        <v>25</v>
      </c>
      <c r="F1537" s="8">
        <v>30.0</v>
      </c>
      <c r="G1537" s="9">
        <v>15.0</v>
      </c>
    </row>
    <row r="1538" ht="14.25" hidden="1" customHeight="1">
      <c r="B1538" s="7" t="s">
        <v>12</v>
      </c>
      <c r="C1538" s="7" t="s">
        <v>7</v>
      </c>
      <c r="D1538" s="7" t="s">
        <v>10</v>
      </c>
      <c r="E1538" s="7" t="s">
        <v>31</v>
      </c>
      <c r="F1538" s="8">
        <v>30.0</v>
      </c>
      <c r="G1538" s="9">
        <v>15.0</v>
      </c>
    </row>
    <row r="1539" ht="14.25" hidden="1" customHeight="1">
      <c r="B1539" s="7" t="s">
        <v>12</v>
      </c>
      <c r="C1539" s="7" t="s">
        <v>7</v>
      </c>
      <c r="D1539" s="7" t="s">
        <v>31</v>
      </c>
      <c r="E1539" s="7" t="s">
        <v>35</v>
      </c>
      <c r="F1539" s="8">
        <v>30.0</v>
      </c>
      <c r="G1539" s="9">
        <v>15.0</v>
      </c>
    </row>
    <row r="1540" ht="14.25" hidden="1" customHeight="1">
      <c r="B1540" s="7" t="s">
        <v>12</v>
      </c>
      <c r="C1540" s="7" t="s">
        <v>29</v>
      </c>
      <c r="D1540" s="7" t="s">
        <v>28</v>
      </c>
      <c r="E1540" s="7" t="s">
        <v>25</v>
      </c>
      <c r="F1540" s="8">
        <v>29.0</v>
      </c>
      <c r="G1540" s="9">
        <v>29.0</v>
      </c>
    </row>
    <row r="1541" ht="14.25" hidden="1" customHeight="1">
      <c r="B1541" s="7" t="s">
        <v>12</v>
      </c>
      <c r="C1541" s="7" t="s">
        <v>30</v>
      </c>
      <c r="D1541" s="7" t="s">
        <v>33</v>
      </c>
      <c r="E1541" s="7" t="s">
        <v>9</v>
      </c>
      <c r="F1541" s="8">
        <v>28.0</v>
      </c>
      <c r="G1541" s="9">
        <v>14.0</v>
      </c>
    </row>
    <row r="1542" ht="14.25" hidden="1" customHeight="1">
      <c r="B1542" s="7" t="s">
        <v>12</v>
      </c>
      <c r="C1542" s="7" t="s">
        <v>7</v>
      </c>
      <c r="D1542" s="7" t="s">
        <v>28</v>
      </c>
      <c r="E1542" s="7" t="s">
        <v>35</v>
      </c>
      <c r="F1542" s="8">
        <v>28.0</v>
      </c>
      <c r="G1542" s="9">
        <v>14.0</v>
      </c>
    </row>
    <row r="1543" ht="14.25" hidden="1" customHeight="1">
      <c r="B1543" s="7" t="s">
        <v>12</v>
      </c>
      <c r="C1543" s="7" t="s">
        <v>7</v>
      </c>
      <c r="D1543" s="7" t="s">
        <v>9</v>
      </c>
      <c r="E1543" s="7" t="s">
        <v>35</v>
      </c>
      <c r="F1543" s="8">
        <v>28.0</v>
      </c>
      <c r="G1543" s="9">
        <v>14.0</v>
      </c>
    </row>
    <row r="1544" ht="14.25" hidden="1" customHeight="1">
      <c r="B1544" s="7" t="s">
        <v>12</v>
      </c>
      <c r="C1544" s="7" t="s">
        <v>30</v>
      </c>
      <c r="D1544" s="7" t="s">
        <v>32</v>
      </c>
      <c r="E1544" s="7" t="s">
        <v>28</v>
      </c>
      <c r="F1544" s="8">
        <v>28.0</v>
      </c>
      <c r="G1544" s="9">
        <v>14.0</v>
      </c>
    </row>
    <row r="1545" ht="14.25" hidden="1" customHeight="1">
      <c r="B1545" s="7" t="s">
        <v>12</v>
      </c>
      <c r="C1545" s="7" t="s">
        <v>29</v>
      </c>
      <c r="D1545" s="7" t="s">
        <v>8</v>
      </c>
      <c r="E1545" s="7" t="s">
        <v>33</v>
      </c>
      <c r="F1545" s="8">
        <v>28.0</v>
      </c>
      <c r="G1545" s="9">
        <v>28.0</v>
      </c>
    </row>
    <row r="1546" ht="14.25" hidden="1" customHeight="1">
      <c r="B1546" s="7" t="s">
        <v>12</v>
      </c>
      <c r="C1546" s="7" t="s">
        <v>7</v>
      </c>
      <c r="D1546" s="7" t="s">
        <v>8</v>
      </c>
      <c r="E1546" s="7" t="s">
        <v>28</v>
      </c>
      <c r="F1546" s="8">
        <v>28.0</v>
      </c>
      <c r="G1546" s="9">
        <v>14.0</v>
      </c>
    </row>
    <row r="1547" ht="14.25" hidden="1" customHeight="1">
      <c r="B1547" s="7" t="s">
        <v>12</v>
      </c>
      <c r="C1547" s="7" t="s">
        <v>7</v>
      </c>
      <c r="D1547" s="7" t="s">
        <v>28</v>
      </c>
      <c r="E1547" s="7" t="s">
        <v>33</v>
      </c>
      <c r="F1547" s="8">
        <v>26.0</v>
      </c>
      <c r="G1547" s="9">
        <v>13.0</v>
      </c>
    </row>
    <row r="1548" ht="14.25" hidden="1" customHeight="1">
      <c r="B1548" s="7" t="s">
        <v>12</v>
      </c>
      <c r="C1548" s="7" t="s">
        <v>7</v>
      </c>
      <c r="D1548" s="7" t="s">
        <v>9</v>
      </c>
      <c r="E1548" s="7" t="s">
        <v>10</v>
      </c>
      <c r="F1548" s="8">
        <v>26.0</v>
      </c>
      <c r="G1548" s="9">
        <v>13.0</v>
      </c>
    </row>
    <row r="1549" ht="14.25" hidden="1" customHeight="1">
      <c r="B1549" s="7" t="s">
        <v>12</v>
      </c>
      <c r="C1549" s="7" t="s">
        <v>7</v>
      </c>
      <c r="D1549" s="7" t="s">
        <v>10</v>
      </c>
      <c r="E1549" s="7" t="s">
        <v>8</v>
      </c>
      <c r="F1549" s="8">
        <v>26.0</v>
      </c>
      <c r="G1549" s="9">
        <v>13.0</v>
      </c>
    </row>
    <row r="1550" ht="14.25" hidden="1" customHeight="1">
      <c r="B1550" s="7" t="s">
        <v>12</v>
      </c>
      <c r="C1550" s="7" t="s">
        <v>7</v>
      </c>
      <c r="D1550" s="7" t="s">
        <v>32</v>
      </c>
      <c r="E1550" s="7" t="s">
        <v>28</v>
      </c>
      <c r="F1550" s="8">
        <v>26.0</v>
      </c>
      <c r="G1550" s="9">
        <v>13.0</v>
      </c>
    </row>
    <row r="1551" ht="14.25" hidden="1" customHeight="1">
      <c r="B1551" s="7" t="s">
        <v>12</v>
      </c>
      <c r="C1551" s="7" t="s">
        <v>29</v>
      </c>
      <c r="D1551" s="7" t="s">
        <v>32</v>
      </c>
      <c r="E1551" s="7" t="s">
        <v>8</v>
      </c>
      <c r="F1551" s="8">
        <v>26.0</v>
      </c>
      <c r="G1551" s="9">
        <v>26.0</v>
      </c>
    </row>
    <row r="1552" ht="14.25" hidden="1" customHeight="1">
      <c r="B1552" s="7" t="s">
        <v>12</v>
      </c>
      <c r="C1552" s="7" t="s">
        <v>29</v>
      </c>
      <c r="D1552" s="7" t="s">
        <v>25</v>
      </c>
      <c r="E1552" s="7" t="s">
        <v>8</v>
      </c>
      <c r="F1552" s="8">
        <v>25.0</v>
      </c>
      <c r="G1552" s="9">
        <v>25.0</v>
      </c>
    </row>
    <row r="1553" ht="14.25" hidden="1" customHeight="1">
      <c r="B1553" s="7" t="s">
        <v>12</v>
      </c>
      <c r="C1553" s="7" t="s">
        <v>7</v>
      </c>
      <c r="D1553" s="7" t="s">
        <v>9</v>
      </c>
      <c r="E1553" s="7" t="s">
        <v>35</v>
      </c>
      <c r="F1553" s="8">
        <v>24.0</v>
      </c>
      <c r="G1553" s="9">
        <v>12.0</v>
      </c>
    </row>
    <row r="1554" ht="14.25" hidden="1" customHeight="1">
      <c r="B1554" s="7" t="s">
        <v>12</v>
      </c>
      <c r="C1554" s="7" t="s">
        <v>29</v>
      </c>
      <c r="D1554" s="7" t="s">
        <v>32</v>
      </c>
      <c r="E1554" s="7" t="s">
        <v>28</v>
      </c>
      <c r="F1554" s="8">
        <v>24.0</v>
      </c>
      <c r="G1554" s="9">
        <v>24.0</v>
      </c>
    </row>
    <row r="1555" ht="14.25" hidden="1" customHeight="1">
      <c r="B1555" s="7" t="s">
        <v>12</v>
      </c>
      <c r="C1555" s="7" t="s">
        <v>29</v>
      </c>
      <c r="D1555" s="7" t="s">
        <v>32</v>
      </c>
      <c r="E1555" s="7" t="s">
        <v>8</v>
      </c>
      <c r="F1555" s="8">
        <v>24.0</v>
      </c>
      <c r="G1555" s="9">
        <v>24.0</v>
      </c>
    </row>
    <row r="1556" ht="14.25" hidden="1" customHeight="1">
      <c r="B1556" s="7" t="s">
        <v>12</v>
      </c>
      <c r="C1556" s="7" t="s">
        <v>30</v>
      </c>
      <c r="D1556" s="7" t="s">
        <v>8</v>
      </c>
      <c r="E1556" s="7" t="s">
        <v>33</v>
      </c>
      <c r="F1556" s="8">
        <v>24.0</v>
      </c>
      <c r="G1556" s="9">
        <v>12.0</v>
      </c>
    </row>
    <row r="1557" ht="14.25" hidden="1" customHeight="1">
      <c r="B1557" s="7" t="s">
        <v>12</v>
      </c>
      <c r="C1557" s="7" t="s">
        <v>29</v>
      </c>
      <c r="D1557" s="7" t="s">
        <v>33</v>
      </c>
      <c r="E1557" s="7" t="s">
        <v>8</v>
      </c>
      <c r="F1557" s="8">
        <v>23.0</v>
      </c>
      <c r="G1557" s="9">
        <v>23.0</v>
      </c>
    </row>
    <row r="1558" ht="14.25" hidden="1" customHeight="1">
      <c r="B1558" s="7" t="s">
        <v>12</v>
      </c>
      <c r="C1558" s="7" t="s">
        <v>29</v>
      </c>
      <c r="D1558" s="7" t="s">
        <v>28</v>
      </c>
      <c r="E1558" s="7" t="s">
        <v>33</v>
      </c>
      <c r="F1558" s="8">
        <v>23.0</v>
      </c>
      <c r="G1558" s="9">
        <v>23.0</v>
      </c>
    </row>
    <row r="1559" ht="14.25" hidden="1" customHeight="1">
      <c r="B1559" s="7" t="s">
        <v>12</v>
      </c>
      <c r="C1559" s="7" t="s">
        <v>29</v>
      </c>
      <c r="D1559" s="7" t="s">
        <v>25</v>
      </c>
      <c r="E1559" s="7" t="s">
        <v>28</v>
      </c>
      <c r="F1559" s="8">
        <v>22.0</v>
      </c>
      <c r="G1559" s="9">
        <v>22.0</v>
      </c>
    </row>
    <row r="1560" ht="14.25" hidden="1" customHeight="1">
      <c r="B1560" s="7" t="s">
        <v>12</v>
      </c>
      <c r="C1560" s="7" t="s">
        <v>30</v>
      </c>
      <c r="D1560" s="7" t="s">
        <v>25</v>
      </c>
      <c r="E1560" s="7" t="s">
        <v>10</v>
      </c>
      <c r="F1560" s="8">
        <v>22.0</v>
      </c>
      <c r="G1560" s="9">
        <v>11.0</v>
      </c>
    </row>
    <row r="1561" ht="14.25" hidden="1" customHeight="1">
      <c r="B1561" s="7" t="s">
        <v>12</v>
      </c>
      <c r="C1561" s="7" t="s">
        <v>30</v>
      </c>
      <c r="D1561" s="7" t="s">
        <v>34</v>
      </c>
      <c r="E1561" s="7" t="s">
        <v>28</v>
      </c>
      <c r="F1561" s="8">
        <v>22.0</v>
      </c>
      <c r="G1561" s="9">
        <v>11.0</v>
      </c>
    </row>
    <row r="1562" ht="14.25" hidden="1" customHeight="1">
      <c r="B1562" s="7" t="s">
        <v>12</v>
      </c>
      <c r="C1562" s="7" t="s">
        <v>30</v>
      </c>
      <c r="D1562" s="7" t="s">
        <v>34</v>
      </c>
      <c r="E1562" s="7" t="s">
        <v>8</v>
      </c>
      <c r="F1562" s="8">
        <v>22.0</v>
      </c>
      <c r="G1562" s="9">
        <v>11.0</v>
      </c>
    </row>
    <row r="1563" ht="14.25" hidden="1" customHeight="1">
      <c r="B1563" s="7" t="s">
        <v>12</v>
      </c>
      <c r="C1563" s="7" t="s">
        <v>30</v>
      </c>
      <c r="D1563" s="7" t="s">
        <v>9</v>
      </c>
      <c r="E1563" s="7" t="s">
        <v>28</v>
      </c>
      <c r="F1563" s="8">
        <v>22.0</v>
      </c>
      <c r="G1563" s="9">
        <v>11.0</v>
      </c>
    </row>
    <row r="1564" ht="14.25" hidden="1" customHeight="1">
      <c r="B1564" s="7" t="s">
        <v>12</v>
      </c>
      <c r="C1564" s="7" t="s">
        <v>7</v>
      </c>
      <c r="D1564" s="7" t="s">
        <v>10</v>
      </c>
      <c r="E1564" s="7" t="s">
        <v>8</v>
      </c>
      <c r="F1564" s="8">
        <v>22.0</v>
      </c>
      <c r="G1564" s="9">
        <v>11.0</v>
      </c>
    </row>
    <row r="1565" ht="14.25" hidden="1" customHeight="1">
      <c r="B1565" s="7" t="s">
        <v>12</v>
      </c>
      <c r="C1565" s="7" t="s">
        <v>7</v>
      </c>
      <c r="D1565" s="7" t="s">
        <v>8</v>
      </c>
      <c r="E1565" s="7" t="s">
        <v>25</v>
      </c>
      <c r="F1565" s="8">
        <v>22.0</v>
      </c>
      <c r="G1565" s="9">
        <v>22.0</v>
      </c>
    </row>
    <row r="1566" ht="14.25" hidden="1" customHeight="1">
      <c r="B1566" s="7" t="s">
        <v>12</v>
      </c>
      <c r="C1566" s="7" t="s">
        <v>29</v>
      </c>
      <c r="D1566" s="7" t="s">
        <v>8</v>
      </c>
      <c r="E1566" s="7" t="s">
        <v>25</v>
      </c>
      <c r="F1566" s="8">
        <v>22.0</v>
      </c>
      <c r="G1566" s="9">
        <v>22.0</v>
      </c>
    </row>
    <row r="1567" ht="14.25" hidden="1" customHeight="1">
      <c r="B1567" s="7" t="s">
        <v>12</v>
      </c>
      <c r="C1567" s="7" t="s">
        <v>7</v>
      </c>
      <c r="D1567" s="7" t="s">
        <v>8</v>
      </c>
      <c r="E1567" s="7" t="s">
        <v>25</v>
      </c>
      <c r="F1567" s="8">
        <v>22.0</v>
      </c>
      <c r="G1567" s="9">
        <v>11.0</v>
      </c>
    </row>
    <row r="1568" ht="14.25" hidden="1" customHeight="1">
      <c r="B1568" s="7" t="s">
        <v>12</v>
      </c>
      <c r="C1568" s="7" t="s">
        <v>29</v>
      </c>
      <c r="D1568" s="7" t="s">
        <v>11</v>
      </c>
      <c r="E1568" s="7" t="s">
        <v>25</v>
      </c>
      <c r="F1568" s="8">
        <v>21.0</v>
      </c>
      <c r="G1568" s="9">
        <v>21.0</v>
      </c>
    </row>
    <row r="1569" ht="14.25" hidden="1" customHeight="1">
      <c r="B1569" s="7" t="s">
        <v>12</v>
      </c>
      <c r="C1569" s="7" t="s">
        <v>29</v>
      </c>
      <c r="D1569" s="7" t="s">
        <v>24</v>
      </c>
      <c r="E1569" s="7" t="s">
        <v>31</v>
      </c>
      <c r="F1569" s="8">
        <v>21.0</v>
      </c>
      <c r="G1569" s="9">
        <v>21.0</v>
      </c>
    </row>
    <row r="1570" ht="14.25" hidden="1" customHeight="1">
      <c r="B1570" s="7" t="s">
        <v>12</v>
      </c>
      <c r="C1570" s="7" t="s">
        <v>7</v>
      </c>
      <c r="D1570" s="7" t="s">
        <v>25</v>
      </c>
      <c r="E1570" s="7" t="s">
        <v>28</v>
      </c>
      <c r="F1570" s="8">
        <v>20.0</v>
      </c>
      <c r="G1570" s="9">
        <v>10.0</v>
      </c>
    </row>
    <row r="1571" ht="14.25" hidden="1" customHeight="1">
      <c r="B1571" s="7" t="s">
        <v>12</v>
      </c>
      <c r="C1571" s="7" t="s">
        <v>30</v>
      </c>
      <c r="D1571" s="7" t="s">
        <v>25</v>
      </c>
      <c r="E1571" s="7" t="s">
        <v>8</v>
      </c>
      <c r="F1571" s="8">
        <v>20.0</v>
      </c>
      <c r="G1571" s="9">
        <v>10.0</v>
      </c>
    </row>
    <row r="1572" ht="14.25" hidden="1" customHeight="1">
      <c r="B1572" s="7" t="s">
        <v>12</v>
      </c>
      <c r="C1572" s="7" t="s">
        <v>7</v>
      </c>
      <c r="D1572" s="7" t="s">
        <v>9</v>
      </c>
      <c r="E1572" s="7" t="s">
        <v>31</v>
      </c>
      <c r="F1572" s="8">
        <v>20.0</v>
      </c>
      <c r="G1572" s="9">
        <v>10.0</v>
      </c>
    </row>
    <row r="1573" ht="14.25" hidden="1" customHeight="1">
      <c r="B1573" s="7" t="s">
        <v>12</v>
      </c>
      <c r="C1573" s="7" t="s">
        <v>7</v>
      </c>
      <c r="D1573" s="7" t="s">
        <v>32</v>
      </c>
      <c r="E1573" s="7" t="s">
        <v>35</v>
      </c>
      <c r="F1573" s="8">
        <v>20.0</v>
      </c>
      <c r="G1573" s="9">
        <v>10.0</v>
      </c>
    </row>
    <row r="1574" ht="14.25" hidden="1" customHeight="1">
      <c r="B1574" s="7" t="s">
        <v>12</v>
      </c>
      <c r="C1574" s="7" t="s">
        <v>7</v>
      </c>
      <c r="D1574" s="7" t="s">
        <v>31</v>
      </c>
      <c r="E1574" s="7" t="s">
        <v>25</v>
      </c>
      <c r="F1574" s="8">
        <v>20.0</v>
      </c>
      <c r="G1574" s="9">
        <v>20.0</v>
      </c>
    </row>
    <row r="1575" ht="14.25" hidden="1" customHeight="1">
      <c r="B1575" s="7" t="s">
        <v>12</v>
      </c>
      <c r="C1575" s="7" t="s">
        <v>29</v>
      </c>
      <c r="D1575" s="7" t="s">
        <v>31</v>
      </c>
      <c r="E1575" s="7" t="s">
        <v>28</v>
      </c>
      <c r="F1575" s="8">
        <v>20.0</v>
      </c>
      <c r="G1575" s="9">
        <v>20.0</v>
      </c>
    </row>
    <row r="1576" ht="14.25" hidden="1" customHeight="1">
      <c r="B1576" s="7" t="s">
        <v>12</v>
      </c>
      <c r="C1576" s="7" t="s">
        <v>7</v>
      </c>
      <c r="D1576" s="7" t="s">
        <v>31</v>
      </c>
      <c r="E1576" s="7" t="s">
        <v>9</v>
      </c>
      <c r="F1576" s="8">
        <v>20.0</v>
      </c>
      <c r="G1576" s="9">
        <v>10.0</v>
      </c>
    </row>
    <row r="1577" ht="14.25" hidden="1" customHeight="1">
      <c r="B1577" s="7" t="s">
        <v>12</v>
      </c>
      <c r="C1577" s="7" t="s">
        <v>29</v>
      </c>
      <c r="D1577" s="7" t="s">
        <v>10</v>
      </c>
      <c r="E1577" s="7" t="s">
        <v>28</v>
      </c>
      <c r="F1577" s="8">
        <v>19.0</v>
      </c>
      <c r="G1577" s="9">
        <v>19.0</v>
      </c>
    </row>
    <row r="1578" ht="14.25" hidden="1" customHeight="1">
      <c r="B1578" s="7" t="s">
        <v>12</v>
      </c>
      <c r="C1578" s="7" t="s">
        <v>29</v>
      </c>
      <c r="D1578" s="7" t="s">
        <v>10</v>
      </c>
      <c r="E1578" s="7" t="s">
        <v>31</v>
      </c>
      <c r="F1578" s="8">
        <v>19.0</v>
      </c>
      <c r="G1578" s="9">
        <v>19.0</v>
      </c>
    </row>
    <row r="1579" ht="14.25" hidden="1" customHeight="1">
      <c r="B1579" s="7" t="s">
        <v>12</v>
      </c>
      <c r="C1579" s="7" t="s">
        <v>29</v>
      </c>
      <c r="D1579" s="7" t="s">
        <v>8</v>
      </c>
      <c r="E1579" s="7" t="s">
        <v>25</v>
      </c>
      <c r="F1579" s="8">
        <v>19.0</v>
      </c>
      <c r="G1579" s="9">
        <v>19.0</v>
      </c>
    </row>
    <row r="1580" ht="14.25" hidden="1" customHeight="1">
      <c r="B1580" s="7" t="s">
        <v>12</v>
      </c>
      <c r="C1580" s="7" t="s">
        <v>29</v>
      </c>
      <c r="D1580" s="7" t="s">
        <v>33</v>
      </c>
      <c r="E1580" s="7" t="s">
        <v>25</v>
      </c>
      <c r="F1580" s="8">
        <v>18.0</v>
      </c>
      <c r="G1580" s="9">
        <v>18.0</v>
      </c>
    </row>
    <row r="1581" ht="14.25" hidden="1" customHeight="1">
      <c r="B1581" s="7" t="s">
        <v>12</v>
      </c>
      <c r="C1581" s="7" t="s">
        <v>30</v>
      </c>
      <c r="D1581" s="7" t="s">
        <v>33</v>
      </c>
      <c r="E1581" s="7" t="s">
        <v>25</v>
      </c>
      <c r="F1581" s="8">
        <v>18.0</v>
      </c>
      <c r="G1581" s="9">
        <v>9.0</v>
      </c>
    </row>
    <row r="1582" ht="14.25" hidden="1" customHeight="1">
      <c r="B1582" s="7" t="s">
        <v>12</v>
      </c>
      <c r="C1582" s="7" t="s">
        <v>29</v>
      </c>
      <c r="D1582" s="7" t="s">
        <v>33</v>
      </c>
      <c r="E1582" s="7" t="s">
        <v>28</v>
      </c>
      <c r="F1582" s="8">
        <v>18.0</v>
      </c>
      <c r="G1582" s="9">
        <v>18.0</v>
      </c>
    </row>
    <row r="1583" ht="14.25" hidden="1" customHeight="1">
      <c r="B1583" s="7" t="s">
        <v>12</v>
      </c>
      <c r="C1583" s="7" t="s">
        <v>7</v>
      </c>
      <c r="D1583" s="7" t="s">
        <v>33</v>
      </c>
      <c r="E1583" s="7" t="s">
        <v>8</v>
      </c>
      <c r="F1583" s="8">
        <v>18.0</v>
      </c>
      <c r="G1583" s="9">
        <v>9.0</v>
      </c>
    </row>
    <row r="1584" ht="14.25" hidden="1" customHeight="1">
      <c r="B1584" s="7" t="s">
        <v>12</v>
      </c>
      <c r="C1584" s="7" t="s">
        <v>30</v>
      </c>
      <c r="D1584" s="7" t="s">
        <v>28</v>
      </c>
      <c r="E1584" s="7" t="s">
        <v>10</v>
      </c>
      <c r="F1584" s="8">
        <v>18.0</v>
      </c>
      <c r="G1584" s="9">
        <v>9.0</v>
      </c>
    </row>
    <row r="1585" ht="14.25" hidden="1" customHeight="1">
      <c r="B1585" s="7" t="s">
        <v>12</v>
      </c>
      <c r="C1585" s="7" t="s">
        <v>29</v>
      </c>
      <c r="D1585" s="7" t="s">
        <v>34</v>
      </c>
      <c r="E1585" s="7" t="s">
        <v>28</v>
      </c>
      <c r="F1585" s="8">
        <v>18.0</v>
      </c>
      <c r="G1585" s="9">
        <v>18.0</v>
      </c>
    </row>
    <row r="1586" ht="14.25" hidden="1" customHeight="1">
      <c r="B1586" s="7" t="s">
        <v>12</v>
      </c>
      <c r="C1586" s="7" t="s">
        <v>7</v>
      </c>
      <c r="D1586" s="7" t="s">
        <v>10</v>
      </c>
      <c r="E1586" s="7" t="s">
        <v>8</v>
      </c>
      <c r="F1586" s="8">
        <v>18.0</v>
      </c>
      <c r="G1586" s="9">
        <v>9.0</v>
      </c>
    </row>
    <row r="1587" ht="14.25" hidden="1" customHeight="1">
      <c r="B1587" s="7" t="s">
        <v>12</v>
      </c>
      <c r="C1587" s="7" t="s">
        <v>29</v>
      </c>
      <c r="D1587" s="7" t="s">
        <v>25</v>
      </c>
      <c r="E1587" s="7" t="s">
        <v>28</v>
      </c>
      <c r="F1587" s="8">
        <v>17.0</v>
      </c>
      <c r="G1587" s="9">
        <v>17.0</v>
      </c>
    </row>
    <row r="1588" ht="14.25" hidden="1" customHeight="1">
      <c r="B1588" s="7" t="s">
        <v>12</v>
      </c>
      <c r="C1588" s="7" t="s">
        <v>29</v>
      </c>
      <c r="D1588" s="7" t="s">
        <v>9</v>
      </c>
      <c r="E1588" s="7" t="s">
        <v>32</v>
      </c>
      <c r="F1588" s="8">
        <v>17.0</v>
      </c>
      <c r="G1588" s="9">
        <v>17.0</v>
      </c>
    </row>
    <row r="1589" ht="14.25" hidden="1" customHeight="1">
      <c r="B1589" s="7" t="s">
        <v>12</v>
      </c>
      <c r="C1589" s="7" t="s">
        <v>7</v>
      </c>
      <c r="D1589" s="7" t="s">
        <v>25</v>
      </c>
      <c r="E1589" s="7" t="s">
        <v>9</v>
      </c>
      <c r="F1589" s="8">
        <v>16.0</v>
      </c>
      <c r="G1589" s="9">
        <v>8.0</v>
      </c>
    </row>
    <row r="1590" ht="14.25" hidden="1" customHeight="1">
      <c r="B1590" s="7" t="s">
        <v>12</v>
      </c>
      <c r="C1590" s="7" t="s">
        <v>7</v>
      </c>
      <c r="D1590" s="7" t="s">
        <v>25</v>
      </c>
      <c r="E1590" s="7" t="s">
        <v>8</v>
      </c>
      <c r="F1590" s="8">
        <v>16.0</v>
      </c>
      <c r="G1590" s="9">
        <v>8.0</v>
      </c>
    </row>
    <row r="1591" ht="14.25" hidden="1" customHeight="1">
      <c r="B1591" s="7" t="s">
        <v>12</v>
      </c>
      <c r="C1591" s="7" t="s">
        <v>7</v>
      </c>
      <c r="D1591" s="7" t="s">
        <v>32</v>
      </c>
      <c r="E1591" s="7" t="s">
        <v>28</v>
      </c>
      <c r="F1591" s="8">
        <v>16.0</v>
      </c>
      <c r="G1591" s="9">
        <v>8.0</v>
      </c>
    </row>
    <row r="1592" ht="14.25" hidden="1" customHeight="1">
      <c r="B1592" s="7" t="s">
        <v>12</v>
      </c>
      <c r="C1592" s="7" t="s">
        <v>29</v>
      </c>
      <c r="D1592" s="7" t="s">
        <v>32</v>
      </c>
      <c r="E1592" s="7" t="s">
        <v>9</v>
      </c>
      <c r="F1592" s="8">
        <v>16.0</v>
      </c>
      <c r="G1592" s="9">
        <v>16.0</v>
      </c>
    </row>
    <row r="1593" ht="14.25" hidden="1" customHeight="1">
      <c r="B1593" s="7" t="s">
        <v>12</v>
      </c>
      <c r="C1593" s="7" t="s">
        <v>7</v>
      </c>
      <c r="D1593" s="7" t="s">
        <v>32</v>
      </c>
      <c r="E1593" s="7" t="s">
        <v>9</v>
      </c>
      <c r="F1593" s="8">
        <v>16.0</v>
      </c>
      <c r="G1593" s="9">
        <v>8.0</v>
      </c>
    </row>
    <row r="1594" ht="14.25" hidden="1" customHeight="1">
      <c r="B1594" s="7" t="s">
        <v>12</v>
      </c>
      <c r="C1594" s="7" t="s">
        <v>29</v>
      </c>
      <c r="D1594" s="7" t="s">
        <v>8</v>
      </c>
      <c r="E1594" s="7" t="s">
        <v>28</v>
      </c>
      <c r="F1594" s="8">
        <v>16.0</v>
      </c>
      <c r="G1594" s="9">
        <v>16.0</v>
      </c>
    </row>
    <row r="1595" ht="14.25" hidden="1" customHeight="1">
      <c r="B1595" s="7" t="s">
        <v>12</v>
      </c>
      <c r="C1595" s="7" t="s">
        <v>7</v>
      </c>
      <c r="D1595" s="7" t="s">
        <v>8</v>
      </c>
      <c r="E1595" s="7" t="s">
        <v>10</v>
      </c>
      <c r="F1595" s="8">
        <v>16.0</v>
      </c>
      <c r="G1595" s="9">
        <v>8.0</v>
      </c>
    </row>
    <row r="1596" ht="14.25" hidden="1" customHeight="1">
      <c r="B1596" s="7" t="s">
        <v>12</v>
      </c>
      <c r="C1596" s="7" t="s">
        <v>7</v>
      </c>
      <c r="D1596" s="7" t="s">
        <v>8</v>
      </c>
      <c r="E1596" s="7" t="s">
        <v>10</v>
      </c>
      <c r="F1596" s="8">
        <v>16.0</v>
      </c>
      <c r="G1596" s="9">
        <v>8.0</v>
      </c>
    </row>
    <row r="1597" ht="14.25" hidden="1" customHeight="1">
      <c r="B1597" s="7" t="s">
        <v>12</v>
      </c>
      <c r="C1597" s="7" t="s">
        <v>29</v>
      </c>
      <c r="D1597" s="7" t="s">
        <v>11</v>
      </c>
      <c r="E1597" s="7" t="s">
        <v>10</v>
      </c>
      <c r="F1597" s="8">
        <v>15.0</v>
      </c>
      <c r="G1597" s="9">
        <v>15.0</v>
      </c>
    </row>
    <row r="1598" ht="14.25" hidden="1" customHeight="1">
      <c r="B1598" s="7" t="s">
        <v>12</v>
      </c>
      <c r="C1598" s="7" t="s">
        <v>29</v>
      </c>
      <c r="D1598" s="7" t="s">
        <v>11</v>
      </c>
      <c r="E1598" s="7" t="s">
        <v>8</v>
      </c>
      <c r="F1598" s="8">
        <v>15.0</v>
      </c>
      <c r="G1598" s="9">
        <v>15.0</v>
      </c>
    </row>
    <row r="1599" ht="14.25" hidden="1" customHeight="1">
      <c r="B1599" s="7" t="s">
        <v>12</v>
      </c>
      <c r="C1599" s="7" t="s">
        <v>29</v>
      </c>
      <c r="D1599" s="7" t="s">
        <v>9</v>
      </c>
      <c r="E1599" s="7" t="s">
        <v>10</v>
      </c>
      <c r="F1599" s="8">
        <v>15.0</v>
      </c>
      <c r="G1599" s="9">
        <v>15.0</v>
      </c>
    </row>
    <row r="1600" ht="14.25" hidden="1" customHeight="1">
      <c r="B1600" s="7" t="s">
        <v>12</v>
      </c>
      <c r="C1600" s="7" t="s">
        <v>7</v>
      </c>
      <c r="D1600" s="7" t="s">
        <v>33</v>
      </c>
      <c r="E1600" s="7" t="s">
        <v>28</v>
      </c>
      <c r="F1600" s="8">
        <v>14.0</v>
      </c>
      <c r="G1600" s="9">
        <v>7.0</v>
      </c>
    </row>
    <row r="1601" ht="14.25" hidden="1" customHeight="1">
      <c r="B1601" s="7" t="s">
        <v>12</v>
      </c>
      <c r="C1601" s="7" t="s">
        <v>29</v>
      </c>
      <c r="D1601" s="7" t="s">
        <v>28</v>
      </c>
      <c r="E1601" s="7" t="s">
        <v>8</v>
      </c>
      <c r="F1601" s="8">
        <v>14.0</v>
      </c>
      <c r="G1601" s="9">
        <v>14.0</v>
      </c>
    </row>
    <row r="1602" ht="14.25" hidden="1" customHeight="1">
      <c r="B1602" s="7" t="s">
        <v>12</v>
      </c>
      <c r="C1602" s="7" t="s">
        <v>7</v>
      </c>
      <c r="D1602" s="7" t="s">
        <v>10</v>
      </c>
      <c r="E1602" s="7" t="s">
        <v>31</v>
      </c>
      <c r="F1602" s="8">
        <v>14.0</v>
      </c>
      <c r="G1602" s="9">
        <v>7.0</v>
      </c>
    </row>
    <row r="1603" ht="14.25" hidden="1" customHeight="1">
      <c r="B1603" s="7" t="s">
        <v>12</v>
      </c>
      <c r="C1603" s="7" t="s">
        <v>7</v>
      </c>
      <c r="D1603" s="7" t="s">
        <v>31</v>
      </c>
      <c r="E1603" s="7" t="s">
        <v>10</v>
      </c>
      <c r="F1603" s="8">
        <v>14.0</v>
      </c>
      <c r="G1603" s="9">
        <v>7.0</v>
      </c>
    </row>
    <row r="1604" ht="14.25" hidden="1" customHeight="1">
      <c r="B1604" s="7" t="s">
        <v>12</v>
      </c>
      <c r="C1604" s="7" t="s">
        <v>7</v>
      </c>
      <c r="D1604" s="7" t="s">
        <v>31</v>
      </c>
      <c r="E1604" s="7" t="s">
        <v>31</v>
      </c>
      <c r="F1604" s="8">
        <v>14.0</v>
      </c>
      <c r="G1604" s="9">
        <v>7.0</v>
      </c>
    </row>
    <row r="1605" ht="14.25" hidden="1" customHeight="1">
      <c r="B1605" s="7" t="s">
        <v>12</v>
      </c>
      <c r="C1605" s="7" t="s">
        <v>7</v>
      </c>
      <c r="D1605" s="7" t="s">
        <v>8</v>
      </c>
      <c r="E1605" s="7" t="s">
        <v>9</v>
      </c>
      <c r="F1605" s="8">
        <v>14.0</v>
      </c>
      <c r="G1605" s="9">
        <v>7.0</v>
      </c>
    </row>
    <row r="1606" ht="14.25" hidden="1" customHeight="1">
      <c r="B1606" s="7" t="s">
        <v>12</v>
      </c>
      <c r="C1606" s="7" t="s">
        <v>29</v>
      </c>
      <c r="D1606" s="7" t="s">
        <v>25</v>
      </c>
      <c r="E1606" s="7" t="s">
        <v>31</v>
      </c>
      <c r="F1606" s="8">
        <v>13.0</v>
      </c>
      <c r="G1606" s="9">
        <v>13.0</v>
      </c>
    </row>
    <row r="1607" ht="14.25" hidden="1" customHeight="1">
      <c r="B1607" s="7" t="s">
        <v>12</v>
      </c>
      <c r="C1607" s="7" t="s">
        <v>29</v>
      </c>
      <c r="D1607" s="7" t="s">
        <v>31</v>
      </c>
      <c r="E1607" s="7" t="s">
        <v>28</v>
      </c>
      <c r="F1607" s="8">
        <v>13.0</v>
      </c>
      <c r="G1607" s="9">
        <v>13.0</v>
      </c>
    </row>
    <row r="1608" ht="14.25" hidden="1" customHeight="1">
      <c r="B1608" s="7" t="s">
        <v>12</v>
      </c>
      <c r="C1608" s="7" t="s">
        <v>29</v>
      </c>
      <c r="D1608" s="7" t="s">
        <v>31</v>
      </c>
      <c r="E1608" s="7" t="s">
        <v>35</v>
      </c>
      <c r="F1608" s="8">
        <v>13.0</v>
      </c>
      <c r="G1608" s="9">
        <v>13.0</v>
      </c>
    </row>
    <row r="1609" ht="14.25" hidden="1" customHeight="1">
      <c r="B1609" s="7" t="s">
        <v>12</v>
      </c>
      <c r="C1609" s="7" t="s">
        <v>29</v>
      </c>
      <c r="D1609" s="7" t="s">
        <v>8</v>
      </c>
      <c r="E1609" s="7" t="s">
        <v>9</v>
      </c>
      <c r="F1609" s="8">
        <v>13.0</v>
      </c>
      <c r="G1609" s="9">
        <v>13.0</v>
      </c>
    </row>
    <row r="1610" ht="14.25" hidden="1" customHeight="1">
      <c r="B1610" s="7" t="s">
        <v>12</v>
      </c>
      <c r="C1610" s="7" t="s">
        <v>29</v>
      </c>
      <c r="D1610" s="7" t="s">
        <v>25</v>
      </c>
      <c r="E1610" s="7" t="s">
        <v>33</v>
      </c>
      <c r="F1610" s="8">
        <v>12.0</v>
      </c>
      <c r="G1610" s="9">
        <v>12.0</v>
      </c>
    </row>
    <row r="1611" ht="14.25" hidden="1" customHeight="1">
      <c r="B1611" s="7" t="s">
        <v>12</v>
      </c>
      <c r="C1611" s="7" t="s">
        <v>7</v>
      </c>
      <c r="D1611" s="7" t="s">
        <v>25</v>
      </c>
      <c r="E1611" s="7" t="s">
        <v>8</v>
      </c>
      <c r="F1611" s="8">
        <v>12.0</v>
      </c>
      <c r="G1611" s="9">
        <v>6.0</v>
      </c>
    </row>
    <row r="1612" ht="14.25" hidden="1" customHeight="1">
      <c r="B1612" s="7" t="s">
        <v>12</v>
      </c>
      <c r="C1612" s="7" t="s">
        <v>7</v>
      </c>
      <c r="D1612" s="7" t="s">
        <v>33</v>
      </c>
      <c r="E1612" s="7" t="s">
        <v>10</v>
      </c>
      <c r="F1612" s="8">
        <v>12.0</v>
      </c>
      <c r="G1612" s="9">
        <v>6.0</v>
      </c>
    </row>
    <row r="1613" ht="14.25" hidden="1" customHeight="1">
      <c r="B1613" s="7" t="s">
        <v>12</v>
      </c>
      <c r="C1613" s="7" t="s">
        <v>7</v>
      </c>
      <c r="D1613" s="7" t="s">
        <v>28</v>
      </c>
      <c r="E1613" s="7" t="s">
        <v>31</v>
      </c>
      <c r="F1613" s="8">
        <v>12.0</v>
      </c>
      <c r="G1613" s="9">
        <v>6.0</v>
      </c>
    </row>
    <row r="1614" ht="14.25" hidden="1" customHeight="1">
      <c r="B1614" s="7" t="s">
        <v>12</v>
      </c>
      <c r="C1614" s="7" t="s">
        <v>7</v>
      </c>
      <c r="D1614" s="7" t="s">
        <v>10</v>
      </c>
      <c r="E1614" s="7" t="s">
        <v>31</v>
      </c>
      <c r="F1614" s="8">
        <v>12.0</v>
      </c>
      <c r="G1614" s="9">
        <v>6.0</v>
      </c>
    </row>
    <row r="1615" ht="14.25" hidden="1" customHeight="1">
      <c r="B1615" s="7" t="s">
        <v>12</v>
      </c>
      <c r="C1615" s="7" t="s">
        <v>7</v>
      </c>
      <c r="D1615" s="7" t="s">
        <v>10</v>
      </c>
      <c r="E1615" s="7" t="s">
        <v>8</v>
      </c>
      <c r="F1615" s="8">
        <v>12.0</v>
      </c>
      <c r="G1615" s="9">
        <v>6.0</v>
      </c>
    </row>
    <row r="1616" ht="14.25" hidden="1" customHeight="1">
      <c r="B1616" s="7" t="s">
        <v>12</v>
      </c>
      <c r="C1616" s="7" t="s">
        <v>29</v>
      </c>
      <c r="D1616" s="7" t="s">
        <v>31</v>
      </c>
      <c r="E1616" s="7" t="s">
        <v>25</v>
      </c>
      <c r="F1616" s="8">
        <v>12.0</v>
      </c>
      <c r="G1616" s="9">
        <v>12.0</v>
      </c>
    </row>
    <row r="1617" ht="14.25" hidden="1" customHeight="1">
      <c r="B1617" s="7" t="s">
        <v>12</v>
      </c>
      <c r="C1617" s="7" t="s">
        <v>30</v>
      </c>
      <c r="D1617" s="7" t="s">
        <v>31</v>
      </c>
      <c r="E1617" s="7" t="s">
        <v>31</v>
      </c>
      <c r="F1617" s="8">
        <v>12.0</v>
      </c>
      <c r="G1617" s="9">
        <v>6.0</v>
      </c>
    </row>
    <row r="1618" ht="14.25" hidden="1" customHeight="1">
      <c r="B1618" s="7" t="s">
        <v>12</v>
      </c>
      <c r="C1618" s="7" t="s">
        <v>7</v>
      </c>
      <c r="D1618" s="7" t="s">
        <v>8</v>
      </c>
      <c r="E1618" s="7" t="s">
        <v>25</v>
      </c>
      <c r="F1618" s="8">
        <v>12.0</v>
      </c>
      <c r="G1618" s="9">
        <v>6.0</v>
      </c>
    </row>
    <row r="1619" ht="14.25" hidden="1" customHeight="1">
      <c r="B1619" s="7" t="s">
        <v>12</v>
      </c>
      <c r="C1619" s="7" t="s">
        <v>7</v>
      </c>
      <c r="D1619" s="7" t="s">
        <v>8</v>
      </c>
      <c r="E1619" s="7" t="s">
        <v>35</v>
      </c>
      <c r="F1619" s="8">
        <v>12.0</v>
      </c>
      <c r="G1619" s="9">
        <v>6.0</v>
      </c>
    </row>
    <row r="1620" ht="14.25" customHeight="1">
      <c r="B1620" s="7" t="s">
        <v>12</v>
      </c>
      <c r="C1620" s="7" t="s">
        <v>7</v>
      </c>
      <c r="D1620" s="7" t="s">
        <v>8</v>
      </c>
      <c r="E1620" s="7" t="s">
        <v>31</v>
      </c>
      <c r="F1620" s="8">
        <v>12.0</v>
      </c>
      <c r="G1620" s="9">
        <v>6.0</v>
      </c>
    </row>
    <row r="1621" ht="14.25" hidden="1" customHeight="1">
      <c r="B1621" s="7" t="s">
        <v>12</v>
      </c>
      <c r="C1621" s="7" t="s">
        <v>29</v>
      </c>
      <c r="D1621" s="7" t="s">
        <v>25</v>
      </c>
      <c r="E1621" s="7" t="s">
        <v>10</v>
      </c>
      <c r="F1621" s="8">
        <v>11.0</v>
      </c>
      <c r="G1621" s="9">
        <v>11.0</v>
      </c>
    </row>
    <row r="1622" ht="14.25" hidden="1" customHeight="1">
      <c r="B1622" s="7" t="s">
        <v>12</v>
      </c>
      <c r="C1622" s="7" t="s">
        <v>29</v>
      </c>
      <c r="D1622" s="7" t="s">
        <v>10</v>
      </c>
      <c r="E1622" s="7" t="s">
        <v>8</v>
      </c>
      <c r="F1622" s="8">
        <v>11.0</v>
      </c>
      <c r="G1622" s="9">
        <v>11.0</v>
      </c>
    </row>
    <row r="1623" ht="14.25" hidden="1" customHeight="1">
      <c r="B1623" s="7" t="s">
        <v>12</v>
      </c>
      <c r="C1623" s="7" t="s">
        <v>29</v>
      </c>
      <c r="D1623" s="7" t="s">
        <v>31</v>
      </c>
      <c r="E1623" s="7" t="s">
        <v>28</v>
      </c>
      <c r="F1623" s="8">
        <v>11.0</v>
      </c>
      <c r="G1623" s="9">
        <v>11.0</v>
      </c>
    </row>
    <row r="1624" ht="14.25" hidden="1" customHeight="1">
      <c r="B1624" s="7" t="s">
        <v>12</v>
      </c>
      <c r="C1624" s="7" t="s">
        <v>29</v>
      </c>
      <c r="D1624" s="7" t="s">
        <v>31</v>
      </c>
      <c r="E1624" s="7" t="s">
        <v>35</v>
      </c>
      <c r="F1624" s="8">
        <v>11.0</v>
      </c>
      <c r="G1624" s="9">
        <v>11.0</v>
      </c>
    </row>
    <row r="1625" ht="14.25" hidden="1" customHeight="1">
      <c r="B1625" s="7" t="s">
        <v>12</v>
      </c>
      <c r="C1625" s="7" t="s">
        <v>29</v>
      </c>
      <c r="D1625" s="7" t="s">
        <v>8</v>
      </c>
      <c r="E1625" s="7" t="s">
        <v>25</v>
      </c>
      <c r="F1625" s="8">
        <v>11.0</v>
      </c>
      <c r="G1625" s="9">
        <v>11.0</v>
      </c>
    </row>
    <row r="1626" ht="14.25" hidden="1" customHeight="1">
      <c r="B1626" s="7" t="s">
        <v>12</v>
      </c>
      <c r="C1626" s="7" t="s">
        <v>30</v>
      </c>
      <c r="D1626" s="7" t="s">
        <v>25</v>
      </c>
      <c r="E1626" s="7" t="s">
        <v>31</v>
      </c>
      <c r="F1626" s="8">
        <v>10.0</v>
      </c>
      <c r="G1626" s="9">
        <v>5.0</v>
      </c>
    </row>
    <row r="1627" ht="14.25" hidden="1" customHeight="1">
      <c r="B1627" s="7" t="s">
        <v>12</v>
      </c>
      <c r="C1627" s="7" t="s">
        <v>7</v>
      </c>
      <c r="D1627" s="7" t="s">
        <v>33</v>
      </c>
      <c r="E1627" s="7" t="s">
        <v>35</v>
      </c>
      <c r="F1627" s="8">
        <v>10.0</v>
      </c>
      <c r="G1627" s="9">
        <v>5.0</v>
      </c>
    </row>
    <row r="1628" ht="14.25" hidden="1" customHeight="1">
      <c r="B1628" s="7" t="s">
        <v>12</v>
      </c>
      <c r="C1628" s="7" t="s">
        <v>30</v>
      </c>
      <c r="D1628" s="7" t="s">
        <v>28</v>
      </c>
      <c r="E1628" s="7" t="s">
        <v>25</v>
      </c>
      <c r="F1628" s="8">
        <v>10.0</v>
      </c>
      <c r="G1628" s="9">
        <v>5.0</v>
      </c>
    </row>
    <row r="1629" ht="14.25" hidden="1" customHeight="1">
      <c r="B1629" s="7" t="s">
        <v>12</v>
      </c>
      <c r="C1629" s="7" t="s">
        <v>7</v>
      </c>
      <c r="D1629" s="7" t="s">
        <v>11</v>
      </c>
      <c r="E1629" s="7" t="s">
        <v>31</v>
      </c>
      <c r="F1629" s="8">
        <v>10.0</v>
      </c>
      <c r="G1629" s="9">
        <v>5.0</v>
      </c>
    </row>
    <row r="1630" ht="14.25" hidden="1" customHeight="1">
      <c r="B1630" s="7" t="s">
        <v>12</v>
      </c>
      <c r="C1630" s="7" t="s">
        <v>29</v>
      </c>
      <c r="D1630" s="7" t="s">
        <v>9</v>
      </c>
      <c r="E1630" s="7" t="s">
        <v>31</v>
      </c>
      <c r="F1630" s="8">
        <v>10.0</v>
      </c>
      <c r="G1630" s="9">
        <v>10.0</v>
      </c>
    </row>
    <row r="1631" ht="14.25" hidden="1" customHeight="1">
      <c r="B1631" s="7" t="s">
        <v>12</v>
      </c>
      <c r="C1631" s="7" t="s">
        <v>29</v>
      </c>
      <c r="D1631" s="7" t="s">
        <v>9</v>
      </c>
      <c r="E1631" s="7" t="s">
        <v>31</v>
      </c>
      <c r="F1631" s="8">
        <v>10.0</v>
      </c>
      <c r="G1631" s="9">
        <v>10.0</v>
      </c>
    </row>
    <row r="1632" ht="14.25" hidden="1" customHeight="1">
      <c r="B1632" s="7" t="s">
        <v>12</v>
      </c>
      <c r="C1632" s="7" t="s">
        <v>30</v>
      </c>
      <c r="D1632" s="7" t="s">
        <v>9</v>
      </c>
      <c r="E1632" s="7" t="s">
        <v>8</v>
      </c>
      <c r="F1632" s="8">
        <v>10.0</v>
      </c>
      <c r="G1632" s="9">
        <v>5.0</v>
      </c>
    </row>
    <row r="1633" ht="14.25" hidden="1" customHeight="1">
      <c r="B1633" s="7" t="s">
        <v>12</v>
      </c>
      <c r="C1633" s="7" t="s">
        <v>30</v>
      </c>
      <c r="D1633" s="7" t="s">
        <v>24</v>
      </c>
      <c r="E1633" s="7" t="s">
        <v>10</v>
      </c>
      <c r="F1633" s="8">
        <v>10.0</v>
      </c>
      <c r="G1633" s="9">
        <v>5.0</v>
      </c>
    </row>
    <row r="1634" ht="14.25" hidden="1" customHeight="1">
      <c r="B1634" s="7" t="s">
        <v>12</v>
      </c>
      <c r="C1634" s="7" t="s">
        <v>30</v>
      </c>
      <c r="D1634" s="7" t="s">
        <v>31</v>
      </c>
      <c r="E1634" s="7" t="s">
        <v>24</v>
      </c>
      <c r="F1634" s="8">
        <v>10.0</v>
      </c>
      <c r="G1634" s="9">
        <v>5.0</v>
      </c>
    </row>
    <row r="1635" ht="14.25" hidden="1" customHeight="1">
      <c r="B1635" s="7" t="s">
        <v>12</v>
      </c>
      <c r="C1635" s="7" t="s">
        <v>7</v>
      </c>
      <c r="D1635" s="7" t="s">
        <v>8</v>
      </c>
      <c r="E1635" s="7" t="s">
        <v>9</v>
      </c>
      <c r="F1635" s="8">
        <v>10.0</v>
      </c>
      <c r="G1635" s="9">
        <v>5.0</v>
      </c>
    </row>
    <row r="1636" ht="14.25" hidden="1" customHeight="1">
      <c r="B1636" s="7" t="s">
        <v>12</v>
      </c>
      <c r="C1636" s="7" t="s">
        <v>7</v>
      </c>
      <c r="D1636" s="7" t="s">
        <v>8</v>
      </c>
      <c r="E1636" s="7" t="s">
        <v>9</v>
      </c>
      <c r="F1636" s="8">
        <v>10.0</v>
      </c>
      <c r="G1636" s="9">
        <v>5.0</v>
      </c>
    </row>
    <row r="1637" ht="14.25" customHeight="1">
      <c r="B1637" s="7" t="s">
        <v>12</v>
      </c>
      <c r="C1637" s="7" t="s">
        <v>7</v>
      </c>
      <c r="D1637" s="7" t="s">
        <v>8</v>
      </c>
      <c r="E1637" s="7" t="s">
        <v>31</v>
      </c>
      <c r="F1637" s="8">
        <v>10.0</v>
      </c>
      <c r="G1637" s="9">
        <v>5.0</v>
      </c>
    </row>
    <row r="1638" ht="14.25" customHeight="1">
      <c r="B1638" s="7" t="s">
        <v>12</v>
      </c>
      <c r="C1638" s="7" t="s">
        <v>7</v>
      </c>
      <c r="D1638" s="7" t="s">
        <v>8</v>
      </c>
      <c r="E1638" s="7" t="s">
        <v>31</v>
      </c>
      <c r="F1638" s="8">
        <v>10.0</v>
      </c>
      <c r="G1638" s="9">
        <v>5.0</v>
      </c>
    </row>
    <row r="1639" ht="14.25" hidden="1" customHeight="1">
      <c r="B1639" s="7" t="s">
        <v>12</v>
      </c>
      <c r="C1639" s="7" t="s">
        <v>7</v>
      </c>
      <c r="D1639" s="7" t="s">
        <v>25</v>
      </c>
      <c r="E1639" s="7" t="s">
        <v>33</v>
      </c>
      <c r="F1639" s="8">
        <v>8.0</v>
      </c>
      <c r="G1639" s="9">
        <v>4.0</v>
      </c>
    </row>
    <row r="1640" ht="14.25" hidden="1" customHeight="1">
      <c r="B1640" s="7" t="s">
        <v>12</v>
      </c>
      <c r="C1640" s="7" t="s">
        <v>7</v>
      </c>
      <c r="D1640" s="7" t="s">
        <v>33</v>
      </c>
      <c r="E1640" s="7" t="s">
        <v>35</v>
      </c>
      <c r="F1640" s="8">
        <v>8.0</v>
      </c>
      <c r="G1640" s="9">
        <v>4.0</v>
      </c>
    </row>
    <row r="1641" ht="14.25" hidden="1" customHeight="1">
      <c r="B1641" s="7" t="s">
        <v>12</v>
      </c>
      <c r="C1641" s="7" t="s">
        <v>7</v>
      </c>
      <c r="D1641" s="7" t="s">
        <v>33</v>
      </c>
      <c r="E1641" s="7" t="s">
        <v>8</v>
      </c>
      <c r="F1641" s="8">
        <v>8.0</v>
      </c>
      <c r="G1641" s="9">
        <v>4.0</v>
      </c>
    </row>
    <row r="1642" ht="14.25" hidden="1" customHeight="1">
      <c r="B1642" s="7" t="s">
        <v>12</v>
      </c>
      <c r="C1642" s="7" t="s">
        <v>7</v>
      </c>
      <c r="D1642" s="7" t="s">
        <v>33</v>
      </c>
      <c r="E1642" s="7" t="s">
        <v>8</v>
      </c>
      <c r="F1642" s="8">
        <v>8.0</v>
      </c>
      <c r="G1642" s="9">
        <v>4.0</v>
      </c>
    </row>
    <row r="1643" ht="14.25" hidden="1" customHeight="1">
      <c r="B1643" s="7" t="s">
        <v>12</v>
      </c>
      <c r="C1643" s="7" t="s">
        <v>7</v>
      </c>
      <c r="D1643" s="7" t="s">
        <v>28</v>
      </c>
      <c r="E1643" s="7" t="s">
        <v>35</v>
      </c>
      <c r="F1643" s="8">
        <v>8.0</v>
      </c>
      <c r="G1643" s="9">
        <v>4.0</v>
      </c>
    </row>
    <row r="1644" ht="14.25" hidden="1" customHeight="1">
      <c r="B1644" s="7" t="s">
        <v>12</v>
      </c>
      <c r="C1644" s="7" t="s">
        <v>29</v>
      </c>
      <c r="D1644" s="7" t="s">
        <v>28</v>
      </c>
      <c r="E1644" s="7" t="s">
        <v>31</v>
      </c>
      <c r="F1644" s="8">
        <v>8.0</v>
      </c>
      <c r="G1644" s="9">
        <v>8.0</v>
      </c>
    </row>
    <row r="1645" ht="14.25" hidden="1" customHeight="1">
      <c r="B1645" s="7" t="s">
        <v>12</v>
      </c>
      <c r="C1645" s="7" t="s">
        <v>30</v>
      </c>
      <c r="D1645" s="7" t="s">
        <v>11</v>
      </c>
      <c r="E1645" s="7" t="s">
        <v>10</v>
      </c>
      <c r="F1645" s="8">
        <v>8.0</v>
      </c>
      <c r="G1645" s="9">
        <v>4.0</v>
      </c>
    </row>
    <row r="1646" ht="14.25" hidden="1" customHeight="1">
      <c r="B1646" s="7" t="s">
        <v>12</v>
      </c>
      <c r="C1646" s="7" t="s">
        <v>7</v>
      </c>
      <c r="D1646" s="7" t="s">
        <v>9</v>
      </c>
      <c r="E1646" s="7" t="s">
        <v>25</v>
      </c>
      <c r="F1646" s="8">
        <v>8.0</v>
      </c>
      <c r="G1646" s="9">
        <v>8.0</v>
      </c>
    </row>
    <row r="1647" ht="14.25" hidden="1" customHeight="1">
      <c r="B1647" s="7" t="s">
        <v>12</v>
      </c>
      <c r="C1647" s="7" t="s">
        <v>29</v>
      </c>
      <c r="D1647" s="7" t="s">
        <v>9</v>
      </c>
      <c r="E1647" s="7" t="s">
        <v>10</v>
      </c>
      <c r="F1647" s="8">
        <v>8.0</v>
      </c>
      <c r="G1647" s="9">
        <v>8.0</v>
      </c>
    </row>
    <row r="1648" ht="14.25" hidden="1" customHeight="1">
      <c r="B1648" s="7" t="s">
        <v>12</v>
      </c>
      <c r="C1648" s="7" t="s">
        <v>7</v>
      </c>
      <c r="D1648" s="7" t="s">
        <v>10</v>
      </c>
      <c r="E1648" s="7" t="s">
        <v>31</v>
      </c>
      <c r="F1648" s="8">
        <v>8.0</v>
      </c>
      <c r="G1648" s="9">
        <v>4.0</v>
      </c>
    </row>
    <row r="1649" ht="14.25" hidden="1" customHeight="1">
      <c r="B1649" s="7" t="s">
        <v>12</v>
      </c>
      <c r="C1649" s="7" t="s">
        <v>29</v>
      </c>
      <c r="D1649" s="7" t="s">
        <v>10</v>
      </c>
      <c r="E1649" s="7" t="s">
        <v>8</v>
      </c>
      <c r="F1649" s="8">
        <v>8.0</v>
      </c>
      <c r="G1649" s="9">
        <v>8.0</v>
      </c>
    </row>
    <row r="1650" ht="14.25" hidden="1" customHeight="1">
      <c r="B1650" s="7" t="s">
        <v>12</v>
      </c>
      <c r="C1650" s="7" t="s">
        <v>7</v>
      </c>
      <c r="D1650" s="7" t="s">
        <v>32</v>
      </c>
      <c r="E1650" s="7" t="s">
        <v>28</v>
      </c>
      <c r="F1650" s="8">
        <v>8.0</v>
      </c>
      <c r="G1650" s="9">
        <v>4.0</v>
      </c>
    </row>
    <row r="1651" ht="14.25" hidden="1" customHeight="1">
      <c r="B1651" s="7" t="s">
        <v>12</v>
      </c>
      <c r="C1651" s="7" t="s">
        <v>7</v>
      </c>
      <c r="D1651" s="7" t="s">
        <v>32</v>
      </c>
      <c r="E1651" s="7" t="s">
        <v>8</v>
      </c>
      <c r="F1651" s="8">
        <v>8.0</v>
      </c>
      <c r="G1651" s="9">
        <v>4.0</v>
      </c>
    </row>
    <row r="1652" ht="14.25" hidden="1" customHeight="1">
      <c r="B1652" s="7" t="s">
        <v>12</v>
      </c>
      <c r="C1652" s="7" t="s">
        <v>7</v>
      </c>
      <c r="D1652" s="7" t="s">
        <v>31</v>
      </c>
      <c r="E1652" s="7" t="s">
        <v>28</v>
      </c>
      <c r="F1652" s="8">
        <v>8.0</v>
      </c>
      <c r="G1652" s="9">
        <v>4.0</v>
      </c>
    </row>
    <row r="1653" ht="14.25" hidden="1" customHeight="1">
      <c r="B1653" s="7" t="s">
        <v>12</v>
      </c>
      <c r="C1653" s="7" t="s">
        <v>30</v>
      </c>
      <c r="D1653" s="7" t="s">
        <v>31</v>
      </c>
      <c r="E1653" s="7" t="s">
        <v>35</v>
      </c>
      <c r="F1653" s="8">
        <v>8.0</v>
      </c>
      <c r="G1653" s="9">
        <v>4.0</v>
      </c>
    </row>
    <row r="1654" ht="14.25" hidden="1" customHeight="1">
      <c r="B1654" s="7" t="s">
        <v>12</v>
      </c>
      <c r="C1654" s="7" t="s">
        <v>29</v>
      </c>
      <c r="D1654" s="7" t="s">
        <v>31</v>
      </c>
      <c r="E1654" s="7" t="s">
        <v>9</v>
      </c>
      <c r="F1654" s="8">
        <v>8.0</v>
      </c>
      <c r="G1654" s="9">
        <v>8.0</v>
      </c>
    </row>
    <row r="1655" ht="14.25" hidden="1" customHeight="1">
      <c r="B1655" s="7" t="s">
        <v>12</v>
      </c>
      <c r="C1655" s="7" t="s">
        <v>7</v>
      </c>
      <c r="D1655" s="7" t="s">
        <v>31</v>
      </c>
      <c r="E1655" s="7" t="s">
        <v>31</v>
      </c>
      <c r="F1655" s="8">
        <v>8.0</v>
      </c>
      <c r="G1655" s="9">
        <v>4.0</v>
      </c>
    </row>
    <row r="1656" ht="14.25" hidden="1" customHeight="1">
      <c r="B1656" s="7" t="s">
        <v>12</v>
      </c>
      <c r="C1656" s="7" t="s">
        <v>30</v>
      </c>
      <c r="D1656" s="7" t="s">
        <v>31</v>
      </c>
      <c r="E1656" s="7" t="s">
        <v>8</v>
      </c>
      <c r="F1656" s="8">
        <v>8.0</v>
      </c>
      <c r="G1656" s="9">
        <v>4.0</v>
      </c>
    </row>
    <row r="1657" ht="14.25" hidden="1" customHeight="1">
      <c r="B1657" s="7" t="s">
        <v>12</v>
      </c>
      <c r="C1657" s="7" t="s">
        <v>7</v>
      </c>
      <c r="D1657" s="7" t="s">
        <v>8</v>
      </c>
      <c r="E1657" s="7" t="s">
        <v>9</v>
      </c>
      <c r="F1657" s="8">
        <v>8.0</v>
      </c>
      <c r="G1657" s="9">
        <v>8.0</v>
      </c>
    </row>
    <row r="1658" ht="14.25" customHeight="1">
      <c r="B1658" s="7" t="s">
        <v>12</v>
      </c>
      <c r="C1658" s="7" t="s">
        <v>29</v>
      </c>
      <c r="D1658" s="7" t="s">
        <v>8</v>
      </c>
      <c r="E1658" s="7" t="s">
        <v>31</v>
      </c>
      <c r="F1658" s="8">
        <v>8.0</v>
      </c>
      <c r="G1658" s="9">
        <v>8.0</v>
      </c>
    </row>
    <row r="1659" ht="14.25" customHeight="1">
      <c r="B1659" s="7" t="s">
        <v>12</v>
      </c>
      <c r="C1659" s="7" t="s">
        <v>29</v>
      </c>
      <c r="D1659" s="7" t="s">
        <v>8</v>
      </c>
      <c r="E1659" s="7" t="s">
        <v>31</v>
      </c>
      <c r="F1659" s="8">
        <v>8.0</v>
      </c>
      <c r="G1659" s="9">
        <v>8.0</v>
      </c>
    </row>
    <row r="1660" ht="14.25" hidden="1" customHeight="1">
      <c r="B1660" s="7" t="s">
        <v>12</v>
      </c>
      <c r="C1660" s="7" t="s">
        <v>29</v>
      </c>
      <c r="D1660" s="7" t="s">
        <v>9</v>
      </c>
      <c r="E1660" s="7" t="s">
        <v>25</v>
      </c>
      <c r="F1660" s="8">
        <v>7.0</v>
      </c>
      <c r="G1660" s="9">
        <v>7.0</v>
      </c>
    </row>
    <row r="1661" ht="14.25" hidden="1" customHeight="1">
      <c r="B1661" s="7" t="s">
        <v>12</v>
      </c>
      <c r="C1661" s="7" t="s">
        <v>29</v>
      </c>
      <c r="D1661" s="7" t="s">
        <v>9</v>
      </c>
      <c r="E1661" s="7" t="s">
        <v>8</v>
      </c>
      <c r="F1661" s="8">
        <v>7.0</v>
      </c>
      <c r="G1661" s="9">
        <v>7.0</v>
      </c>
    </row>
    <row r="1662" ht="14.25" hidden="1" customHeight="1">
      <c r="B1662" s="7" t="s">
        <v>12</v>
      </c>
      <c r="C1662" s="7" t="s">
        <v>29</v>
      </c>
      <c r="D1662" s="7" t="s">
        <v>8</v>
      </c>
      <c r="E1662" s="7" t="s">
        <v>9</v>
      </c>
      <c r="F1662" s="8">
        <v>7.0</v>
      </c>
      <c r="G1662" s="9">
        <v>7.0</v>
      </c>
    </row>
    <row r="1663" ht="14.25" hidden="1" customHeight="1">
      <c r="B1663" s="7" t="s">
        <v>12</v>
      </c>
      <c r="C1663" s="7" t="s">
        <v>29</v>
      </c>
      <c r="D1663" s="7" t="s">
        <v>25</v>
      </c>
      <c r="E1663" s="7" t="s">
        <v>9</v>
      </c>
      <c r="F1663" s="8">
        <v>6.0</v>
      </c>
      <c r="G1663" s="9">
        <v>6.0</v>
      </c>
    </row>
    <row r="1664" ht="14.25" hidden="1" customHeight="1">
      <c r="B1664" s="7" t="s">
        <v>12</v>
      </c>
      <c r="C1664" s="7" t="s">
        <v>29</v>
      </c>
      <c r="D1664" s="7" t="s">
        <v>33</v>
      </c>
      <c r="E1664" s="7" t="s">
        <v>25</v>
      </c>
      <c r="F1664" s="8">
        <v>6.0</v>
      </c>
      <c r="G1664" s="9">
        <v>6.0</v>
      </c>
    </row>
    <row r="1665" ht="14.25" hidden="1" customHeight="1">
      <c r="B1665" s="7" t="s">
        <v>12</v>
      </c>
      <c r="C1665" s="7" t="s">
        <v>7</v>
      </c>
      <c r="D1665" s="7" t="s">
        <v>28</v>
      </c>
      <c r="E1665" s="7" t="s">
        <v>9</v>
      </c>
      <c r="F1665" s="8">
        <v>6.0</v>
      </c>
      <c r="G1665" s="9">
        <v>3.0</v>
      </c>
    </row>
    <row r="1666" ht="14.25" hidden="1" customHeight="1">
      <c r="B1666" s="7" t="s">
        <v>12</v>
      </c>
      <c r="C1666" s="7" t="s">
        <v>30</v>
      </c>
      <c r="D1666" s="7" t="s">
        <v>28</v>
      </c>
      <c r="E1666" s="7" t="s">
        <v>31</v>
      </c>
      <c r="F1666" s="8">
        <v>6.0</v>
      </c>
      <c r="G1666" s="9">
        <v>3.0</v>
      </c>
    </row>
    <row r="1667" ht="14.25" hidden="1" customHeight="1">
      <c r="B1667" s="7" t="s">
        <v>12</v>
      </c>
      <c r="C1667" s="7" t="s">
        <v>29</v>
      </c>
      <c r="D1667" s="7" t="s">
        <v>28</v>
      </c>
      <c r="E1667" s="7" t="s">
        <v>8</v>
      </c>
      <c r="F1667" s="8">
        <v>6.0</v>
      </c>
      <c r="G1667" s="9">
        <v>6.0</v>
      </c>
    </row>
    <row r="1668" ht="14.25" hidden="1" customHeight="1">
      <c r="B1668" s="7" t="s">
        <v>12</v>
      </c>
      <c r="C1668" s="7" t="s">
        <v>7</v>
      </c>
      <c r="D1668" s="7" t="s">
        <v>34</v>
      </c>
      <c r="E1668" s="7" t="s">
        <v>28</v>
      </c>
      <c r="F1668" s="8">
        <v>6.0</v>
      </c>
      <c r="G1668" s="9">
        <v>3.0</v>
      </c>
    </row>
    <row r="1669" ht="14.25" hidden="1" customHeight="1">
      <c r="B1669" s="7" t="s">
        <v>12</v>
      </c>
      <c r="C1669" s="7" t="s">
        <v>7</v>
      </c>
      <c r="D1669" s="7" t="s">
        <v>34</v>
      </c>
      <c r="E1669" s="7" t="s">
        <v>8</v>
      </c>
      <c r="F1669" s="8">
        <v>6.0</v>
      </c>
      <c r="G1669" s="9">
        <v>3.0</v>
      </c>
    </row>
    <row r="1670" ht="14.25" hidden="1" customHeight="1">
      <c r="B1670" s="7" t="s">
        <v>12</v>
      </c>
      <c r="C1670" s="7" t="s">
        <v>29</v>
      </c>
      <c r="D1670" s="7" t="s">
        <v>9</v>
      </c>
      <c r="E1670" s="7" t="s">
        <v>33</v>
      </c>
      <c r="F1670" s="8">
        <v>6.0</v>
      </c>
      <c r="G1670" s="9">
        <v>6.0</v>
      </c>
    </row>
    <row r="1671" ht="14.25" hidden="1" customHeight="1">
      <c r="B1671" s="7" t="s">
        <v>12</v>
      </c>
      <c r="C1671" s="7" t="s">
        <v>7</v>
      </c>
      <c r="D1671" s="7" t="s">
        <v>9</v>
      </c>
      <c r="E1671" s="7" t="s">
        <v>33</v>
      </c>
      <c r="F1671" s="8">
        <v>6.0</v>
      </c>
      <c r="G1671" s="9">
        <v>3.0</v>
      </c>
    </row>
    <row r="1672" ht="14.25" hidden="1" customHeight="1">
      <c r="B1672" s="7" t="s">
        <v>12</v>
      </c>
      <c r="C1672" s="7" t="s">
        <v>30</v>
      </c>
      <c r="D1672" s="7" t="s">
        <v>24</v>
      </c>
      <c r="E1672" s="7" t="s">
        <v>8</v>
      </c>
      <c r="F1672" s="8">
        <v>6.0</v>
      </c>
      <c r="G1672" s="9">
        <v>3.0</v>
      </c>
    </row>
    <row r="1673" ht="14.25" hidden="1" customHeight="1">
      <c r="B1673" s="7" t="s">
        <v>12</v>
      </c>
      <c r="C1673" s="7" t="s">
        <v>7</v>
      </c>
      <c r="D1673" s="7" t="s">
        <v>10</v>
      </c>
      <c r="E1673" s="7" t="s">
        <v>25</v>
      </c>
      <c r="F1673" s="8">
        <v>6.0</v>
      </c>
      <c r="G1673" s="9">
        <v>6.0</v>
      </c>
    </row>
    <row r="1674" ht="14.25" hidden="1" customHeight="1">
      <c r="B1674" s="7" t="s">
        <v>12</v>
      </c>
      <c r="C1674" s="7" t="s">
        <v>29</v>
      </c>
      <c r="D1674" s="7" t="s">
        <v>10</v>
      </c>
      <c r="E1674" s="7" t="s">
        <v>25</v>
      </c>
      <c r="F1674" s="8">
        <v>6.0</v>
      </c>
      <c r="G1674" s="9">
        <v>6.0</v>
      </c>
    </row>
    <row r="1675" ht="14.25" hidden="1" customHeight="1">
      <c r="B1675" s="7" t="s">
        <v>12</v>
      </c>
      <c r="C1675" s="7" t="s">
        <v>7</v>
      </c>
      <c r="D1675" s="7" t="s">
        <v>32</v>
      </c>
      <c r="E1675" s="7" t="s">
        <v>35</v>
      </c>
      <c r="F1675" s="8">
        <v>6.0</v>
      </c>
      <c r="G1675" s="9">
        <v>3.0</v>
      </c>
    </row>
    <row r="1676" ht="14.25" hidden="1" customHeight="1">
      <c r="B1676" s="7" t="s">
        <v>12</v>
      </c>
      <c r="C1676" s="7" t="s">
        <v>7</v>
      </c>
      <c r="D1676" s="7" t="s">
        <v>8</v>
      </c>
      <c r="E1676" s="7" t="s">
        <v>25</v>
      </c>
      <c r="F1676" s="8">
        <v>6.0</v>
      </c>
      <c r="G1676" s="9">
        <v>3.0</v>
      </c>
    </row>
    <row r="1677" ht="14.25" hidden="1" customHeight="1">
      <c r="B1677" s="7" t="s">
        <v>12</v>
      </c>
      <c r="C1677" s="7" t="s">
        <v>7</v>
      </c>
      <c r="D1677" s="7" t="s">
        <v>8</v>
      </c>
      <c r="E1677" s="7" t="s">
        <v>9</v>
      </c>
      <c r="F1677" s="8">
        <v>6.0</v>
      </c>
      <c r="G1677" s="9">
        <v>3.0</v>
      </c>
    </row>
    <row r="1678" ht="14.25" hidden="1" customHeight="1">
      <c r="B1678" s="7" t="s">
        <v>12</v>
      </c>
      <c r="C1678" s="7" t="s">
        <v>29</v>
      </c>
      <c r="D1678" s="7" t="s">
        <v>9</v>
      </c>
      <c r="E1678" s="7" t="s">
        <v>8</v>
      </c>
      <c r="F1678" s="8">
        <v>5.0</v>
      </c>
      <c r="G1678" s="9">
        <v>5.0</v>
      </c>
    </row>
    <row r="1679" ht="14.25" hidden="1" customHeight="1">
      <c r="B1679" s="7" t="s">
        <v>12</v>
      </c>
      <c r="C1679" s="7" t="s">
        <v>29</v>
      </c>
      <c r="D1679" s="7" t="s">
        <v>10</v>
      </c>
      <c r="E1679" s="7" t="s">
        <v>9</v>
      </c>
      <c r="F1679" s="8">
        <v>5.0</v>
      </c>
      <c r="G1679" s="9">
        <v>5.0</v>
      </c>
    </row>
    <row r="1680" ht="14.25" hidden="1" customHeight="1">
      <c r="B1680" s="7" t="s">
        <v>12</v>
      </c>
      <c r="C1680" s="7" t="s">
        <v>29</v>
      </c>
      <c r="D1680" s="7" t="s">
        <v>32</v>
      </c>
      <c r="E1680" s="7" t="s">
        <v>25</v>
      </c>
      <c r="F1680" s="8">
        <v>5.0</v>
      </c>
      <c r="G1680" s="9">
        <v>5.0</v>
      </c>
    </row>
    <row r="1681" ht="14.25" hidden="1" customHeight="1">
      <c r="B1681" s="7" t="s">
        <v>12</v>
      </c>
      <c r="C1681" s="7" t="s">
        <v>29</v>
      </c>
      <c r="D1681" s="7" t="s">
        <v>32</v>
      </c>
      <c r="E1681" s="7" t="s">
        <v>28</v>
      </c>
      <c r="F1681" s="8">
        <v>5.0</v>
      </c>
      <c r="G1681" s="9">
        <v>5.0</v>
      </c>
    </row>
    <row r="1682" ht="14.25" hidden="1" customHeight="1">
      <c r="B1682" s="7" t="s">
        <v>12</v>
      </c>
      <c r="C1682" s="7" t="s">
        <v>29</v>
      </c>
      <c r="D1682" s="7" t="s">
        <v>32</v>
      </c>
      <c r="E1682" s="7" t="s">
        <v>28</v>
      </c>
      <c r="F1682" s="8">
        <v>5.0</v>
      </c>
      <c r="G1682" s="9">
        <v>5.0</v>
      </c>
    </row>
    <row r="1683" ht="14.25" hidden="1" customHeight="1">
      <c r="B1683" s="7" t="s">
        <v>12</v>
      </c>
      <c r="C1683" s="7" t="s">
        <v>29</v>
      </c>
      <c r="D1683" s="7" t="s">
        <v>31</v>
      </c>
      <c r="E1683" s="7" t="s">
        <v>33</v>
      </c>
      <c r="F1683" s="8">
        <v>5.0</v>
      </c>
      <c r="G1683" s="9">
        <v>5.0</v>
      </c>
    </row>
    <row r="1684" ht="14.25" hidden="1" customHeight="1">
      <c r="B1684" s="7" t="s">
        <v>12</v>
      </c>
      <c r="C1684" s="7" t="s">
        <v>29</v>
      </c>
      <c r="D1684" s="7" t="s">
        <v>31</v>
      </c>
      <c r="E1684" s="7" t="s">
        <v>31</v>
      </c>
      <c r="F1684" s="8">
        <v>5.0</v>
      </c>
      <c r="G1684" s="9">
        <v>5.0</v>
      </c>
    </row>
    <row r="1685" ht="14.25" hidden="1" customHeight="1">
      <c r="B1685" s="7" t="s">
        <v>12</v>
      </c>
      <c r="C1685" s="7" t="s">
        <v>7</v>
      </c>
      <c r="D1685" s="7" t="s">
        <v>25</v>
      </c>
      <c r="E1685" s="7" t="s">
        <v>10</v>
      </c>
      <c r="F1685" s="8">
        <v>4.0</v>
      </c>
      <c r="G1685" s="9">
        <v>2.0</v>
      </c>
    </row>
    <row r="1686" ht="14.25" hidden="1" customHeight="1">
      <c r="B1686" s="7" t="s">
        <v>12</v>
      </c>
      <c r="C1686" s="7" t="s">
        <v>29</v>
      </c>
      <c r="D1686" s="7" t="s">
        <v>25</v>
      </c>
      <c r="E1686" s="7" t="s">
        <v>8</v>
      </c>
      <c r="F1686" s="8">
        <v>4.0</v>
      </c>
      <c r="G1686" s="9">
        <v>4.0</v>
      </c>
    </row>
    <row r="1687" ht="14.25" hidden="1" customHeight="1">
      <c r="B1687" s="7" t="s">
        <v>12</v>
      </c>
      <c r="C1687" s="7" t="s">
        <v>7</v>
      </c>
      <c r="D1687" s="7" t="s">
        <v>25</v>
      </c>
      <c r="E1687" s="7" t="s">
        <v>8</v>
      </c>
      <c r="F1687" s="8">
        <v>4.0</v>
      </c>
      <c r="G1687" s="9">
        <v>2.0</v>
      </c>
    </row>
    <row r="1688" ht="14.25" hidden="1" customHeight="1">
      <c r="B1688" s="7" t="s">
        <v>12</v>
      </c>
      <c r="C1688" s="7" t="s">
        <v>7</v>
      </c>
      <c r="D1688" s="7" t="s">
        <v>33</v>
      </c>
      <c r="E1688" s="7" t="s">
        <v>25</v>
      </c>
      <c r="F1688" s="8">
        <v>4.0</v>
      </c>
      <c r="G1688" s="9">
        <v>2.0</v>
      </c>
    </row>
    <row r="1689" ht="14.25" hidden="1" customHeight="1">
      <c r="B1689" s="7" t="s">
        <v>12</v>
      </c>
      <c r="C1689" s="7" t="s">
        <v>7</v>
      </c>
      <c r="D1689" s="7" t="s">
        <v>33</v>
      </c>
      <c r="E1689" s="7" t="s">
        <v>28</v>
      </c>
      <c r="F1689" s="8">
        <v>4.0</v>
      </c>
      <c r="G1689" s="9">
        <v>2.0</v>
      </c>
    </row>
    <row r="1690" ht="14.25" hidden="1" customHeight="1">
      <c r="B1690" s="7" t="s">
        <v>12</v>
      </c>
      <c r="C1690" s="7" t="s">
        <v>30</v>
      </c>
      <c r="D1690" s="7" t="s">
        <v>33</v>
      </c>
      <c r="E1690" s="7" t="s">
        <v>10</v>
      </c>
      <c r="F1690" s="8">
        <v>4.0</v>
      </c>
      <c r="G1690" s="9">
        <v>2.0</v>
      </c>
    </row>
    <row r="1691" ht="14.25" hidden="1" customHeight="1">
      <c r="B1691" s="7" t="s">
        <v>12</v>
      </c>
      <c r="C1691" s="7" t="s">
        <v>7</v>
      </c>
      <c r="D1691" s="7" t="s">
        <v>28</v>
      </c>
      <c r="E1691" s="7" t="s">
        <v>25</v>
      </c>
      <c r="F1691" s="8">
        <v>4.0</v>
      </c>
      <c r="G1691" s="9">
        <v>4.0</v>
      </c>
    </row>
    <row r="1692" ht="14.25" hidden="1" customHeight="1">
      <c r="B1692" s="7" t="s">
        <v>12</v>
      </c>
      <c r="C1692" s="7" t="s">
        <v>7</v>
      </c>
      <c r="D1692" s="7" t="s">
        <v>28</v>
      </c>
      <c r="E1692" s="7" t="s">
        <v>33</v>
      </c>
      <c r="F1692" s="8">
        <v>4.0</v>
      </c>
      <c r="G1692" s="9">
        <v>2.0</v>
      </c>
    </row>
    <row r="1693" ht="14.25" hidden="1" customHeight="1">
      <c r="B1693" s="7" t="s">
        <v>12</v>
      </c>
      <c r="C1693" s="7" t="s">
        <v>7</v>
      </c>
      <c r="D1693" s="7" t="s">
        <v>28</v>
      </c>
      <c r="E1693" s="7" t="s">
        <v>34</v>
      </c>
      <c r="F1693" s="8">
        <v>4.0</v>
      </c>
      <c r="G1693" s="9">
        <v>2.0</v>
      </c>
    </row>
    <row r="1694" ht="14.25" hidden="1" customHeight="1">
      <c r="B1694" s="7" t="s">
        <v>12</v>
      </c>
      <c r="C1694" s="7" t="s">
        <v>7</v>
      </c>
      <c r="D1694" s="7" t="s">
        <v>28</v>
      </c>
      <c r="E1694" s="7" t="s">
        <v>8</v>
      </c>
      <c r="F1694" s="8">
        <v>4.0</v>
      </c>
      <c r="G1694" s="9">
        <v>4.0</v>
      </c>
    </row>
    <row r="1695" ht="14.25" hidden="1" customHeight="1">
      <c r="B1695" s="7" t="s">
        <v>12</v>
      </c>
      <c r="C1695" s="7" t="s">
        <v>29</v>
      </c>
      <c r="D1695" s="7" t="s">
        <v>11</v>
      </c>
      <c r="E1695" s="7" t="s">
        <v>25</v>
      </c>
      <c r="F1695" s="8">
        <v>4.0</v>
      </c>
      <c r="G1695" s="9">
        <v>4.0</v>
      </c>
    </row>
    <row r="1696" ht="14.25" hidden="1" customHeight="1">
      <c r="B1696" s="7" t="s">
        <v>12</v>
      </c>
      <c r="C1696" s="7" t="s">
        <v>7</v>
      </c>
      <c r="D1696" s="7" t="s">
        <v>11</v>
      </c>
      <c r="E1696" s="7" t="s">
        <v>10</v>
      </c>
      <c r="F1696" s="8">
        <v>4.0</v>
      </c>
      <c r="G1696" s="9">
        <v>2.0</v>
      </c>
    </row>
    <row r="1697" ht="14.25" hidden="1" customHeight="1">
      <c r="B1697" s="7" t="s">
        <v>12</v>
      </c>
      <c r="C1697" s="7" t="s">
        <v>29</v>
      </c>
      <c r="D1697" s="7" t="s">
        <v>34</v>
      </c>
      <c r="E1697" s="7" t="s">
        <v>33</v>
      </c>
      <c r="F1697" s="8">
        <v>4.0</v>
      </c>
      <c r="G1697" s="9">
        <v>4.0</v>
      </c>
    </row>
    <row r="1698" ht="14.25" hidden="1" customHeight="1">
      <c r="B1698" s="7" t="s">
        <v>12</v>
      </c>
      <c r="C1698" s="7" t="s">
        <v>7</v>
      </c>
      <c r="D1698" s="7" t="s">
        <v>9</v>
      </c>
      <c r="E1698" s="7" t="s">
        <v>25</v>
      </c>
      <c r="F1698" s="8">
        <v>4.0</v>
      </c>
      <c r="G1698" s="9">
        <v>2.0</v>
      </c>
    </row>
    <row r="1699" ht="14.25" hidden="1" customHeight="1">
      <c r="B1699" s="7" t="s">
        <v>12</v>
      </c>
      <c r="C1699" s="7" t="s">
        <v>7</v>
      </c>
      <c r="D1699" s="7" t="s">
        <v>9</v>
      </c>
      <c r="E1699" s="7" t="s">
        <v>28</v>
      </c>
      <c r="F1699" s="8">
        <v>4.0</v>
      </c>
      <c r="G1699" s="9">
        <v>2.0</v>
      </c>
    </row>
    <row r="1700" ht="14.25" hidden="1" customHeight="1">
      <c r="B1700" s="7" t="s">
        <v>12</v>
      </c>
      <c r="C1700" s="7" t="s">
        <v>30</v>
      </c>
      <c r="D1700" s="7" t="s">
        <v>9</v>
      </c>
      <c r="E1700" s="7" t="s">
        <v>31</v>
      </c>
      <c r="F1700" s="8">
        <v>4.0</v>
      </c>
      <c r="G1700" s="9">
        <v>2.0</v>
      </c>
    </row>
    <row r="1701" ht="14.25" hidden="1" customHeight="1">
      <c r="B1701" s="7" t="s">
        <v>12</v>
      </c>
      <c r="C1701" s="7" t="s">
        <v>7</v>
      </c>
      <c r="D1701" s="7" t="s">
        <v>9</v>
      </c>
      <c r="E1701" s="7" t="s">
        <v>8</v>
      </c>
      <c r="F1701" s="8">
        <v>4.0</v>
      </c>
      <c r="G1701" s="9">
        <v>4.0</v>
      </c>
    </row>
    <row r="1702" ht="14.25" hidden="1" customHeight="1">
      <c r="B1702" s="7" t="s">
        <v>12</v>
      </c>
      <c r="C1702" s="7" t="s">
        <v>7</v>
      </c>
      <c r="D1702" s="7" t="s">
        <v>9</v>
      </c>
      <c r="E1702" s="7" t="s">
        <v>8</v>
      </c>
      <c r="F1702" s="8">
        <v>4.0</v>
      </c>
      <c r="G1702" s="9">
        <v>2.0</v>
      </c>
    </row>
    <row r="1703" ht="14.25" hidden="1" customHeight="1">
      <c r="B1703" s="7" t="s">
        <v>12</v>
      </c>
      <c r="C1703" s="7" t="s">
        <v>7</v>
      </c>
      <c r="D1703" s="7" t="s">
        <v>24</v>
      </c>
      <c r="E1703" s="7" t="s">
        <v>31</v>
      </c>
      <c r="F1703" s="8">
        <v>4.0</v>
      </c>
      <c r="G1703" s="9">
        <v>2.0</v>
      </c>
    </row>
    <row r="1704" ht="14.25" hidden="1" customHeight="1">
      <c r="B1704" s="7" t="s">
        <v>12</v>
      </c>
      <c r="C1704" s="7" t="s">
        <v>7</v>
      </c>
      <c r="D1704" s="7" t="s">
        <v>24</v>
      </c>
      <c r="E1704" s="7" t="s">
        <v>31</v>
      </c>
      <c r="F1704" s="8">
        <v>4.0</v>
      </c>
      <c r="G1704" s="9">
        <v>2.0</v>
      </c>
    </row>
    <row r="1705" ht="14.25" hidden="1" customHeight="1">
      <c r="B1705" s="7" t="s">
        <v>12</v>
      </c>
      <c r="C1705" s="7" t="s">
        <v>30</v>
      </c>
      <c r="D1705" s="7" t="s">
        <v>10</v>
      </c>
      <c r="E1705" s="7" t="s">
        <v>25</v>
      </c>
      <c r="F1705" s="8">
        <v>4.0</v>
      </c>
      <c r="G1705" s="9">
        <v>2.0</v>
      </c>
    </row>
    <row r="1706" ht="14.25" hidden="1" customHeight="1">
      <c r="B1706" s="7" t="s">
        <v>12</v>
      </c>
      <c r="C1706" s="7" t="s">
        <v>30</v>
      </c>
      <c r="D1706" s="7" t="s">
        <v>10</v>
      </c>
      <c r="E1706" s="7" t="s">
        <v>33</v>
      </c>
      <c r="F1706" s="8">
        <v>4.0</v>
      </c>
      <c r="G1706" s="9">
        <v>2.0</v>
      </c>
    </row>
    <row r="1707" ht="14.25" hidden="1" customHeight="1">
      <c r="B1707" s="7" t="s">
        <v>12</v>
      </c>
      <c r="C1707" s="7" t="s">
        <v>7</v>
      </c>
      <c r="D1707" s="7" t="s">
        <v>10</v>
      </c>
      <c r="E1707" s="7" t="s">
        <v>28</v>
      </c>
      <c r="F1707" s="8">
        <v>4.0</v>
      </c>
      <c r="G1707" s="9">
        <v>2.0</v>
      </c>
    </row>
    <row r="1708" ht="14.25" hidden="1" customHeight="1">
      <c r="B1708" s="7" t="s">
        <v>12</v>
      </c>
      <c r="C1708" s="7" t="s">
        <v>29</v>
      </c>
      <c r="D1708" s="7" t="s">
        <v>32</v>
      </c>
      <c r="E1708" s="7" t="s">
        <v>31</v>
      </c>
      <c r="F1708" s="8">
        <v>4.0</v>
      </c>
      <c r="G1708" s="9">
        <v>4.0</v>
      </c>
    </row>
    <row r="1709" ht="14.25" hidden="1" customHeight="1">
      <c r="B1709" s="7" t="s">
        <v>12</v>
      </c>
      <c r="C1709" s="7" t="s">
        <v>30</v>
      </c>
      <c r="D1709" s="7" t="s">
        <v>32</v>
      </c>
      <c r="E1709" s="7" t="s">
        <v>8</v>
      </c>
      <c r="F1709" s="8">
        <v>4.0</v>
      </c>
      <c r="G1709" s="9">
        <v>2.0</v>
      </c>
    </row>
    <row r="1710" ht="14.25" hidden="1" customHeight="1">
      <c r="B1710" s="7" t="s">
        <v>12</v>
      </c>
      <c r="C1710" s="7" t="s">
        <v>7</v>
      </c>
      <c r="D1710" s="7" t="s">
        <v>31</v>
      </c>
      <c r="E1710" s="7" t="s">
        <v>28</v>
      </c>
      <c r="F1710" s="8">
        <v>4.0</v>
      </c>
      <c r="G1710" s="9">
        <v>2.0</v>
      </c>
    </row>
    <row r="1711" ht="14.25" hidden="1" customHeight="1">
      <c r="B1711" s="7" t="s">
        <v>12</v>
      </c>
      <c r="C1711" s="7" t="s">
        <v>7</v>
      </c>
      <c r="D1711" s="7" t="s">
        <v>31</v>
      </c>
      <c r="E1711" s="7" t="s">
        <v>28</v>
      </c>
      <c r="F1711" s="8">
        <v>4.0</v>
      </c>
      <c r="G1711" s="9">
        <v>2.0</v>
      </c>
    </row>
    <row r="1712" ht="14.25" hidden="1" customHeight="1">
      <c r="B1712" s="7" t="s">
        <v>12</v>
      </c>
      <c r="C1712" s="7" t="s">
        <v>29</v>
      </c>
      <c r="D1712" s="7" t="s">
        <v>31</v>
      </c>
      <c r="E1712" s="7" t="s">
        <v>10</v>
      </c>
      <c r="F1712" s="8">
        <v>4.0</v>
      </c>
      <c r="G1712" s="9">
        <v>4.0</v>
      </c>
    </row>
    <row r="1713" ht="14.25" hidden="1" customHeight="1">
      <c r="B1713" s="7" t="s">
        <v>12</v>
      </c>
      <c r="C1713" s="7" t="s">
        <v>7</v>
      </c>
      <c r="D1713" s="7" t="s">
        <v>31</v>
      </c>
      <c r="E1713" s="7" t="s">
        <v>10</v>
      </c>
      <c r="F1713" s="8">
        <v>4.0</v>
      </c>
      <c r="G1713" s="9">
        <v>2.0</v>
      </c>
    </row>
    <row r="1714" ht="14.25" hidden="1" customHeight="1">
      <c r="B1714" s="7" t="s">
        <v>12</v>
      </c>
      <c r="C1714" s="7" t="s">
        <v>7</v>
      </c>
      <c r="D1714" s="7" t="s">
        <v>31</v>
      </c>
      <c r="E1714" s="7" t="s">
        <v>10</v>
      </c>
      <c r="F1714" s="8">
        <v>4.0</v>
      </c>
      <c r="G1714" s="9">
        <v>2.0</v>
      </c>
    </row>
    <row r="1715" ht="14.25" hidden="1" customHeight="1">
      <c r="B1715" s="7" t="s">
        <v>12</v>
      </c>
      <c r="C1715" s="7" t="s">
        <v>29</v>
      </c>
      <c r="D1715" s="7" t="s">
        <v>31</v>
      </c>
      <c r="E1715" s="7" t="s">
        <v>31</v>
      </c>
      <c r="F1715" s="8">
        <v>4.0</v>
      </c>
      <c r="G1715" s="9">
        <v>4.0</v>
      </c>
    </row>
    <row r="1716" ht="14.25" hidden="1" customHeight="1">
      <c r="B1716" s="7" t="s">
        <v>12</v>
      </c>
      <c r="C1716" s="7" t="s">
        <v>7</v>
      </c>
      <c r="D1716" s="7" t="s">
        <v>8</v>
      </c>
      <c r="E1716" s="7" t="s">
        <v>10</v>
      </c>
      <c r="F1716" s="8">
        <v>4.0</v>
      </c>
      <c r="G1716" s="9">
        <v>2.0</v>
      </c>
    </row>
    <row r="1717" ht="14.25" hidden="1" customHeight="1">
      <c r="B1717" s="7" t="s">
        <v>12</v>
      </c>
      <c r="C1717" s="7" t="s">
        <v>29</v>
      </c>
      <c r="D1717" s="7" t="s">
        <v>25</v>
      </c>
      <c r="E1717" s="7" t="s">
        <v>8</v>
      </c>
      <c r="F1717" s="8">
        <v>3.0</v>
      </c>
      <c r="G1717" s="9">
        <v>3.0</v>
      </c>
    </row>
    <row r="1718" ht="14.25" hidden="1" customHeight="1">
      <c r="B1718" s="7" t="s">
        <v>12</v>
      </c>
      <c r="C1718" s="7" t="s">
        <v>29</v>
      </c>
      <c r="D1718" s="7" t="s">
        <v>28</v>
      </c>
      <c r="E1718" s="7" t="s">
        <v>31</v>
      </c>
      <c r="F1718" s="8">
        <v>3.0</v>
      </c>
      <c r="G1718" s="9">
        <v>3.0</v>
      </c>
    </row>
    <row r="1719" ht="14.25" hidden="1" customHeight="1">
      <c r="B1719" s="7" t="s">
        <v>12</v>
      </c>
      <c r="C1719" s="7" t="s">
        <v>29</v>
      </c>
      <c r="D1719" s="7" t="s">
        <v>11</v>
      </c>
      <c r="E1719" s="7" t="s">
        <v>31</v>
      </c>
      <c r="F1719" s="8">
        <v>3.0</v>
      </c>
      <c r="G1719" s="9">
        <v>3.0</v>
      </c>
    </row>
    <row r="1720" ht="14.25" hidden="1" customHeight="1">
      <c r="B1720" s="7" t="s">
        <v>12</v>
      </c>
      <c r="C1720" s="7" t="s">
        <v>29</v>
      </c>
      <c r="D1720" s="7" t="s">
        <v>11</v>
      </c>
      <c r="E1720" s="7" t="s">
        <v>8</v>
      </c>
      <c r="F1720" s="8">
        <v>3.0</v>
      </c>
      <c r="G1720" s="9">
        <v>3.0</v>
      </c>
    </row>
    <row r="1721" ht="14.25" hidden="1" customHeight="1">
      <c r="B1721" s="7" t="s">
        <v>12</v>
      </c>
      <c r="C1721" s="7" t="s">
        <v>29</v>
      </c>
      <c r="D1721" s="7" t="s">
        <v>34</v>
      </c>
      <c r="E1721" s="7" t="s">
        <v>28</v>
      </c>
      <c r="F1721" s="8">
        <v>3.0</v>
      </c>
      <c r="G1721" s="9">
        <v>3.0</v>
      </c>
    </row>
    <row r="1722" ht="14.25" hidden="1" customHeight="1">
      <c r="B1722" s="7" t="s">
        <v>12</v>
      </c>
      <c r="C1722" s="7" t="s">
        <v>29</v>
      </c>
      <c r="D1722" s="7" t="s">
        <v>31</v>
      </c>
      <c r="E1722" s="7" t="s">
        <v>33</v>
      </c>
      <c r="F1722" s="8">
        <v>3.0</v>
      </c>
      <c r="G1722" s="9">
        <v>3.0</v>
      </c>
    </row>
    <row r="1723" ht="14.25" hidden="1" customHeight="1">
      <c r="B1723" s="7" t="s">
        <v>12</v>
      </c>
      <c r="C1723" s="7" t="s">
        <v>29</v>
      </c>
      <c r="D1723" s="7" t="s">
        <v>31</v>
      </c>
      <c r="E1723" s="7" t="s">
        <v>8</v>
      </c>
      <c r="F1723" s="8">
        <v>3.0</v>
      </c>
      <c r="G1723" s="9">
        <v>3.0</v>
      </c>
    </row>
    <row r="1724" ht="14.25" hidden="1" customHeight="1">
      <c r="B1724" s="7" t="s">
        <v>12</v>
      </c>
      <c r="C1724" s="7" t="s">
        <v>29</v>
      </c>
      <c r="D1724" s="7" t="s">
        <v>8</v>
      </c>
      <c r="E1724" s="7" t="s">
        <v>9</v>
      </c>
      <c r="F1724" s="8">
        <v>3.0</v>
      </c>
      <c r="G1724" s="9">
        <v>3.0</v>
      </c>
    </row>
    <row r="1725" ht="14.25" hidden="1" customHeight="1">
      <c r="B1725" s="7" t="s">
        <v>12</v>
      </c>
      <c r="C1725" s="7" t="s">
        <v>7</v>
      </c>
      <c r="D1725" s="7" t="s">
        <v>25</v>
      </c>
      <c r="E1725" s="7" t="s">
        <v>33</v>
      </c>
      <c r="F1725" s="8">
        <v>2.0</v>
      </c>
      <c r="G1725" s="9">
        <v>1.0</v>
      </c>
    </row>
    <row r="1726" ht="14.25" hidden="1" customHeight="1">
      <c r="B1726" s="7" t="s">
        <v>12</v>
      </c>
      <c r="C1726" s="7" t="s">
        <v>30</v>
      </c>
      <c r="D1726" s="7" t="s">
        <v>25</v>
      </c>
      <c r="E1726" s="7" t="s">
        <v>28</v>
      </c>
      <c r="F1726" s="8">
        <v>2.0</v>
      </c>
      <c r="G1726" s="9">
        <v>1.0</v>
      </c>
    </row>
    <row r="1727" ht="14.25" hidden="1" customHeight="1">
      <c r="B1727" s="7" t="s">
        <v>12</v>
      </c>
      <c r="C1727" s="7" t="s">
        <v>7</v>
      </c>
      <c r="D1727" s="7" t="s">
        <v>25</v>
      </c>
      <c r="E1727" s="7" t="s">
        <v>28</v>
      </c>
      <c r="F1727" s="8">
        <v>2.0</v>
      </c>
      <c r="G1727" s="9">
        <v>1.0</v>
      </c>
    </row>
    <row r="1728" ht="14.25" hidden="1" customHeight="1">
      <c r="B1728" s="7" t="s">
        <v>12</v>
      </c>
      <c r="C1728" s="7" t="s">
        <v>29</v>
      </c>
      <c r="D1728" s="7" t="s">
        <v>25</v>
      </c>
      <c r="E1728" s="7" t="s">
        <v>9</v>
      </c>
      <c r="F1728" s="8">
        <v>2.0</v>
      </c>
      <c r="G1728" s="9">
        <v>2.0</v>
      </c>
    </row>
    <row r="1729" ht="14.25" hidden="1" customHeight="1">
      <c r="B1729" s="7" t="s">
        <v>12</v>
      </c>
      <c r="C1729" s="7" t="s">
        <v>29</v>
      </c>
      <c r="D1729" s="7" t="s">
        <v>33</v>
      </c>
      <c r="E1729" s="7" t="s">
        <v>25</v>
      </c>
      <c r="F1729" s="8">
        <v>2.0</v>
      </c>
      <c r="G1729" s="9">
        <v>2.0</v>
      </c>
    </row>
    <row r="1730" ht="14.25" hidden="1" customHeight="1">
      <c r="B1730" s="7" t="s">
        <v>12</v>
      </c>
      <c r="C1730" s="7" t="s">
        <v>7</v>
      </c>
      <c r="D1730" s="7" t="s">
        <v>33</v>
      </c>
      <c r="E1730" s="7" t="s">
        <v>28</v>
      </c>
      <c r="F1730" s="8">
        <v>2.0</v>
      </c>
      <c r="G1730" s="9">
        <v>1.0</v>
      </c>
    </row>
    <row r="1731" ht="14.25" hidden="1" customHeight="1">
      <c r="B1731" s="7" t="s">
        <v>12</v>
      </c>
      <c r="C1731" s="7" t="s">
        <v>29</v>
      </c>
      <c r="D1731" s="7" t="s">
        <v>33</v>
      </c>
      <c r="E1731" s="7" t="s">
        <v>32</v>
      </c>
      <c r="F1731" s="8">
        <v>2.0</v>
      </c>
      <c r="G1731" s="9">
        <v>2.0</v>
      </c>
    </row>
    <row r="1732" ht="14.25" hidden="1" customHeight="1">
      <c r="B1732" s="7" t="s">
        <v>12</v>
      </c>
      <c r="C1732" s="7" t="s">
        <v>7</v>
      </c>
      <c r="D1732" s="7" t="s">
        <v>33</v>
      </c>
      <c r="E1732" s="7" t="s">
        <v>31</v>
      </c>
      <c r="F1732" s="8">
        <v>2.0</v>
      </c>
      <c r="G1732" s="9">
        <v>1.0</v>
      </c>
    </row>
    <row r="1733" ht="14.25" hidden="1" customHeight="1">
      <c r="B1733" s="7" t="s">
        <v>12</v>
      </c>
      <c r="C1733" s="7" t="s">
        <v>30</v>
      </c>
      <c r="D1733" s="7" t="s">
        <v>33</v>
      </c>
      <c r="E1733" s="7" t="s">
        <v>31</v>
      </c>
      <c r="F1733" s="8">
        <v>2.0</v>
      </c>
      <c r="G1733" s="9">
        <v>1.0</v>
      </c>
    </row>
    <row r="1734" ht="14.25" hidden="1" customHeight="1">
      <c r="B1734" s="7" t="s">
        <v>12</v>
      </c>
      <c r="C1734" s="7" t="s">
        <v>29</v>
      </c>
      <c r="D1734" s="7" t="s">
        <v>28</v>
      </c>
      <c r="E1734" s="7" t="s">
        <v>25</v>
      </c>
      <c r="F1734" s="8">
        <v>2.0</v>
      </c>
      <c r="G1734" s="9">
        <v>2.0</v>
      </c>
    </row>
    <row r="1735" ht="14.25" hidden="1" customHeight="1">
      <c r="B1735" s="7" t="s">
        <v>12</v>
      </c>
      <c r="C1735" s="7" t="s">
        <v>29</v>
      </c>
      <c r="D1735" s="7" t="s">
        <v>28</v>
      </c>
      <c r="E1735" s="7" t="s">
        <v>35</v>
      </c>
      <c r="F1735" s="8">
        <v>2.0</v>
      </c>
      <c r="G1735" s="9">
        <v>2.0</v>
      </c>
    </row>
    <row r="1736" ht="14.25" hidden="1" customHeight="1">
      <c r="B1736" s="7" t="s">
        <v>12</v>
      </c>
      <c r="C1736" s="7" t="s">
        <v>30</v>
      </c>
      <c r="D1736" s="7" t="s">
        <v>28</v>
      </c>
      <c r="E1736" s="7" t="s">
        <v>9</v>
      </c>
      <c r="F1736" s="8">
        <v>2.0</v>
      </c>
      <c r="G1736" s="9">
        <v>1.0</v>
      </c>
    </row>
    <row r="1737" ht="14.25" hidden="1" customHeight="1">
      <c r="B1737" s="7" t="s">
        <v>12</v>
      </c>
      <c r="C1737" s="7" t="s">
        <v>7</v>
      </c>
      <c r="D1737" s="7" t="s">
        <v>28</v>
      </c>
      <c r="E1737" s="7" t="s">
        <v>10</v>
      </c>
      <c r="F1737" s="8">
        <v>2.0</v>
      </c>
      <c r="G1737" s="9">
        <v>1.0</v>
      </c>
    </row>
    <row r="1738" ht="14.25" hidden="1" customHeight="1">
      <c r="B1738" s="7" t="s">
        <v>12</v>
      </c>
      <c r="C1738" s="7" t="s">
        <v>7</v>
      </c>
      <c r="D1738" s="7" t="s">
        <v>28</v>
      </c>
      <c r="E1738" s="7" t="s">
        <v>31</v>
      </c>
      <c r="F1738" s="8">
        <v>2.0</v>
      </c>
      <c r="G1738" s="9">
        <v>1.0</v>
      </c>
    </row>
    <row r="1739" ht="14.25" hidden="1" customHeight="1">
      <c r="B1739" s="7" t="s">
        <v>12</v>
      </c>
      <c r="C1739" s="7" t="s">
        <v>30</v>
      </c>
      <c r="D1739" s="7" t="s">
        <v>28</v>
      </c>
      <c r="E1739" s="7" t="s">
        <v>31</v>
      </c>
      <c r="F1739" s="8">
        <v>2.0</v>
      </c>
      <c r="G1739" s="9">
        <v>1.0</v>
      </c>
    </row>
    <row r="1740" ht="14.25" hidden="1" customHeight="1">
      <c r="B1740" s="7" t="s">
        <v>12</v>
      </c>
      <c r="C1740" s="7" t="s">
        <v>7</v>
      </c>
      <c r="D1740" s="7" t="s">
        <v>11</v>
      </c>
      <c r="E1740" s="7" t="s">
        <v>25</v>
      </c>
      <c r="F1740" s="8">
        <v>2.0</v>
      </c>
      <c r="G1740" s="9">
        <v>1.0</v>
      </c>
    </row>
    <row r="1741" ht="14.25" hidden="1" customHeight="1">
      <c r="B1741" s="7" t="s">
        <v>12</v>
      </c>
      <c r="C1741" s="7" t="s">
        <v>29</v>
      </c>
      <c r="D1741" s="7" t="s">
        <v>35</v>
      </c>
      <c r="E1741" s="7" t="s">
        <v>32</v>
      </c>
      <c r="F1741" s="8">
        <v>2.0</v>
      </c>
      <c r="G1741" s="9">
        <v>2.0</v>
      </c>
    </row>
    <row r="1742" ht="14.25" hidden="1" customHeight="1">
      <c r="B1742" s="7" t="s">
        <v>12</v>
      </c>
      <c r="C1742" s="7" t="s">
        <v>30</v>
      </c>
      <c r="D1742" s="7" t="s">
        <v>34</v>
      </c>
      <c r="E1742" s="7" t="s">
        <v>33</v>
      </c>
      <c r="F1742" s="8">
        <v>2.0</v>
      </c>
      <c r="G1742" s="9">
        <v>1.0</v>
      </c>
    </row>
    <row r="1743" ht="14.25" hidden="1" customHeight="1">
      <c r="B1743" s="7" t="s">
        <v>12</v>
      </c>
      <c r="C1743" s="7" t="s">
        <v>29</v>
      </c>
      <c r="D1743" s="7" t="s">
        <v>34</v>
      </c>
      <c r="E1743" s="7" t="s">
        <v>32</v>
      </c>
      <c r="F1743" s="8">
        <v>2.0</v>
      </c>
      <c r="G1743" s="9">
        <v>2.0</v>
      </c>
    </row>
    <row r="1744" ht="14.25" hidden="1" customHeight="1">
      <c r="B1744" s="7" t="s">
        <v>12</v>
      </c>
      <c r="C1744" s="7" t="s">
        <v>7</v>
      </c>
      <c r="D1744" s="7" t="s">
        <v>34</v>
      </c>
      <c r="E1744" s="7" t="s">
        <v>32</v>
      </c>
      <c r="F1744" s="8">
        <v>2.0</v>
      </c>
      <c r="G1744" s="9">
        <v>1.0</v>
      </c>
    </row>
    <row r="1745" ht="14.25" hidden="1" customHeight="1">
      <c r="B1745" s="7" t="s">
        <v>12</v>
      </c>
      <c r="C1745" s="7" t="s">
        <v>7</v>
      </c>
      <c r="D1745" s="7" t="s">
        <v>34</v>
      </c>
      <c r="E1745" s="7" t="s">
        <v>31</v>
      </c>
      <c r="F1745" s="8">
        <v>2.0</v>
      </c>
      <c r="G1745" s="9">
        <v>1.0</v>
      </c>
    </row>
    <row r="1746" ht="14.25" hidden="1" customHeight="1">
      <c r="B1746" s="7" t="s">
        <v>12</v>
      </c>
      <c r="C1746" s="7" t="s">
        <v>30</v>
      </c>
      <c r="D1746" s="7" t="s">
        <v>9</v>
      </c>
      <c r="E1746" s="7" t="s">
        <v>33</v>
      </c>
      <c r="F1746" s="8">
        <v>2.0</v>
      </c>
      <c r="G1746" s="9">
        <v>1.0</v>
      </c>
    </row>
    <row r="1747" ht="14.25" hidden="1" customHeight="1">
      <c r="B1747" s="7" t="s">
        <v>12</v>
      </c>
      <c r="C1747" s="7" t="s">
        <v>29</v>
      </c>
      <c r="D1747" s="7" t="s">
        <v>9</v>
      </c>
      <c r="E1747" s="7" t="s">
        <v>28</v>
      </c>
      <c r="F1747" s="8">
        <v>2.0</v>
      </c>
      <c r="G1747" s="9">
        <v>2.0</v>
      </c>
    </row>
    <row r="1748" ht="14.25" hidden="1" customHeight="1">
      <c r="B1748" s="7" t="s">
        <v>12</v>
      </c>
      <c r="C1748" s="7" t="s">
        <v>7</v>
      </c>
      <c r="D1748" s="7" t="s">
        <v>9</v>
      </c>
      <c r="E1748" s="7" t="s">
        <v>10</v>
      </c>
      <c r="F1748" s="8">
        <v>2.0</v>
      </c>
      <c r="G1748" s="9">
        <v>2.0</v>
      </c>
    </row>
    <row r="1749" ht="14.25" hidden="1" customHeight="1">
      <c r="B1749" s="7" t="s">
        <v>12</v>
      </c>
      <c r="C1749" s="7" t="s">
        <v>7</v>
      </c>
      <c r="D1749" s="7" t="s">
        <v>9</v>
      </c>
      <c r="E1749" s="7" t="s">
        <v>10</v>
      </c>
      <c r="F1749" s="8">
        <v>2.0</v>
      </c>
      <c r="G1749" s="9">
        <v>1.0</v>
      </c>
    </row>
    <row r="1750" ht="14.25" hidden="1" customHeight="1">
      <c r="B1750" s="7" t="s">
        <v>12</v>
      </c>
      <c r="C1750" s="7" t="s">
        <v>29</v>
      </c>
      <c r="D1750" s="7" t="s">
        <v>9</v>
      </c>
      <c r="E1750" s="7" t="s">
        <v>31</v>
      </c>
      <c r="F1750" s="8">
        <v>2.0</v>
      </c>
      <c r="G1750" s="9">
        <v>2.0</v>
      </c>
    </row>
    <row r="1751" ht="14.25" hidden="1" customHeight="1">
      <c r="B1751" s="7" t="s">
        <v>12</v>
      </c>
      <c r="C1751" s="7" t="s">
        <v>7</v>
      </c>
      <c r="D1751" s="7" t="s">
        <v>9</v>
      </c>
      <c r="E1751" s="7" t="s">
        <v>8</v>
      </c>
      <c r="F1751" s="8">
        <v>2.0</v>
      </c>
      <c r="G1751" s="9">
        <v>1.0</v>
      </c>
    </row>
    <row r="1752" ht="14.25" hidden="1" customHeight="1">
      <c r="B1752" s="7" t="s">
        <v>12</v>
      </c>
      <c r="C1752" s="7" t="s">
        <v>30</v>
      </c>
      <c r="D1752" s="7" t="s">
        <v>24</v>
      </c>
      <c r="E1752" s="7" t="s">
        <v>31</v>
      </c>
      <c r="F1752" s="8">
        <v>2.0</v>
      </c>
      <c r="G1752" s="9">
        <v>1.0</v>
      </c>
    </row>
    <row r="1753" ht="14.25" hidden="1" customHeight="1">
      <c r="B1753" s="7" t="s">
        <v>12</v>
      </c>
      <c r="C1753" s="7" t="s">
        <v>29</v>
      </c>
      <c r="D1753" s="7" t="s">
        <v>10</v>
      </c>
      <c r="E1753" s="7" t="s">
        <v>33</v>
      </c>
      <c r="F1753" s="8">
        <v>2.0</v>
      </c>
      <c r="G1753" s="9">
        <v>2.0</v>
      </c>
    </row>
    <row r="1754" ht="14.25" hidden="1" customHeight="1">
      <c r="B1754" s="7" t="s">
        <v>12</v>
      </c>
      <c r="C1754" s="7" t="s">
        <v>7</v>
      </c>
      <c r="D1754" s="7" t="s">
        <v>10</v>
      </c>
      <c r="E1754" s="7" t="s">
        <v>33</v>
      </c>
      <c r="F1754" s="8">
        <v>2.0</v>
      </c>
      <c r="G1754" s="9">
        <v>1.0</v>
      </c>
    </row>
    <row r="1755" ht="14.25" hidden="1" customHeight="1">
      <c r="B1755" s="7" t="s">
        <v>12</v>
      </c>
      <c r="C1755" s="7" t="s">
        <v>7</v>
      </c>
      <c r="D1755" s="7" t="s">
        <v>10</v>
      </c>
      <c r="E1755" s="7" t="s">
        <v>9</v>
      </c>
      <c r="F1755" s="8">
        <v>2.0</v>
      </c>
      <c r="G1755" s="9">
        <v>2.0</v>
      </c>
    </row>
    <row r="1756" ht="14.25" hidden="1" customHeight="1">
      <c r="B1756" s="7" t="s">
        <v>12</v>
      </c>
      <c r="C1756" s="7" t="s">
        <v>7</v>
      </c>
      <c r="D1756" s="7" t="s">
        <v>10</v>
      </c>
      <c r="E1756" s="7" t="s">
        <v>9</v>
      </c>
      <c r="F1756" s="8">
        <v>2.0</v>
      </c>
      <c r="G1756" s="9">
        <v>1.0</v>
      </c>
    </row>
    <row r="1757" ht="14.25" hidden="1" customHeight="1">
      <c r="B1757" s="7" t="s">
        <v>12</v>
      </c>
      <c r="C1757" s="7" t="s">
        <v>7</v>
      </c>
      <c r="D1757" s="7" t="s">
        <v>10</v>
      </c>
      <c r="E1757" s="7" t="s">
        <v>31</v>
      </c>
      <c r="F1757" s="8">
        <v>2.0</v>
      </c>
      <c r="G1757" s="9">
        <v>1.0</v>
      </c>
    </row>
    <row r="1758" ht="14.25" hidden="1" customHeight="1">
      <c r="B1758" s="7" t="s">
        <v>12</v>
      </c>
      <c r="C1758" s="7" t="s">
        <v>7</v>
      </c>
      <c r="D1758" s="7" t="s">
        <v>32</v>
      </c>
      <c r="E1758" s="7" t="s">
        <v>25</v>
      </c>
      <c r="F1758" s="8">
        <v>2.0</v>
      </c>
      <c r="G1758" s="9">
        <v>2.0</v>
      </c>
    </row>
    <row r="1759" ht="14.25" hidden="1" customHeight="1">
      <c r="B1759" s="7" t="s">
        <v>12</v>
      </c>
      <c r="C1759" s="7" t="s">
        <v>30</v>
      </c>
      <c r="D1759" s="7" t="s">
        <v>32</v>
      </c>
      <c r="E1759" s="7" t="s">
        <v>25</v>
      </c>
      <c r="F1759" s="8">
        <v>2.0</v>
      </c>
      <c r="G1759" s="9">
        <v>1.0</v>
      </c>
    </row>
    <row r="1760" ht="14.25" hidden="1" customHeight="1">
      <c r="B1760" s="7" t="s">
        <v>12</v>
      </c>
      <c r="C1760" s="7" t="s">
        <v>7</v>
      </c>
      <c r="D1760" s="7" t="s">
        <v>32</v>
      </c>
      <c r="E1760" s="7" t="s">
        <v>25</v>
      </c>
      <c r="F1760" s="8">
        <v>2.0</v>
      </c>
      <c r="G1760" s="9">
        <v>1.0</v>
      </c>
    </row>
    <row r="1761" ht="14.25" hidden="1" customHeight="1">
      <c r="B1761" s="7" t="s">
        <v>12</v>
      </c>
      <c r="C1761" s="7" t="s">
        <v>7</v>
      </c>
      <c r="D1761" s="7" t="s">
        <v>31</v>
      </c>
      <c r="E1761" s="7" t="s">
        <v>25</v>
      </c>
      <c r="F1761" s="8">
        <v>2.0</v>
      </c>
      <c r="G1761" s="9">
        <v>1.0</v>
      </c>
    </row>
    <row r="1762" ht="14.25" hidden="1" customHeight="1">
      <c r="B1762" s="7" t="s">
        <v>12</v>
      </c>
      <c r="C1762" s="7" t="s">
        <v>7</v>
      </c>
      <c r="D1762" s="7" t="s">
        <v>31</v>
      </c>
      <c r="E1762" s="7" t="s">
        <v>10</v>
      </c>
      <c r="F1762" s="8">
        <v>2.0</v>
      </c>
      <c r="G1762" s="9">
        <v>1.0</v>
      </c>
    </row>
    <row r="1763" ht="14.25" hidden="1" customHeight="1">
      <c r="B1763" s="7" t="s">
        <v>12</v>
      </c>
      <c r="C1763" s="7" t="s">
        <v>30</v>
      </c>
      <c r="D1763" s="7" t="s">
        <v>31</v>
      </c>
      <c r="E1763" s="7" t="s">
        <v>31</v>
      </c>
      <c r="F1763" s="8">
        <v>2.0</v>
      </c>
      <c r="G1763" s="9">
        <v>1.0</v>
      </c>
    </row>
    <row r="1764" ht="14.25" hidden="1" customHeight="1">
      <c r="B1764" s="7" t="s">
        <v>12</v>
      </c>
      <c r="C1764" s="7" t="s">
        <v>7</v>
      </c>
      <c r="D1764" s="7" t="s">
        <v>31</v>
      </c>
      <c r="E1764" s="7" t="s">
        <v>31</v>
      </c>
      <c r="F1764" s="8">
        <v>2.0</v>
      </c>
      <c r="G1764" s="9">
        <v>1.0</v>
      </c>
    </row>
    <row r="1765" ht="14.25" hidden="1" customHeight="1">
      <c r="B1765" s="7" t="s">
        <v>12</v>
      </c>
      <c r="C1765" s="7" t="s">
        <v>29</v>
      </c>
      <c r="D1765" s="7" t="s">
        <v>31</v>
      </c>
      <c r="E1765" s="7" t="s">
        <v>8</v>
      </c>
      <c r="F1765" s="8">
        <v>2.0</v>
      </c>
      <c r="G1765" s="9">
        <v>2.0</v>
      </c>
    </row>
    <row r="1766" ht="14.25" hidden="1" customHeight="1">
      <c r="B1766" s="7" t="s">
        <v>12</v>
      </c>
      <c r="C1766" s="7" t="s">
        <v>7</v>
      </c>
      <c r="D1766" s="7" t="s">
        <v>31</v>
      </c>
      <c r="E1766" s="7" t="s">
        <v>8</v>
      </c>
      <c r="F1766" s="8">
        <v>2.0</v>
      </c>
      <c r="G1766" s="9">
        <v>1.0</v>
      </c>
    </row>
    <row r="1767" ht="14.25" hidden="1" customHeight="1">
      <c r="B1767" s="7" t="s">
        <v>12</v>
      </c>
      <c r="C1767" s="7" t="s">
        <v>7</v>
      </c>
      <c r="D1767" s="7" t="s">
        <v>31</v>
      </c>
      <c r="E1767" s="7" t="s">
        <v>8</v>
      </c>
      <c r="F1767" s="8">
        <v>2.0</v>
      </c>
      <c r="G1767" s="9">
        <v>1.0</v>
      </c>
    </row>
    <row r="1768" ht="14.25" hidden="1" customHeight="1">
      <c r="B1768" s="7" t="s">
        <v>12</v>
      </c>
      <c r="C1768" s="7" t="s">
        <v>7</v>
      </c>
      <c r="D1768" s="7" t="s">
        <v>8</v>
      </c>
      <c r="E1768" s="7" t="s">
        <v>33</v>
      </c>
      <c r="F1768" s="8">
        <v>2.0</v>
      </c>
      <c r="G1768" s="9">
        <v>1.0</v>
      </c>
    </row>
    <row r="1769" ht="14.25" hidden="1" customHeight="1">
      <c r="B1769" s="7" t="s">
        <v>12</v>
      </c>
      <c r="C1769" s="7" t="s">
        <v>7</v>
      </c>
      <c r="D1769" s="7" t="s">
        <v>8</v>
      </c>
      <c r="E1769" s="7" t="s">
        <v>33</v>
      </c>
      <c r="F1769" s="8">
        <v>2.0</v>
      </c>
      <c r="G1769" s="9">
        <v>1.0</v>
      </c>
    </row>
    <row r="1770" ht="14.25" hidden="1" customHeight="1">
      <c r="B1770" s="7" t="s">
        <v>12</v>
      </c>
      <c r="C1770" s="7" t="s">
        <v>7</v>
      </c>
      <c r="D1770" s="7" t="s">
        <v>8</v>
      </c>
      <c r="E1770" s="7" t="s">
        <v>35</v>
      </c>
      <c r="F1770" s="8">
        <v>2.0</v>
      </c>
      <c r="G1770" s="9">
        <v>1.0</v>
      </c>
    </row>
    <row r="1771" ht="14.25" hidden="1" customHeight="1">
      <c r="B1771" s="7" t="s">
        <v>12</v>
      </c>
      <c r="C1771" s="7" t="s">
        <v>29</v>
      </c>
      <c r="D1771" s="7" t="s">
        <v>8</v>
      </c>
      <c r="E1771" s="7" t="s">
        <v>9</v>
      </c>
      <c r="F1771" s="8">
        <v>2.0</v>
      </c>
      <c r="G1771" s="9">
        <v>2.0</v>
      </c>
    </row>
    <row r="1772" ht="14.25" hidden="1" customHeight="1">
      <c r="B1772" s="7" t="s">
        <v>12</v>
      </c>
      <c r="C1772" s="7" t="s">
        <v>7</v>
      </c>
      <c r="D1772" s="7" t="s">
        <v>8</v>
      </c>
      <c r="E1772" s="7" t="s">
        <v>10</v>
      </c>
      <c r="F1772" s="8">
        <v>2.0</v>
      </c>
      <c r="G1772" s="9">
        <v>1.0</v>
      </c>
    </row>
    <row r="1773" ht="14.25" customHeight="1">
      <c r="B1773" s="7" t="s">
        <v>12</v>
      </c>
      <c r="C1773" s="7" t="s">
        <v>29</v>
      </c>
      <c r="D1773" s="7" t="s">
        <v>8</v>
      </c>
      <c r="E1773" s="7" t="s">
        <v>31</v>
      </c>
      <c r="F1773" s="8">
        <v>2.0</v>
      </c>
      <c r="G1773" s="9">
        <v>2.0</v>
      </c>
    </row>
    <row r="1774" ht="14.25" customHeight="1">
      <c r="B1774" s="7" t="s">
        <v>12</v>
      </c>
      <c r="C1774" s="7" t="s">
        <v>7</v>
      </c>
      <c r="D1774" s="7" t="s">
        <v>8</v>
      </c>
      <c r="E1774" s="7" t="s">
        <v>31</v>
      </c>
      <c r="F1774" s="8">
        <v>2.0</v>
      </c>
      <c r="G1774" s="9">
        <v>1.0</v>
      </c>
    </row>
    <row r="1775" ht="14.25" customHeight="1">
      <c r="B1775" s="7" t="s">
        <v>12</v>
      </c>
      <c r="C1775" s="7" t="s">
        <v>7</v>
      </c>
      <c r="D1775" s="7" t="s">
        <v>8</v>
      </c>
      <c r="E1775" s="7" t="s">
        <v>31</v>
      </c>
      <c r="F1775" s="8">
        <v>2.0</v>
      </c>
      <c r="G1775" s="9">
        <v>1.0</v>
      </c>
    </row>
    <row r="1776" ht="14.25" hidden="1" customHeight="1">
      <c r="B1776" s="7" t="s">
        <v>12</v>
      </c>
      <c r="C1776" s="7" t="s">
        <v>29</v>
      </c>
      <c r="D1776" s="7" t="s">
        <v>25</v>
      </c>
      <c r="E1776" s="7" t="s">
        <v>33</v>
      </c>
      <c r="F1776" s="8">
        <v>1.0</v>
      </c>
      <c r="G1776" s="9">
        <v>1.0</v>
      </c>
    </row>
    <row r="1777" ht="14.25" hidden="1" customHeight="1">
      <c r="B1777" s="7" t="s">
        <v>12</v>
      </c>
      <c r="C1777" s="7" t="s">
        <v>29</v>
      </c>
      <c r="D1777" s="7" t="s">
        <v>25</v>
      </c>
      <c r="E1777" s="7" t="s">
        <v>32</v>
      </c>
      <c r="F1777" s="8">
        <v>1.0</v>
      </c>
      <c r="G1777" s="9">
        <v>1.0</v>
      </c>
    </row>
    <row r="1778" ht="14.25" hidden="1" customHeight="1">
      <c r="B1778" s="7" t="s">
        <v>12</v>
      </c>
      <c r="C1778" s="7" t="s">
        <v>29</v>
      </c>
      <c r="D1778" s="7" t="s">
        <v>25</v>
      </c>
      <c r="E1778" s="7" t="s">
        <v>31</v>
      </c>
      <c r="F1778" s="8">
        <v>1.0</v>
      </c>
      <c r="G1778" s="9">
        <v>1.0</v>
      </c>
    </row>
    <row r="1779" ht="14.25" hidden="1" customHeight="1">
      <c r="B1779" s="7" t="s">
        <v>12</v>
      </c>
      <c r="C1779" s="7" t="s">
        <v>36</v>
      </c>
      <c r="D1779" s="7" t="s">
        <v>33</v>
      </c>
      <c r="E1779" s="7" t="s">
        <v>28</v>
      </c>
      <c r="F1779" s="8">
        <v>1.0</v>
      </c>
      <c r="G1779" s="9">
        <v>1.0</v>
      </c>
    </row>
    <row r="1780" ht="14.25" hidden="1" customHeight="1">
      <c r="B1780" s="7" t="s">
        <v>12</v>
      </c>
      <c r="C1780" s="7" t="s">
        <v>29</v>
      </c>
      <c r="D1780" s="7" t="s">
        <v>33</v>
      </c>
      <c r="E1780" s="7" t="s">
        <v>31</v>
      </c>
      <c r="F1780" s="8">
        <v>1.0</v>
      </c>
      <c r="G1780" s="9">
        <v>1.0</v>
      </c>
    </row>
    <row r="1781" ht="14.25" hidden="1" customHeight="1">
      <c r="B1781" s="7" t="s">
        <v>12</v>
      </c>
      <c r="C1781" s="7" t="s">
        <v>29</v>
      </c>
      <c r="D1781" s="7" t="s">
        <v>33</v>
      </c>
      <c r="E1781" s="7" t="s">
        <v>8</v>
      </c>
      <c r="F1781" s="8">
        <v>1.0</v>
      </c>
      <c r="G1781" s="9">
        <v>1.0</v>
      </c>
    </row>
    <row r="1782" ht="14.25" hidden="1" customHeight="1">
      <c r="B1782" s="7" t="s">
        <v>12</v>
      </c>
      <c r="C1782" s="7" t="s">
        <v>29</v>
      </c>
      <c r="D1782" s="7" t="s">
        <v>28</v>
      </c>
      <c r="E1782" s="7" t="s">
        <v>35</v>
      </c>
      <c r="F1782" s="8">
        <v>1.0</v>
      </c>
      <c r="G1782" s="9">
        <v>1.0</v>
      </c>
    </row>
    <row r="1783" ht="14.25" hidden="1" customHeight="1">
      <c r="B1783" s="7" t="s">
        <v>12</v>
      </c>
      <c r="C1783" s="7" t="s">
        <v>29</v>
      </c>
      <c r="D1783" s="7" t="s">
        <v>28</v>
      </c>
      <c r="E1783" s="7" t="s">
        <v>9</v>
      </c>
      <c r="F1783" s="8">
        <v>1.0</v>
      </c>
      <c r="G1783" s="9">
        <v>1.0</v>
      </c>
    </row>
    <row r="1784" ht="14.25" hidden="1" customHeight="1">
      <c r="B1784" s="7" t="s">
        <v>12</v>
      </c>
      <c r="C1784" s="7" t="s">
        <v>29</v>
      </c>
      <c r="D1784" s="7" t="s">
        <v>28</v>
      </c>
      <c r="E1784" s="7" t="s">
        <v>10</v>
      </c>
      <c r="F1784" s="8">
        <v>1.0</v>
      </c>
      <c r="G1784" s="9">
        <v>1.0</v>
      </c>
    </row>
    <row r="1785" ht="14.25" hidden="1" customHeight="1">
      <c r="B1785" s="7" t="s">
        <v>12</v>
      </c>
      <c r="C1785" s="7" t="s">
        <v>29</v>
      </c>
      <c r="D1785" s="7" t="s">
        <v>11</v>
      </c>
      <c r="E1785" s="7" t="s">
        <v>10</v>
      </c>
      <c r="F1785" s="8">
        <v>1.0</v>
      </c>
      <c r="G1785" s="9">
        <v>1.0</v>
      </c>
    </row>
    <row r="1786" ht="14.25" hidden="1" customHeight="1">
      <c r="B1786" s="7" t="s">
        <v>12</v>
      </c>
      <c r="C1786" s="7" t="s">
        <v>36</v>
      </c>
      <c r="D1786" s="7" t="s">
        <v>11</v>
      </c>
      <c r="E1786" s="7" t="s">
        <v>8</v>
      </c>
      <c r="F1786" s="8">
        <v>1.0</v>
      </c>
      <c r="G1786" s="9">
        <v>1.0</v>
      </c>
    </row>
    <row r="1787" ht="14.25" hidden="1" customHeight="1">
      <c r="B1787" s="7" t="s">
        <v>12</v>
      </c>
      <c r="C1787" s="7" t="s">
        <v>29</v>
      </c>
      <c r="D1787" s="7" t="s">
        <v>9</v>
      </c>
      <c r="E1787" s="7" t="s">
        <v>33</v>
      </c>
      <c r="F1787" s="8">
        <v>1.0</v>
      </c>
      <c r="G1787" s="9">
        <v>1.0</v>
      </c>
    </row>
    <row r="1788" ht="14.25" hidden="1" customHeight="1">
      <c r="B1788" s="7" t="s">
        <v>12</v>
      </c>
      <c r="C1788" s="7" t="s">
        <v>29</v>
      </c>
      <c r="D1788" s="7" t="s">
        <v>9</v>
      </c>
      <c r="E1788" s="7" t="s">
        <v>35</v>
      </c>
      <c r="F1788" s="8">
        <v>1.0</v>
      </c>
      <c r="G1788" s="9">
        <v>1.0</v>
      </c>
    </row>
    <row r="1789" ht="14.25" hidden="1" customHeight="1">
      <c r="B1789" s="7" t="s">
        <v>12</v>
      </c>
      <c r="C1789" s="7" t="s">
        <v>29</v>
      </c>
      <c r="D1789" s="7" t="s">
        <v>9</v>
      </c>
      <c r="E1789" s="7" t="s">
        <v>32</v>
      </c>
      <c r="F1789" s="8">
        <v>1.0</v>
      </c>
      <c r="G1789" s="9">
        <v>1.0</v>
      </c>
    </row>
    <row r="1790" ht="14.25" hidden="1" customHeight="1">
      <c r="B1790" s="7" t="s">
        <v>12</v>
      </c>
      <c r="C1790" s="7" t="s">
        <v>29</v>
      </c>
      <c r="D1790" s="7" t="s">
        <v>9</v>
      </c>
      <c r="E1790" s="7" t="s">
        <v>31</v>
      </c>
      <c r="F1790" s="8">
        <v>1.0</v>
      </c>
      <c r="G1790" s="9">
        <v>1.0</v>
      </c>
    </row>
    <row r="1791" ht="14.25" hidden="1" customHeight="1">
      <c r="B1791" s="7" t="s">
        <v>12</v>
      </c>
      <c r="C1791" s="7" t="s">
        <v>36</v>
      </c>
      <c r="D1791" s="7" t="s">
        <v>9</v>
      </c>
      <c r="E1791" s="7" t="s">
        <v>31</v>
      </c>
      <c r="F1791" s="8">
        <v>1.0</v>
      </c>
      <c r="G1791" s="9">
        <v>1.0</v>
      </c>
    </row>
    <row r="1792" ht="14.25" hidden="1" customHeight="1">
      <c r="B1792" s="7" t="s">
        <v>12</v>
      </c>
      <c r="C1792" s="7" t="s">
        <v>29</v>
      </c>
      <c r="D1792" s="7" t="s">
        <v>24</v>
      </c>
      <c r="E1792" s="7" t="s">
        <v>31</v>
      </c>
      <c r="F1792" s="8">
        <v>1.0</v>
      </c>
      <c r="G1792" s="9">
        <v>1.0</v>
      </c>
    </row>
    <row r="1793" ht="14.25" hidden="1" customHeight="1">
      <c r="B1793" s="7" t="s">
        <v>12</v>
      </c>
      <c r="C1793" s="7" t="s">
        <v>29</v>
      </c>
      <c r="D1793" s="7" t="s">
        <v>32</v>
      </c>
      <c r="E1793" s="7" t="s">
        <v>25</v>
      </c>
      <c r="F1793" s="8">
        <v>1.0</v>
      </c>
      <c r="G1793" s="9">
        <v>1.0</v>
      </c>
    </row>
    <row r="1794" ht="14.25" hidden="1" customHeight="1">
      <c r="B1794" s="7" t="s">
        <v>12</v>
      </c>
      <c r="C1794" s="7" t="s">
        <v>29</v>
      </c>
      <c r="D1794" s="7" t="s">
        <v>32</v>
      </c>
      <c r="E1794" s="7" t="s">
        <v>33</v>
      </c>
      <c r="F1794" s="8">
        <v>1.0</v>
      </c>
      <c r="G1794" s="9">
        <v>1.0</v>
      </c>
    </row>
    <row r="1795" ht="14.25" hidden="1" customHeight="1">
      <c r="B1795" s="7" t="s">
        <v>12</v>
      </c>
      <c r="C1795" s="7" t="s">
        <v>29</v>
      </c>
      <c r="D1795" s="7" t="s">
        <v>32</v>
      </c>
      <c r="E1795" s="7" t="s">
        <v>9</v>
      </c>
      <c r="F1795" s="8">
        <v>1.0</v>
      </c>
      <c r="G1795" s="9">
        <v>1.0</v>
      </c>
    </row>
    <row r="1796" ht="14.25" hidden="1" customHeight="1">
      <c r="B1796" s="7" t="s">
        <v>12</v>
      </c>
      <c r="C1796" s="7" t="s">
        <v>29</v>
      </c>
      <c r="D1796" s="7" t="s">
        <v>32</v>
      </c>
      <c r="E1796" s="7" t="s">
        <v>31</v>
      </c>
      <c r="F1796" s="8">
        <v>1.0</v>
      </c>
      <c r="G1796" s="9">
        <v>1.0</v>
      </c>
    </row>
    <row r="1797" ht="14.25" hidden="1" customHeight="1">
      <c r="B1797" s="7" t="s">
        <v>12</v>
      </c>
      <c r="C1797" s="7" t="s">
        <v>29</v>
      </c>
      <c r="D1797" s="7" t="s">
        <v>32</v>
      </c>
      <c r="E1797" s="7" t="s">
        <v>8</v>
      </c>
      <c r="F1797" s="8">
        <v>1.0</v>
      </c>
      <c r="G1797" s="9">
        <v>1.0</v>
      </c>
    </row>
    <row r="1798" ht="14.25" hidden="1" customHeight="1">
      <c r="B1798" s="7" t="s">
        <v>12</v>
      </c>
      <c r="C1798" s="7" t="s">
        <v>36</v>
      </c>
      <c r="D1798" s="7" t="s">
        <v>31</v>
      </c>
      <c r="E1798" s="7" t="s">
        <v>28</v>
      </c>
      <c r="F1798" s="8">
        <v>1.0</v>
      </c>
      <c r="G1798" s="9">
        <v>1.0</v>
      </c>
    </row>
    <row r="1799" ht="14.25" hidden="1" customHeight="1">
      <c r="B1799" s="7" t="s">
        <v>12</v>
      </c>
      <c r="C1799" s="7" t="s">
        <v>29</v>
      </c>
      <c r="D1799" s="7" t="s">
        <v>31</v>
      </c>
      <c r="E1799" s="7" t="s">
        <v>9</v>
      </c>
      <c r="F1799" s="8">
        <v>1.0</v>
      </c>
      <c r="G1799" s="9">
        <v>1.0</v>
      </c>
    </row>
    <row r="1800" ht="14.25" hidden="1" customHeight="1">
      <c r="B1800" s="7" t="s">
        <v>12</v>
      </c>
      <c r="C1800" s="7" t="s">
        <v>29</v>
      </c>
      <c r="D1800" s="7" t="s">
        <v>31</v>
      </c>
      <c r="E1800" s="7" t="s">
        <v>10</v>
      </c>
      <c r="F1800" s="8">
        <v>1.0</v>
      </c>
      <c r="G1800" s="9">
        <v>1.0</v>
      </c>
    </row>
    <row r="1801" ht="14.25" hidden="1" customHeight="1">
      <c r="B1801" s="7" t="s">
        <v>12</v>
      </c>
      <c r="C1801" s="7" t="s">
        <v>36</v>
      </c>
      <c r="D1801" s="7" t="s">
        <v>8</v>
      </c>
      <c r="E1801" s="7" t="s">
        <v>33</v>
      </c>
      <c r="F1801" s="8">
        <v>1.0</v>
      </c>
      <c r="G1801" s="9">
        <v>1.0</v>
      </c>
    </row>
    <row r="1802" ht="14.25" hidden="1" customHeight="1">
      <c r="B1802" s="7" t="s">
        <v>12</v>
      </c>
      <c r="C1802" s="7" t="s">
        <v>36</v>
      </c>
      <c r="D1802" s="7" t="s">
        <v>8</v>
      </c>
      <c r="E1802" s="7" t="s">
        <v>28</v>
      </c>
      <c r="F1802" s="8">
        <v>1.0</v>
      </c>
      <c r="G1802" s="9">
        <v>1.0</v>
      </c>
    </row>
    <row r="1803" ht="14.25" hidden="1" customHeight="1">
      <c r="B1803" s="7" t="s">
        <v>12</v>
      </c>
      <c r="C1803" s="7" t="s">
        <v>29</v>
      </c>
      <c r="D1803" s="7" t="s">
        <v>8</v>
      </c>
      <c r="E1803" s="7" t="s">
        <v>9</v>
      </c>
      <c r="F1803" s="8">
        <v>1.0</v>
      </c>
      <c r="G1803" s="9">
        <v>1.0</v>
      </c>
    </row>
    <row r="1804" ht="14.25" hidden="1" customHeight="1">
      <c r="B1804" s="7" t="s">
        <v>12</v>
      </c>
      <c r="C1804" s="7" t="s">
        <v>36</v>
      </c>
      <c r="D1804" s="7" t="s">
        <v>8</v>
      </c>
      <c r="E1804" s="7" t="s">
        <v>24</v>
      </c>
      <c r="F1804" s="8">
        <v>1.0</v>
      </c>
      <c r="G1804" s="9">
        <v>1.0</v>
      </c>
    </row>
    <row r="1805" ht="14.25" hidden="1" customHeight="1">
      <c r="B1805" s="7" t="s">
        <v>12</v>
      </c>
      <c r="C1805" s="7" t="s">
        <v>36</v>
      </c>
      <c r="D1805" s="7" t="s">
        <v>8</v>
      </c>
      <c r="E1805" s="7" t="s">
        <v>10</v>
      </c>
      <c r="F1805" s="8">
        <v>1.0</v>
      </c>
      <c r="G1805" s="9">
        <v>1.0</v>
      </c>
    </row>
    <row r="1806" ht="14.25" hidden="1" customHeight="1">
      <c r="B1806" s="7" t="s">
        <v>18</v>
      </c>
      <c r="C1806" s="7" t="s">
        <v>7</v>
      </c>
      <c r="D1806" s="7" t="s">
        <v>25</v>
      </c>
      <c r="E1806" s="7" t="s">
        <v>8</v>
      </c>
      <c r="F1806" s="8">
        <v>5186.0</v>
      </c>
      <c r="G1806" s="9">
        <v>2593.0</v>
      </c>
    </row>
    <row r="1807" ht="14.25" hidden="1" customHeight="1">
      <c r="B1807" s="7" t="s">
        <v>18</v>
      </c>
      <c r="C1807" s="7" t="s">
        <v>7</v>
      </c>
      <c r="D1807" s="7" t="s">
        <v>8</v>
      </c>
      <c r="E1807" s="7" t="s">
        <v>9</v>
      </c>
      <c r="F1807" s="8">
        <v>4856.0</v>
      </c>
      <c r="G1807" s="9">
        <v>2428.0</v>
      </c>
    </row>
    <row r="1808" ht="14.25" hidden="1" customHeight="1">
      <c r="B1808" s="7" t="s">
        <v>18</v>
      </c>
      <c r="C1808" s="7" t="s">
        <v>7</v>
      </c>
      <c r="D1808" s="7" t="s">
        <v>8</v>
      </c>
      <c r="E1808" s="7" t="s">
        <v>24</v>
      </c>
      <c r="F1808" s="8">
        <v>4482.0</v>
      </c>
      <c r="G1808" s="9">
        <v>2241.0</v>
      </c>
    </row>
    <row r="1809" ht="14.25" hidden="1" customHeight="1">
      <c r="B1809" s="7" t="s">
        <v>18</v>
      </c>
      <c r="C1809" s="7" t="s">
        <v>7</v>
      </c>
      <c r="D1809" s="7" t="s">
        <v>25</v>
      </c>
      <c r="E1809" s="7" t="s">
        <v>8</v>
      </c>
      <c r="F1809" s="8">
        <v>4164.0</v>
      </c>
      <c r="G1809" s="9">
        <v>2082.0</v>
      </c>
    </row>
    <row r="1810" ht="14.25" hidden="1" customHeight="1">
      <c r="B1810" s="7" t="s">
        <v>18</v>
      </c>
      <c r="C1810" s="7" t="s">
        <v>29</v>
      </c>
      <c r="D1810" s="7" t="s">
        <v>11</v>
      </c>
      <c r="E1810" s="7" t="s">
        <v>10</v>
      </c>
      <c r="F1810" s="8">
        <v>4120.0</v>
      </c>
      <c r="G1810" s="9">
        <v>4120.0</v>
      </c>
    </row>
    <row r="1811" ht="14.25" hidden="1" customHeight="1">
      <c r="B1811" s="7" t="s">
        <v>18</v>
      </c>
      <c r="C1811" s="7" t="s">
        <v>7</v>
      </c>
      <c r="D1811" s="7" t="s">
        <v>8</v>
      </c>
      <c r="E1811" s="7" t="s">
        <v>25</v>
      </c>
      <c r="F1811" s="8">
        <v>3458.0</v>
      </c>
      <c r="G1811" s="9">
        <v>1729.0</v>
      </c>
    </row>
    <row r="1812" ht="14.25" hidden="1" customHeight="1">
      <c r="B1812" s="7" t="s">
        <v>18</v>
      </c>
      <c r="C1812" s="7" t="s">
        <v>7</v>
      </c>
      <c r="D1812" s="7" t="s">
        <v>8</v>
      </c>
      <c r="E1812" s="7" t="s">
        <v>28</v>
      </c>
      <c r="F1812" s="8">
        <v>3204.0</v>
      </c>
      <c r="G1812" s="9">
        <v>1602.0</v>
      </c>
    </row>
    <row r="1813" ht="14.25" hidden="1" customHeight="1">
      <c r="B1813" s="7" t="s">
        <v>18</v>
      </c>
      <c r="C1813" s="7" t="s">
        <v>7</v>
      </c>
      <c r="D1813" s="7" t="s">
        <v>10</v>
      </c>
      <c r="E1813" s="7" t="s">
        <v>11</v>
      </c>
      <c r="F1813" s="8">
        <v>3180.0</v>
      </c>
      <c r="G1813" s="9">
        <v>1590.0</v>
      </c>
    </row>
    <row r="1814" ht="14.25" hidden="1" customHeight="1">
      <c r="B1814" s="7" t="s">
        <v>18</v>
      </c>
      <c r="C1814" s="7" t="s">
        <v>7</v>
      </c>
      <c r="D1814" s="7" t="s">
        <v>9</v>
      </c>
      <c r="E1814" s="7" t="s">
        <v>25</v>
      </c>
      <c r="F1814" s="8">
        <v>3166.0</v>
      </c>
      <c r="G1814" s="9">
        <v>1583.0</v>
      </c>
    </row>
    <row r="1815" ht="14.25" hidden="1" customHeight="1">
      <c r="B1815" s="7" t="s">
        <v>18</v>
      </c>
      <c r="C1815" s="7" t="s">
        <v>7</v>
      </c>
      <c r="D1815" s="7" t="s">
        <v>31</v>
      </c>
      <c r="E1815" s="7" t="s">
        <v>25</v>
      </c>
      <c r="F1815" s="8">
        <v>2022.0</v>
      </c>
      <c r="G1815" s="9">
        <v>1011.0</v>
      </c>
    </row>
    <row r="1816" ht="14.25" hidden="1" customHeight="1">
      <c r="B1816" s="7" t="s">
        <v>18</v>
      </c>
      <c r="C1816" s="7" t="s">
        <v>7</v>
      </c>
      <c r="D1816" s="7" t="s">
        <v>31</v>
      </c>
      <c r="E1816" s="7" t="s">
        <v>9</v>
      </c>
      <c r="F1816" s="8">
        <v>1986.0</v>
      </c>
      <c r="G1816" s="9">
        <v>993.0</v>
      </c>
    </row>
    <row r="1817" ht="14.25" hidden="1" customHeight="1">
      <c r="B1817" s="7" t="s">
        <v>18</v>
      </c>
      <c r="C1817" s="7" t="s">
        <v>7</v>
      </c>
      <c r="D1817" s="7" t="s">
        <v>8</v>
      </c>
      <c r="E1817" s="7" t="s">
        <v>11</v>
      </c>
      <c r="F1817" s="8">
        <v>1980.0</v>
      </c>
      <c r="G1817" s="9">
        <v>990.0</v>
      </c>
    </row>
    <row r="1818" ht="14.25" hidden="1" customHeight="1">
      <c r="B1818" s="7" t="s">
        <v>18</v>
      </c>
      <c r="C1818" s="7" t="s">
        <v>7</v>
      </c>
      <c r="D1818" s="7" t="s">
        <v>28</v>
      </c>
      <c r="E1818" s="7" t="s">
        <v>25</v>
      </c>
      <c r="F1818" s="8">
        <v>1724.0</v>
      </c>
      <c r="G1818" s="9">
        <v>862.0</v>
      </c>
    </row>
    <row r="1819" ht="14.25" hidden="1" customHeight="1">
      <c r="B1819" s="7" t="s">
        <v>18</v>
      </c>
      <c r="C1819" s="7" t="s">
        <v>7</v>
      </c>
      <c r="D1819" s="7" t="s">
        <v>33</v>
      </c>
      <c r="E1819" s="7" t="s">
        <v>8</v>
      </c>
      <c r="F1819" s="8">
        <v>1578.0</v>
      </c>
      <c r="G1819" s="9">
        <v>789.0</v>
      </c>
    </row>
    <row r="1820" ht="14.25" hidden="1" customHeight="1">
      <c r="B1820" s="7" t="s">
        <v>18</v>
      </c>
      <c r="C1820" s="7" t="s">
        <v>7</v>
      </c>
      <c r="D1820" s="7" t="s">
        <v>9</v>
      </c>
      <c r="E1820" s="7" t="s">
        <v>8</v>
      </c>
      <c r="F1820" s="8">
        <v>1440.0</v>
      </c>
      <c r="G1820" s="9">
        <v>720.0</v>
      </c>
    </row>
    <row r="1821" ht="14.25" hidden="1" customHeight="1">
      <c r="B1821" s="7" t="s">
        <v>18</v>
      </c>
      <c r="C1821" s="7" t="s">
        <v>7</v>
      </c>
      <c r="D1821" s="7" t="s">
        <v>31</v>
      </c>
      <c r="E1821" s="7" t="s">
        <v>9</v>
      </c>
      <c r="F1821" s="8">
        <v>1374.0</v>
      </c>
      <c r="G1821" s="9">
        <v>687.0</v>
      </c>
    </row>
    <row r="1822" ht="14.25" hidden="1" customHeight="1">
      <c r="B1822" s="7" t="s">
        <v>18</v>
      </c>
      <c r="C1822" s="7" t="s">
        <v>7</v>
      </c>
      <c r="D1822" s="7" t="s">
        <v>31</v>
      </c>
      <c r="E1822" s="7" t="s">
        <v>28</v>
      </c>
      <c r="F1822" s="8">
        <v>1352.0</v>
      </c>
      <c r="G1822" s="9">
        <v>676.0</v>
      </c>
    </row>
    <row r="1823" ht="14.25" customHeight="1">
      <c r="B1823" s="7" t="s">
        <v>18</v>
      </c>
      <c r="C1823" s="7" t="s">
        <v>7</v>
      </c>
      <c r="D1823" s="7" t="s">
        <v>8</v>
      </c>
      <c r="E1823" s="7" t="s">
        <v>31</v>
      </c>
      <c r="F1823" s="8">
        <v>1260.0</v>
      </c>
      <c r="G1823" s="9">
        <v>630.0</v>
      </c>
    </row>
    <row r="1824" ht="14.25" hidden="1" customHeight="1">
      <c r="B1824" s="7" t="s">
        <v>18</v>
      </c>
      <c r="C1824" s="7" t="s">
        <v>7</v>
      </c>
      <c r="D1824" s="7" t="s">
        <v>25</v>
      </c>
      <c r="E1824" s="7" t="s">
        <v>28</v>
      </c>
      <c r="F1824" s="8">
        <v>1256.0</v>
      </c>
      <c r="G1824" s="9">
        <v>628.0</v>
      </c>
    </row>
    <row r="1825" ht="14.25" hidden="1" customHeight="1">
      <c r="B1825" s="7" t="s">
        <v>18</v>
      </c>
      <c r="C1825" s="7" t="s">
        <v>7</v>
      </c>
      <c r="D1825" s="7" t="s">
        <v>25</v>
      </c>
      <c r="E1825" s="7" t="s">
        <v>10</v>
      </c>
      <c r="F1825" s="8">
        <v>1182.0</v>
      </c>
      <c r="G1825" s="9">
        <v>591.0</v>
      </c>
    </row>
    <row r="1826" ht="14.25" hidden="1" customHeight="1">
      <c r="B1826" s="7" t="s">
        <v>18</v>
      </c>
      <c r="C1826" s="7" t="s">
        <v>7</v>
      </c>
      <c r="D1826" s="7" t="s">
        <v>8</v>
      </c>
      <c r="E1826" s="7" t="s">
        <v>28</v>
      </c>
      <c r="F1826" s="8">
        <v>1070.0</v>
      </c>
      <c r="G1826" s="9">
        <v>535.0</v>
      </c>
    </row>
    <row r="1827" ht="14.25" customHeight="1">
      <c r="B1827" s="7" t="s">
        <v>18</v>
      </c>
      <c r="C1827" s="7" t="s">
        <v>7</v>
      </c>
      <c r="D1827" s="7" t="s">
        <v>8</v>
      </c>
      <c r="E1827" s="7" t="s">
        <v>31</v>
      </c>
      <c r="F1827" s="8">
        <v>1052.0</v>
      </c>
      <c r="G1827" s="9">
        <v>526.0</v>
      </c>
    </row>
    <row r="1828" ht="14.25" hidden="1" customHeight="1">
      <c r="B1828" s="7" t="s">
        <v>18</v>
      </c>
      <c r="C1828" s="7" t="s">
        <v>30</v>
      </c>
      <c r="D1828" s="7" t="s">
        <v>31</v>
      </c>
      <c r="E1828" s="7" t="s">
        <v>25</v>
      </c>
      <c r="F1828" s="8">
        <v>1002.0</v>
      </c>
      <c r="G1828" s="9">
        <v>501.0</v>
      </c>
    </row>
    <row r="1829" ht="14.25" hidden="1" customHeight="1">
      <c r="B1829" s="7" t="s">
        <v>18</v>
      </c>
      <c r="C1829" s="7" t="s">
        <v>29</v>
      </c>
      <c r="D1829" s="7" t="s">
        <v>8</v>
      </c>
      <c r="E1829" s="7" t="s">
        <v>24</v>
      </c>
      <c r="F1829" s="8">
        <v>972.0</v>
      </c>
      <c r="G1829" s="9">
        <v>972.0</v>
      </c>
    </row>
    <row r="1830" ht="14.25" hidden="1" customHeight="1">
      <c r="B1830" s="7" t="s">
        <v>18</v>
      </c>
      <c r="C1830" s="7" t="s">
        <v>29</v>
      </c>
      <c r="D1830" s="7" t="s">
        <v>31</v>
      </c>
      <c r="E1830" s="7" t="s">
        <v>28</v>
      </c>
      <c r="F1830" s="8">
        <v>921.0</v>
      </c>
      <c r="G1830" s="9">
        <v>921.0</v>
      </c>
    </row>
    <row r="1831" ht="14.25" hidden="1" customHeight="1">
      <c r="B1831" s="7" t="s">
        <v>18</v>
      </c>
      <c r="C1831" s="7" t="s">
        <v>7</v>
      </c>
      <c r="D1831" s="7" t="s">
        <v>25</v>
      </c>
      <c r="E1831" s="7" t="s">
        <v>9</v>
      </c>
      <c r="F1831" s="8">
        <v>888.0</v>
      </c>
      <c r="G1831" s="9">
        <v>444.0</v>
      </c>
    </row>
    <row r="1832" ht="14.25" hidden="1" customHeight="1">
      <c r="B1832" s="7" t="s">
        <v>18</v>
      </c>
      <c r="C1832" s="7" t="s">
        <v>30</v>
      </c>
      <c r="D1832" s="7" t="s">
        <v>31</v>
      </c>
      <c r="E1832" s="7" t="s">
        <v>9</v>
      </c>
      <c r="F1832" s="8">
        <v>874.0</v>
      </c>
      <c r="G1832" s="9">
        <v>437.0</v>
      </c>
    </row>
    <row r="1833" ht="14.25" hidden="1" customHeight="1">
      <c r="B1833" s="7" t="s">
        <v>18</v>
      </c>
      <c r="C1833" s="7" t="s">
        <v>29</v>
      </c>
      <c r="D1833" s="7" t="s">
        <v>31</v>
      </c>
      <c r="E1833" s="7" t="s">
        <v>9</v>
      </c>
      <c r="F1833" s="8">
        <v>864.0</v>
      </c>
      <c r="G1833" s="9">
        <v>864.0</v>
      </c>
    </row>
    <row r="1834" ht="14.25" customHeight="1">
      <c r="B1834" s="7" t="s">
        <v>18</v>
      </c>
      <c r="C1834" s="7" t="s">
        <v>7</v>
      </c>
      <c r="D1834" s="7" t="s">
        <v>8</v>
      </c>
      <c r="E1834" s="7" t="s">
        <v>31</v>
      </c>
      <c r="F1834" s="8">
        <v>842.0</v>
      </c>
      <c r="G1834" s="9">
        <v>421.0</v>
      </c>
    </row>
    <row r="1835" ht="14.25" hidden="1" customHeight="1">
      <c r="B1835" s="7" t="s">
        <v>18</v>
      </c>
      <c r="C1835" s="7" t="s">
        <v>29</v>
      </c>
      <c r="D1835" s="7" t="s">
        <v>10</v>
      </c>
      <c r="E1835" s="7" t="s">
        <v>11</v>
      </c>
      <c r="F1835" s="8">
        <v>840.0</v>
      </c>
      <c r="G1835" s="9">
        <v>840.0</v>
      </c>
    </row>
    <row r="1836" ht="14.25" hidden="1" customHeight="1">
      <c r="B1836" s="7" t="s">
        <v>18</v>
      </c>
      <c r="C1836" s="7" t="s">
        <v>7</v>
      </c>
      <c r="D1836" s="7" t="s">
        <v>8</v>
      </c>
      <c r="E1836" s="7" t="s">
        <v>10</v>
      </c>
      <c r="F1836" s="8">
        <v>812.0</v>
      </c>
      <c r="G1836" s="9">
        <v>406.0</v>
      </c>
    </row>
    <row r="1837" ht="14.25" hidden="1" customHeight="1">
      <c r="B1837" s="7" t="s">
        <v>18</v>
      </c>
      <c r="C1837" s="7" t="s">
        <v>7</v>
      </c>
      <c r="D1837" s="7" t="s">
        <v>31</v>
      </c>
      <c r="E1837" s="7" t="s">
        <v>24</v>
      </c>
      <c r="F1837" s="8">
        <v>770.0</v>
      </c>
      <c r="G1837" s="9">
        <v>385.0</v>
      </c>
    </row>
    <row r="1838" ht="14.25" hidden="1" customHeight="1">
      <c r="B1838" s="7" t="s">
        <v>18</v>
      </c>
      <c r="C1838" s="7" t="s">
        <v>7</v>
      </c>
      <c r="D1838" s="7" t="s">
        <v>9</v>
      </c>
      <c r="E1838" s="7" t="s">
        <v>28</v>
      </c>
      <c r="F1838" s="8">
        <v>762.0</v>
      </c>
      <c r="G1838" s="9">
        <v>381.0</v>
      </c>
    </row>
    <row r="1839" ht="14.25" hidden="1" customHeight="1">
      <c r="B1839" s="7" t="s">
        <v>18</v>
      </c>
      <c r="C1839" s="7" t="s">
        <v>29</v>
      </c>
      <c r="D1839" s="7" t="s">
        <v>28</v>
      </c>
      <c r="E1839" s="7" t="s">
        <v>8</v>
      </c>
      <c r="F1839" s="8">
        <v>751.0</v>
      </c>
      <c r="G1839" s="9">
        <v>751.0</v>
      </c>
    </row>
    <row r="1840" ht="14.25" hidden="1" customHeight="1">
      <c r="B1840" s="7" t="s">
        <v>18</v>
      </c>
      <c r="C1840" s="7" t="s">
        <v>7</v>
      </c>
      <c r="D1840" s="7" t="s">
        <v>25</v>
      </c>
      <c r="E1840" s="7" t="s">
        <v>31</v>
      </c>
      <c r="F1840" s="8">
        <v>740.0</v>
      </c>
      <c r="G1840" s="9">
        <v>370.0</v>
      </c>
    </row>
    <row r="1841" ht="14.25" hidden="1" customHeight="1">
      <c r="B1841" s="7" t="s">
        <v>18</v>
      </c>
      <c r="C1841" s="7" t="s">
        <v>7</v>
      </c>
      <c r="D1841" s="7" t="s">
        <v>10</v>
      </c>
      <c r="E1841" s="7" t="s">
        <v>25</v>
      </c>
      <c r="F1841" s="8">
        <v>672.0</v>
      </c>
      <c r="G1841" s="9">
        <v>336.0</v>
      </c>
    </row>
    <row r="1842" ht="14.25" hidden="1" customHeight="1">
      <c r="B1842" s="7" t="s">
        <v>18</v>
      </c>
      <c r="C1842" s="7" t="s">
        <v>7</v>
      </c>
      <c r="D1842" s="7" t="s">
        <v>32</v>
      </c>
      <c r="E1842" s="7" t="s">
        <v>28</v>
      </c>
      <c r="F1842" s="8">
        <v>638.0</v>
      </c>
      <c r="G1842" s="9">
        <v>319.0</v>
      </c>
    </row>
    <row r="1843" ht="14.25" hidden="1" customHeight="1">
      <c r="B1843" s="7" t="s">
        <v>18</v>
      </c>
      <c r="C1843" s="7" t="s">
        <v>7</v>
      </c>
      <c r="D1843" s="7" t="s">
        <v>8</v>
      </c>
      <c r="E1843" s="7" t="s">
        <v>10</v>
      </c>
      <c r="F1843" s="8">
        <v>626.0</v>
      </c>
      <c r="G1843" s="9">
        <v>313.0</v>
      </c>
    </row>
    <row r="1844" ht="14.25" hidden="1" customHeight="1">
      <c r="B1844" s="7" t="s">
        <v>18</v>
      </c>
      <c r="C1844" s="7" t="s">
        <v>7</v>
      </c>
      <c r="D1844" s="7" t="s">
        <v>28</v>
      </c>
      <c r="E1844" s="7" t="s">
        <v>8</v>
      </c>
      <c r="F1844" s="8">
        <v>622.0</v>
      </c>
      <c r="G1844" s="9">
        <v>311.0</v>
      </c>
    </row>
    <row r="1845" ht="14.25" hidden="1" customHeight="1">
      <c r="B1845" s="7" t="s">
        <v>18</v>
      </c>
      <c r="C1845" s="7" t="s">
        <v>29</v>
      </c>
      <c r="D1845" s="7" t="s">
        <v>9</v>
      </c>
      <c r="E1845" s="7" t="s">
        <v>8</v>
      </c>
      <c r="F1845" s="8">
        <v>622.0</v>
      </c>
      <c r="G1845" s="9">
        <v>622.0</v>
      </c>
    </row>
    <row r="1846" ht="14.25" hidden="1" customHeight="1">
      <c r="B1846" s="7" t="s">
        <v>18</v>
      </c>
      <c r="C1846" s="7" t="s">
        <v>7</v>
      </c>
      <c r="D1846" s="7" t="s">
        <v>32</v>
      </c>
      <c r="E1846" s="7" t="s">
        <v>9</v>
      </c>
      <c r="F1846" s="8">
        <v>608.0</v>
      </c>
      <c r="G1846" s="9">
        <v>304.0</v>
      </c>
    </row>
    <row r="1847" ht="14.25" customHeight="1">
      <c r="B1847" s="7" t="s">
        <v>18</v>
      </c>
      <c r="C1847" s="7" t="s">
        <v>30</v>
      </c>
      <c r="D1847" s="7" t="s">
        <v>8</v>
      </c>
      <c r="E1847" s="7" t="s">
        <v>31</v>
      </c>
      <c r="F1847" s="8">
        <v>588.0</v>
      </c>
      <c r="G1847" s="9">
        <v>294.0</v>
      </c>
    </row>
    <row r="1848" ht="14.25" hidden="1" customHeight="1">
      <c r="B1848" s="7" t="s">
        <v>18</v>
      </c>
      <c r="C1848" s="7" t="s">
        <v>29</v>
      </c>
      <c r="D1848" s="7" t="s">
        <v>8</v>
      </c>
      <c r="E1848" s="7" t="s">
        <v>9</v>
      </c>
      <c r="F1848" s="8">
        <v>569.0</v>
      </c>
      <c r="G1848" s="9">
        <v>569.0</v>
      </c>
    </row>
    <row r="1849" ht="14.25" hidden="1" customHeight="1">
      <c r="B1849" s="7" t="s">
        <v>18</v>
      </c>
      <c r="C1849" s="7" t="s">
        <v>7</v>
      </c>
      <c r="D1849" s="7" t="s">
        <v>32</v>
      </c>
      <c r="E1849" s="7" t="s">
        <v>33</v>
      </c>
      <c r="F1849" s="8">
        <v>566.0</v>
      </c>
      <c r="G1849" s="9">
        <v>283.0</v>
      </c>
    </row>
    <row r="1850" ht="14.25" hidden="1" customHeight="1">
      <c r="B1850" s="7" t="s">
        <v>18</v>
      </c>
      <c r="C1850" s="7" t="s">
        <v>7</v>
      </c>
      <c r="D1850" s="7" t="s">
        <v>33</v>
      </c>
      <c r="E1850" s="7" t="s">
        <v>25</v>
      </c>
      <c r="F1850" s="8">
        <v>554.0</v>
      </c>
      <c r="G1850" s="9">
        <v>277.0</v>
      </c>
    </row>
    <row r="1851" ht="14.25" hidden="1" customHeight="1">
      <c r="B1851" s="7" t="s">
        <v>18</v>
      </c>
      <c r="C1851" s="7" t="s">
        <v>7</v>
      </c>
      <c r="D1851" s="7" t="s">
        <v>31</v>
      </c>
      <c r="E1851" s="7" t="s">
        <v>28</v>
      </c>
      <c r="F1851" s="8">
        <v>546.0</v>
      </c>
      <c r="G1851" s="9">
        <v>273.0</v>
      </c>
    </row>
    <row r="1852" ht="14.25" hidden="1" customHeight="1">
      <c r="B1852" s="7" t="s">
        <v>18</v>
      </c>
      <c r="C1852" s="7" t="s">
        <v>29</v>
      </c>
      <c r="D1852" s="7" t="s">
        <v>8</v>
      </c>
      <c r="E1852" s="7" t="s">
        <v>28</v>
      </c>
      <c r="F1852" s="8">
        <v>542.0</v>
      </c>
      <c r="G1852" s="9">
        <v>542.0</v>
      </c>
    </row>
    <row r="1853" ht="14.25" hidden="1" customHeight="1">
      <c r="B1853" s="7" t="s">
        <v>18</v>
      </c>
      <c r="C1853" s="7" t="s">
        <v>7</v>
      </c>
      <c r="D1853" s="7" t="s">
        <v>10</v>
      </c>
      <c r="E1853" s="7" t="s">
        <v>9</v>
      </c>
      <c r="F1853" s="8">
        <v>534.0</v>
      </c>
      <c r="G1853" s="9">
        <v>267.0</v>
      </c>
    </row>
    <row r="1854" ht="14.25" hidden="1" customHeight="1">
      <c r="B1854" s="7" t="s">
        <v>18</v>
      </c>
      <c r="C1854" s="7" t="s">
        <v>7</v>
      </c>
      <c r="D1854" s="7" t="s">
        <v>11</v>
      </c>
      <c r="E1854" s="7" t="s">
        <v>10</v>
      </c>
      <c r="F1854" s="8">
        <v>532.0</v>
      </c>
      <c r="G1854" s="9">
        <v>266.0</v>
      </c>
    </row>
    <row r="1855" ht="14.25" hidden="1" customHeight="1">
      <c r="B1855" s="7" t="s">
        <v>18</v>
      </c>
      <c r="C1855" s="7" t="s">
        <v>29</v>
      </c>
      <c r="D1855" s="7" t="s">
        <v>32</v>
      </c>
      <c r="E1855" s="7" t="s">
        <v>9</v>
      </c>
      <c r="F1855" s="8">
        <v>528.0</v>
      </c>
      <c r="G1855" s="9">
        <v>528.0</v>
      </c>
    </row>
    <row r="1856" ht="14.25" hidden="1" customHeight="1">
      <c r="B1856" s="7" t="s">
        <v>18</v>
      </c>
      <c r="C1856" s="7" t="s">
        <v>7</v>
      </c>
      <c r="D1856" s="7" t="s">
        <v>9</v>
      </c>
      <c r="E1856" s="7" t="s">
        <v>31</v>
      </c>
      <c r="F1856" s="8">
        <v>516.0</v>
      </c>
      <c r="G1856" s="9">
        <v>258.0</v>
      </c>
    </row>
    <row r="1857" ht="14.25" hidden="1" customHeight="1">
      <c r="B1857" s="7" t="s">
        <v>18</v>
      </c>
      <c r="C1857" s="7" t="s">
        <v>29</v>
      </c>
      <c r="D1857" s="7" t="s">
        <v>32</v>
      </c>
      <c r="E1857" s="7" t="s">
        <v>28</v>
      </c>
      <c r="F1857" s="8">
        <v>516.0</v>
      </c>
      <c r="G1857" s="9">
        <v>516.0</v>
      </c>
    </row>
    <row r="1858" ht="14.25" hidden="1" customHeight="1">
      <c r="B1858" s="7" t="s">
        <v>18</v>
      </c>
      <c r="C1858" s="7" t="s">
        <v>7</v>
      </c>
      <c r="D1858" s="7" t="s">
        <v>8</v>
      </c>
      <c r="E1858" s="7" t="s">
        <v>33</v>
      </c>
      <c r="F1858" s="8">
        <v>508.0</v>
      </c>
      <c r="G1858" s="9">
        <v>254.0</v>
      </c>
    </row>
    <row r="1859" ht="14.25" hidden="1" customHeight="1">
      <c r="B1859" s="7" t="s">
        <v>18</v>
      </c>
      <c r="C1859" s="7" t="s">
        <v>7</v>
      </c>
      <c r="D1859" s="7" t="s">
        <v>28</v>
      </c>
      <c r="E1859" s="7" t="s">
        <v>9</v>
      </c>
      <c r="F1859" s="8">
        <v>496.0</v>
      </c>
      <c r="G1859" s="9">
        <v>248.0</v>
      </c>
    </row>
    <row r="1860" ht="14.25" hidden="1" customHeight="1">
      <c r="B1860" s="7" t="s">
        <v>18</v>
      </c>
      <c r="C1860" s="7" t="s">
        <v>7</v>
      </c>
      <c r="D1860" s="7" t="s">
        <v>33</v>
      </c>
      <c r="E1860" s="7" t="s">
        <v>8</v>
      </c>
      <c r="F1860" s="8">
        <v>490.0</v>
      </c>
      <c r="G1860" s="9">
        <v>245.0</v>
      </c>
    </row>
    <row r="1861" ht="14.25" hidden="1" customHeight="1">
      <c r="B1861" s="7" t="s">
        <v>18</v>
      </c>
      <c r="C1861" s="7" t="s">
        <v>7</v>
      </c>
      <c r="D1861" s="7" t="s">
        <v>10</v>
      </c>
      <c r="E1861" s="7" t="s">
        <v>33</v>
      </c>
      <c r="F1861" s="8">
        <v>478.0</v>
      </c>
      <c r="G1861" s="9">
        <v>239.0</v>
      </c>
    </row>
    <row r="1862" ht="14.25" hidden="1" customHeight="1">
      <c r="B1862" s="7" t="s">
        <v>18</v>
      </c>
      <c r="C1862" s="7" t="s">
        <v>30</v>
      </c>
      <c r="D1862" s="7" t="s">
        <v>8</v>
      </c>
      <c r="E1862" s="7" t="s">
        <v>28</v>
      </c>
      <c r="F1862" s="8">
        <v>470.0</v>
      </c>
      <c r="G1862" s="9">
        <v>235.0</v>
      </c>
    </row>
    <row r="1863" ht="14.25" hidden="1" customHeight="1">
      <c r="B1863" s="7" t="s">
        <v>18</v>
      </c>
      <c r="C1863" s="7" t="s">
        <v>7</v>
      </c>
      <c r="D1863" s="7" t="s">
        <v>28</v>
      </c>
      <c r="E1863" s="7" t="s">
        <v>8</v>
      </c>
      <c r="F1863" s="8">
        <v>456.0</v>
      </c>
      <c r="G1863" s="9">
        <v>228.0</v>
      </c>
    </row>
    <row r="1864" ht="14.25" hidden="1" customHeight="1">
      <c r="B1864" s="7" t="s">
        <v>18</v>
      </c>
      <c r="C1864" s="7" t="s">
        <v>7</v>
      </c>
      <c r="D1864" s="7" t="s">
        <v>32</v>
      </c>
      <c r="E1864" s="7" t="s">
        <v>25</v>
      </c>
      <c r="F1864" s="8">
        <v>448.0</v>
      </c>
      <c r="G1864" s="9">
        <v>224.0</v>
      </c>
    </row>
    <row r="1865" ht="14.25" hidden="1" customHeight="1">
      <c r="B1865" s="7" t="s">
        <v>18</v>
      </c>
      <c r="C1865" s="7" t="s">
        <v>29</v>
      </c>
      <c r="D1865" s="7" t="s">
        <v>34</v>
      </c>
      <c r="E1865" s="7" t="s">
        <v>8</v>
      </c>
      <c r="F1865" s="8">
        <v>434.0</v>
      </c>
      <c r="G1865" s="9">
        <v>434.0</v>
      </c>
    </row>
    <row r="1866" ht="14.25" hidden="1" customHeight="1">
      <c r="B1866" s="7" t="s">
        <v>18</v>
      </c>
      <c r="C1866" s="7" t="s">
        <v>7</v>
      </c>
      <c r="D1866" s="7" t="s">
        <v>9</v>
      </c>
      <c r="E1866" s="7" t="s">
        <v>25</v>
      </c>
      <c r="F1866" s="8">
        <v>420.0</v>
      </c>
      <c r="G1866" s="9">
        <v>210.0</v>
      </c>
    </row>
    <row r="1867" ht="14.25" hidden="1" customHeight="1">
      <c r="B1867" s="7" t="s">
        <v>18</v>
      </c>
      <c r="C1867" s="7" t="s">
        <v>7</v>
      </c>
      <c r="D1867" s="7" t="s">
        <v>9</v>
      </c>
      <c r="E1867" s="7" t="s">
        <v>8</v>
      </c>
      <c r="F1867" s="8">
        <v>418.0</v>
      </c>
      <c r="G1867" s="9">
        <v>209.0</v>
      </c>
    </row>
    <row r="1868" ht="14.25" hidden="1" customHeight="1">
      <c r="B1868" s="7" t="s">
        <v>18</v>
      </c>
      <c r="C1868" s="7" t="s">
        <v>30</v>
      </c>
      <c r="D1868" s="7" t="s">
        <v>8</v>
      </c>
      <c r="E1868" s="7" t="s">
        <v>9</v>
      </c>
      <c r="F1868" s="8">
        <v>406.0</v>
      </c>
      <c r="G1868" s="9">
        <v>203.0</v>
      </c>
    </row>
    <row r="1869" ht="14.25" hidden="1" customHeight="1">
      <c r="B1869" s="7" t="s">
        <v>18</v>
      </c>
      <c r="C1869" s="7" t="s">
        <v>29</v>
      </c>
      <c r="D1869" s="7" t="s">
        <v>8</v>
      </c>
      <c r="E1869" s="7" t="s">
        <v>10</v>
      </c>
      <c r="F1869" s="8">
        <v>402.0</v>
      </c>
      <c r="G1869" s="9">
        <v>402.0</v>
      </c>
    </row>
    <row r="1870" ht="14.25" hidden="1" customHeight="1">
      <c r="B1870" s="7" t="s">
        <v>18</v>
      </c>
      <c r="C1870" s="7" t="s">
        <v>7</v>
      </c>
      <c r="D1870" s="7" t="s">
        <v>8</v>
      </c>
      <c r="E1870" s="7" t="s">
        <v>25</v>
      </c>
      <c r="F1870" s="8">
        <v>396.0</v>
      </c>
      <c r="G1870" s="9">
        <v>198.0</v>
      </c>
    </row>
    <row r="1871" ht="14.25" hidden="1" customHeight="1">
      <c r="B1871" s="7" t="s">
        <v>18</v>
      </c>
      <c r="C1871" s="7" t="s">
        <v>7</v>
      </c>
      <c r="D1871" s="7" t="s">
        <v>28</v>
      </c>
      <c r="E1871" s="7" t="s">
        <v>8</v>
      </c>
      <c r="F1871" s="8">
        <v>386.0</v>
      </c>
      <c r="G1871" s="9">
        <v>193.0</v>
      </c>
    </row>
    <row r="1872" ht="14.25" hidden="1" customHeight="1">
      <c r="B1872" s="7" t="s">
        <v>18</v>
      </c>
      <c r="C1872" s="7" t="s">
        <v>7</v>
      </c>
      <c r="D1872" s="7" t="s">
        <v>31</v>
      </c>
      <c r="E1872" s="7" t="s">
        <v>25</v>
      </c>
      <c r="F1872" s="8">
        <v>382.0</v>
      </c>
      <c r="G1872" s="9">
        <v>191.0</v>
      </c>
    </row>
    <row r="1873" ht="14.25" hidden="1" customHeight="1">
      <c r="B1873" s="7" t="s">
        <v>18</v>
      </c>
      <c r="C1873" s="7" t="s">
        <v>7</v>
      </c>
      <c r="D1873" s="7" t="s">
        <v>31</v>
      </c>
      <c r="E1873" s="7" t="s">
        <v>33</v>
      </c>
      <c r="F1873" s="8">
        <v>376.0</v>
      </c>
      <c r="G1873" s="9">
        <v>188.0</v>
      </c>
    </row>
    <row r="1874" ht="14.25" hidden="1" customHeight="1">
      <c r="B1874" s="7" t="s">
        <v>18</v>
      </c>
      <c r="C1874" s="7" t="s">
        <v>30</v>
      </c>
      <c r="D1874" s="7" t="s">
        <v>8</v>
      </c>
      <c r="E1874" s="7" t="s">
        <v>25</v>
      </c>
      <c r="F1874" s="8">
        <v>372.0</v>
      </c>
      <c r="G1874" s="9">
        <v>186.0</v>
      </c>
    </row>
    <row r="1875" ht="14.25" hidden="1" customHeight="1">
      <c r="B1875" s="7" t="s">
        <v>18</v>
      </c>
      <c r="C1875" s="7" t="s">
        <v>7</v>
      </c>
      <c r="D1875" s="7" t="s">
        <v>25</v>
      </c>
      <c r="E1875" s="7" t="s">
        <v>33</v>
      </c>
      <c r="F1875" s="8">
        <v>362.0</v>
      </c>
      <c r="G1875" s="9">
        <v>181.0</v>
      </c>
    </row>
    <row r="1876" ht="14.25" hidden="1" customHeight="1">
      <c r="B1876" s="7" t="s">
        <v>18</v>
      </c>
      <c r="C1876" s="7" t="s">
        <v>29</v>
      </c>
      <c r="D1876" s="7" t="s">
        <v>33</v>
      </c>
      <c r="E1876" s="7" t="s">
        <v>8</v>
      </c>
      <c r="F1876" s="8">
        <v>359.0</v>
      </c>
      <c r="G1876" s="9">
        <v>359.0</v>
      </c>
    </row>
    <row r="1877" ht="14.25" hidden="1" customHeight="1">
      <c r="B1877" s="7" t="s">
        <v>18</v>
      </c>
      <c r="C1877" s="7" t="s">
        <v>7</v>
      </c>
      <c r="D1877" s="7" t="s">
        <v>33</v>
      </c>
      <c r="E1877" s="7" t="s">
        <v>9</v>
      </c>
      <c r="F1877" s="8">
        <v>354.0</v>
      </c>
      <c r="G1877" s="9">
        <v>177.0</v>
      </c>
    </row>
    <row r="1878" ht="14.25" hidden="1" customHeight="1">
      <c r="B1878" s="7" t="s">
        <v>18</v>
      </c>
      <c r="C1878" s="7" t="s">
        <v>7</v>
      </c>
      <c r="D1878" s="7" t="s">
        <v>10</v>
      </c>
      <c r="E1878" s="7" t="s">
        <v>8</v>
      </c>
      <c r="F1878" s="8">
        <v>350.0</v>
      </c>
      <c r="G1878" s="9">
        <v>175.0</v>
      </c>
    </row>
    <row r="1879" ht="14.25" hidden="1" customHeight="1">
      <c r="B1879" s="7" t="s">
        <v>18</v>
      </c>
      <c r="C1879" s="7" t="s">
        <v>29</v>
      </c>
      <c r="D1879" s="7" t="s">
        <v>8</v>
      </c>
      <c r="E1879" s="7" t="s">
        <v>11</v>
      </c>
      <c r="F1879" s="8">
        <v>341.0</v>
      </c>
      <c r="G1879" s="9">
        <v>341.0</v>
      </c>
    </row>
    <row r="1880" ht="14.25" hidden="1" customHeight="1">
      <c r="B1880" s="7" t="s">
        <v>18</v>
      </c>
      <c r="C1880" s="7" t="s">
        <v>30</v>
      </c>
      <c r="D1880" s="7" t="s">
        <v>31</v>
      </c>
      <c r="E1880" s="7" t="s">
        <v>28</v>
      </c>
      <c r="F1880" s="8">
        <v>338.0</v>
      </c>
      <c r="G1880" s="9">
        <v>169.0</v>
      </c>
    </row>
    <row r="1881" ht="14.25" customHeight="1">
      <c r="B1881" s="7" t="s">
        <v>18</v>
      </c>
      <c r="C1881" s="7" t="s">
        <v>7</v>
      </c>
      <c r="D1881" s="7" t="s">
        <v>8</v>
      </c>
      <c r="E1881" s="7" t="s">
        <v>31</v>
      </c>
      <c r="F1881" s="8">
        <v>336.0</v>
      </c>
      <c r="G1881" s="9">
        <v>168.0</v>
      </c>
    </row>
    <row r="1882" ht="14.25" hidden="1" customHeight="1">
      <c r="B1882" s="7" t="s">
        <v>18</v>
      </c>
      <c r="C1882" s="7" t="s">
        <v>7</v>
      </c>
      <c r="D1882" s="7" t="s">
        <v>28</v>
      </c>
      <c r="E1882" s="7" t="s">
        <v>25</v>
      </c>
      <c r="F1882" s="8">
        <v>326.0</v>
      </c>
      <c r="G1882" s="9">
        <v>163.0</v>
      </c>
    </row>
    <row r="1883" ht="14.25" hidden="1" customHeight="1">
      <c r="B1883" s="7" t="s">
        <v>18</v>
      </c>
      <c r="C1883" s="7" t="s">
        <v>7</v>
      </c>
      <c r="D1883" s="7" t="s">
        <v>25</v>
      </c>
      <c r="E1883" s="7" t="s">
        <v>31</v>
      </c>
      <c r="F1883" s="8">
        <v>324.0</v>
      </c>
      <c r="G1883" s="9">
        <v>162.0</v>
      </c>
    </row>
    <row r="1884" ht="14.25" hidden="1" customHeight="1">
      <c r="B1884" s="7" t="s">
        <v>18</v>
      </c>
      <c r="C1884" s="7" t="s">
        <v>30</v>
      </c>
      <c r="D1884" s="7" t="s">
        <v>9</v>
      </c>
      <c r="E1884" s="7" t="s">
        <v>25</v>
      </c>
      <c r="F1884" s="8">
        <v>318.0</v>
      </c>
      <c r="G1884" s="9">
        <v>159.0</v>
      </c>
    </row>
    <row r="1885" ht="14.25" hidden="1" customHeight="1">
      <c r="B1885" s="7" t="s">
        <v>18</v>
      </c>
      <c r="C1885" s="7" t="s">
        <v>30</v>
      </c>
      <c r="D1885" s="7" t="s">
        <v>8</v>
      </c>
      <c r="E1885" s="7" t="s">
        <v>24</v>
      </c>
      <c r="F1885" s="8">
        <v>316.0</v>
      </c>
      <c r="G1885" s="9">
        <v>158.0</v>
      </c>
    </row>
    <row r="1886" ht="14.25" hidden="1" customHeight="1">
      <c r="B1886" s="7" t="s">
        <v>18</v>
      </c>
      <c r="C1886" s="7" t="s">
        <v>29</v>
      </c>
      <c r="D1886" s="7" t="s">
        <v>31</v>
      </c>
      <c r="E1886" s="7" t="s">
        <v>33</v>
      </c>
      <c r="F1886" s="8">
        <v>311.0</v>
      </c>
      <c r="G1886" s="9">
        <v>311.0</v>
      </c>
    </row>
    <row r="1887" ht="14.25" hidden="1" customHeight="1">
      <c r="B1887" s="7" t="s">
        <v>18</v>
      </c>
      <c r="C1887" s="7" t="s">
        <v>7</v>
      </c>
      <c r="D1887" s="7" t="s">
        <v>32</v>
      </c>
      <c r="E1887" s="7" t="s">
        <v>28</v>
      </c>
      <c r="F1887" s="8">
        <v>286.0</v>
      </c>
      <c r="G1887" s="9">
        <v>143.0</v>
      </c>
    </row>
    <row r="1888" ht="14.25" hidden="1" customHeight="1">
      <c r="B1888" s="7" t="s">
        <v>18</v>
      </c>
      <c r="C1888" s="7" t="s">
        <v>29</v>
      </c>
      <c r="D1888" s="7" t="s">
        <v>28</v>
      </c>
      <c r="E1888" s="7" t="s">
        <v>31</v>
      </c>
      <c r="F1888" s="8">
        <v>284.0</v>
      </c>
      <c r="G1888" s="9">
        <v>284.0</v>
      </c>
    </row>
    <row r="1889" ht="14.25" hidden="1" customHeight="1">
      <c r="B1889" s="7" t="s">
        <v>18</v>
      </c>
      <c r="C1889" s="7" t="s">
        <v>29</v>
      </c>
      <c r="D1889" s="7" t="s">
        <v>34</v>
      </c>
      <c r="E1889" s="7" t="s">
        <v>28</v>
      </c>
      <c r="F1889" s="8">
        <v>276.0</v>
      </c>
      <c r="G1889" s="9">
        <v>276.0</v>
      </c>
    </row>
    <row r="1890" ht="14.25" hidden="1" customHeight="1">
      <c r="B1890" s="7" t="s">
        <v>18</v>
      </c>
      <c r="C1890" s="7" t="s">
        <v>7</v>
      </c>
      <c r="D1890" s="7" t="s">
        <v>34</v>
      </c>
      <c r="E1890" s="7" t="s">
        <v>28</v>
      </c>
      <c r="F1890" s="8">
        <v>272.0</v>
      </c>
      <c r="G1890" s="9">
        <v>136.0</v>
      </c>
    </row>
    <row r="1891" ht="14.25" hidden="1" customHeight="1">
      <c r="B1891" s="7" t="s">
        <v>18</v>
      </c>
      <c r="C1891" s="7" t="s">
        <v>29</v>
      </c>
      <c r="D1891" s="7" t="s">
        <v>9</v>
      </c>
      <c r="E1891" s="7" t="s">
        <v>33</v>
      </c>
      <c r="F1891" s="8">
        <v>269.0</v>
      </c>
      <c r="G1891" s="9">
        <v>269.0</v>
      </c>
    </row>
    <row r="1892" ht="14.25" hidden="1" customHeight="1">
      <c r="B1892" s="7" t="s">
        <v>18</v>
      </c>
      <c r="C1892" s="7" t="s">
        <v>29</v>
      </c>
      <c r="D1892" s="7" t="s">
        <v>28</v>
      </c>
      <c r="E1892" s="7" t="s">
        <v>25</v>
      </c>
      <c r="F1892" s="8">
        <v>266.0</v>
      </c>
      <c r="G1892" s="9">
        <v>266.0</v>
      </c>
    </row>
    <row r="1893" ht="14.25" hidden="1" customHeight="1">
      <c r="B1893" s="7" t="s">
        <v>18</v>
      </c>
      <c r="C1893" s="7" t="s">
        <v>7</v>
      </c>
      <c r="D1893" s="7" t="s">
        <v>9</v>
      </c>
      <c r="E1893" s="7" t="s">
        <v>33</v>
      </c>
      <c r="F1893" s="8">
        <v>258.0</v>
      </c>
      <c r="G1893" s="9">
        <v>129.0</v>
      </c>
    </row>
    <row r="1894" ht="14.25" hidden="1" customHeight="1">
      <c r="B1894" s="7" t="s">
        <v>18</v>
      </c>
      <c r="C1894" s="7" t="s">
        <v>29</v>
      </c>
      <c r="D1894" s="7" t="s">
        <v>8</v>
      </c>
      <c r="E1894" s="7" t="s">
        <v>25</v>
      </c>
      <c r="F1894" s="8">
        <v>252.0</v>
      </c>
      <c r="G1894" s="9">
        <v>252.0</v>
      </c>
    </row>
    <row r="1895" ht="14.25" hidden="1" customHeight="1">
      <c r="B1895" s="7" t="s">
        <v>18</v>
      </c>
      <c r="C1895" s="7" t="s">
        <v>7</v>
      </c>
      <c r="D1895" s="7" t="s">
        <v>33</v>
      </c>
      <c r="E1895" s="7" t="s">
        <v>31</v>
      </c>
      <c r="F1895" s="8">
        <v>248.0</v>
      </c>
      <c r="G1895" s="9">
        <v>124.0</v>
      </c>
    </row>
    <row r="1896" ht="14.25" hidden="1" customHeight="1">
      <c r="B1896" s="7" t="s">
        <v>18</v>
      </c>
      <c r="C1896" s="7" t="s">
        <v>7</v>
      </c>
      <c r="D1896" s="7" t="s">
        <v>33</v>
      </c>
      <c r="E1896" s="7" t="s">
        <v>28</v>
      </c>
      <c r="F1896" s="8">
        <v>240.0</v>
      </c>
      <c r="G1896" s="9">
        <v>120.0</v>
      </c>
    </row>
    <row r="1897" ht="14.25" hidden="1" customHeight="1">
      <c r="B1897" s="7" t="s">
        <v>18</v>
      </c>
      <c r="C1897" s="7" t="s">
        <v>7</v>
      </c>
      <c r="D1897" s="7" t="s">
        <v>32</v>
      </c>
      <c r="E1897" s="7" t="s">
        <v>25</v>
      </c>
      <c r="F1897" s="8">
        <v>240.0</v>
      </c>
      <c r="G1897" s="9">
        <v>120.0</v>
      </c>
    </row>
    <row r="1898" ht="14.25" hidden="1" customHeight="1">
      <c r="B1898" s="7" t="s">
        <v>18</v>
      </c>
      <c r="C1898" s="7" t="s">
        <v>7</v>
      </c>
      <c r="D1898" s="7" t="s">
        <v>9</v>
      </c>
      <c r="E1898" s="7" t="s">
        <v>28</v>
      </c>
      <c r="F1898" s="8">
        <v>236.0</v>
      </c>
      <c r="G1898" s="9">
        <v>118.0</v>
      </c>
    </row>
    <row r="1899" ht="14.25" hidden="1" customHeight="1">
      <c r="B1899" s="7" t="s">
        <v>18</v>
      </c>
      <c r="C1899" s="7" t="s">
        <v>7</v>
      </c>
      <c r="D1899" s="7" t="s">
        <v>32</v>
      </c>
      <c r="E1899" s="7" t="s">
        <v>8</v>
      </c>
      <c r="F1899" s="8">
        <v>236.0</v>
      </c>
      <c r="G1899" s="9">
        <v>118.0</v>
      </c>
    </row>
    <row r="1900" ht="14.25" hidden="1" customHeight="1">
      <c r="B1900" s="7" t="s">
        <v>18</v>
      </c>
      <c r="C1900" s="7" t="s">
        <v>7</v>
      </c>
      <c r="D1900" s="7" t="s">
        <v>10</v>
      </c>
      <c r="E1900" s="7" t="s">
        <v>31</v>
      </c>
      <c r="F1900" s="8">
        <v>230.0</v>
      </c>
      <c r="G1900" s="9">
        <v>115.0</v>
      </c>
    </row>
    <row r="1901" ht="14.25" hidden="1" customHeight="1">
      <c r="B1901" s="7" t="s">
        <v>18</v>
      </c>
      <c r="C1901" s="7" t="s">
        <v>29</v>
      </c>
      <c r="D1901" s="7" t="s">
        <v>33</v>
      </c>
      <c r="E1901" s="7" t="s">
        <v>8</v>
      </c>
      <c r="F1901" s="8">
        <v>229.0</v>
      </c>
      <c r="G1901" s="9">
        <v>229.0</v>
      </c>
    </row>
    <row r="1902" ht="14.25" hidden="1" customHeight="1">
      <c r="B1902" s="7" t="s">
        <v>18</v>
      </c>
      <c r="C1902" s="7" t="s">
        <v>7</v>
      </c>
      <c r="D1902" s="7" t="s">
        <v>33</v>
      </c>
      <c r="E1902" s="7" t="s">
        <v>31</v>
      </c>
      <c r="F1902" s="8">
        <v>226.0</v>
      </c>
      <c r="G1902" s="9">
        <v>113.0</v>
      </c>
    </row>
    <row r="1903" ht="14.25" hidden="1" customHeight="1">
      <c r="B1903" s="7" t="s">
        <v>18</v>
      </c>
      <c r="C1903" s="7" t="s">
        <v>7</v>
      </c>
      <c r="D1903" s="7" t="s">
        <v>9</v>
      </c>
      <c r="E1903" s="7" t="s">
        <v>32</v>
      </c>
      <c r="F1903" s="8">
        <v>216.0</v>
      </c>
      <c r="G1903" s="9">
        <v>108.0</v>
      </c>
    </row>
    <row r="1904" ht="14.25" hidden="1" customHeight="1">
      <c r="B1904" s="7" t="s">
        <v>18</v>
      </c>
      <c r="C1904" s="7" t="s">
        <v>29</v>
      </c>
      <c r="D1904" s="7" t="s">
        <v>25</v>
      </c>
      <c r="E1904" s="7" t="s">
        <v>8</v>
      </c>
      <c r="F1904" s="8">
        <v>215.0</v>
      </c>
      <c r="G1904" s="9">
        <v>215.0</v>
      </c>
    </row>
    <row r="1905" ht="14.25" hidden="1" customHeight="1">
      <c r="B1905" s="7" t="s">
        <v>18</v>
      </c>
      <c r="C1905" s="7" t="s">
        <v>7</v>
      </c>
      <c r="D1905" s="7" t="s">
        <v>11</v>
      </c>
      <c r="E1905" s="7" t="s">
        <v>8</v>
      </c>
      <c r="F1905" s="8">
        <v>210.0</v>
      </c>
      <c r="G1905" s="9">
        <v>105.0</v>
      </c>
    </row>
    <row r="1906" ht="14.25" hidden="1" customHeight="1">
      <c r="B1906" s="7" t="s">
        <v>18</v>
      </c>
      <c r="C1906" s="7" t="s">
        <v>29</v>
      </c>
      <c r="D1906" s="7" t="s">
        <v>10</v>
      </c>
      <c r="E1906" s="7" t="s">
        <v>31</v>
      </c>
      <c r="F1906" s="8">
        <v>210.0</v>
      </c>
      <c r="G1906" s="9">
        <v>210.0</v>
      </c>
    </row>
    <row r="1907" ht="14.25" hidden="1" customHeight="1">
      <c r="B1907" s="7" t="s">
        <v>18</v>
      </c>
      <c r="C1907" s="7" t="s">
        <v>29</v>
      </c>
      <c r="D1907" s="7" t="s">
        <v>32</v>
      </c>
      <c r="E1907" s="7" t="s">
        <v>33</v>
      </c>
      <c r="F1907" s="8">
        <v>207.0</v>
      </c>
      <c r="G1907" s="9">
        <v>207.0</v>
      </c>
    </row>
    <row r="1908" ht="14.25" hidden="1" customHeight="1">
      <c r="B1908" s="7" t="s">
        <v>18</v>
      </c>
      <c r="C1908" s="7" t="s">
        <v>7</v>
      </c>
      <c r="D1908" s="7" t="s">
        <v>33</v>
      </c>
      <c r="E1908" s="7" t="s">
        <v>10</v>
      </c>
      <c r="F1908" s="8">
        <v>206.0</v>
      </c>
      <c r="G1908" s="9">
        <v>103.0</v>
      </c>
    </row>
    <row r="1909" ht="14.25" hidden="1" customHeight="1">
      <c r="B1909" s="7" t="s">
        <v>18</v>
      </c>
      <c r="C1909" s="7" t="s">
        <v>30</v>
      </c>
      <c r="D1909" s="7" t="s">
        <v>31</v>
      </c>
      <c r="E1909" s="7" t="s">
        <v>33</v>
      </c>
      <c r="F1909" s="8">
        <v>204.0</v>
      </c>
      <c r="G1909" s="9">
        <v>102.0</v>
      </c>
    </row>
    <row r="1910" ht="14.25" hidden="1" customHeight="1">
      <c r="B1910" s="7" t="s">
        <v>18</v>
      </c>
      <c r="C1910" s="7" t="s">
        <v>7</v>
      </c>
      <c r="D1910" s="7" t="s">
        <v>8</v>
      </c>
      <c r="E1910" s="7" t="s">
        <v>35</v>
      </c>
      <c r="F1910" s="8">
        <v>204.0</v>
      </c>
      <c r="G1910" s="9">
        <v>102.0</v>
      </c>
    </row>
    <row r="1911" ht="14.25" hidden="1" customHeight="1">
      <c r="B1911" s="7" t="s">
        <v>18</v>
      </c>
      <c r="C1911" s="7" t="s">
        <v>29</v>
      </c>
      <c r="D1911" s="7" t="s">
        <v>28</v>
      </c>
      <c r="E1911" s="7" t="s">
        <v>8</v>
      </c>
      <c r="F1911" s="8">
        <v>199.0</v>
      </c>
      <c r="G1911" s="9">
        <v>199.0</v>
      </c>
    </row>
    <row r="1912" ht="14.25" hidden="1" customHeight="1">
      <c r="B1912" s="7" t="s">
        <v>18</v>
      </c>
      <c r="C1912" s="7" t="s">
        <v>29</v>
      </c>
      <c r="D1912" s="7" t="s">
        <v>8</v>
      </c>
      <c r="E1912" s="7" t="s">
        <v>10</v>
      </c>
      <c r="F1912" s="8">
        <v>197.0</v>
      </c>
      <c r="G1912" s="9">
        <v>197.0</v>
      </c>
    </row>
    <row r="1913" ht="14.25" customHeight="1">
      <c r="B1913" s="7" t="s">
        <v>18</v>
      </c>
      <c r="C1913" s="7" t="s">
        <v>29</v>
      </c>
      <c r="D1913" s="7" t="s">
        <v>8</v>
      </c>
      <c r="E1913" s="7" t="s">
        <v>31</v>
      </c>
      <c r="F1913" s="8">
        <v>196.0</v>
      </c>
      <c r="G1913" s="9">
        <v>196.0</v>
      </c>
    </row>
    <row r="1914" ht="14.25" hidden="1" customHeight="1">
      <c r="B1914" s="7" t="s">
        <v>18</v>
      </c>
      <c r="C1914" s="7" t="s">
        <v>7</v>
      </c>
      <c r="D1914" s="7" t="s">
        <v>33</v>
      </c>
      <c r="E1914" s="7" t="s">
        <v>28</v>
      </c>
      <c r="F1914" s="8">
        <v>192.0</v>
      </c>
      <c r="G1914" s="9">
        <v>96.0</v>
      </c>
    </row>
    <row r="1915" ht="14.25" hidden="1" customHeight="1">
      <c r="B1915" s="7" t="s">
        <v>18</v>
      </c>
      <c r="C1915" s="7" t="s">
        <v>7</v>
      </c>
      <c r="D1915" s="7" t="s">
        <v>10</v>
      </c>
      <c r="E1915" s="7" t="s">
        <v>8</v>
      </c>
      <c r="F1915" s="8">
        <v>192.0</v>
      </c>
      <c r="G1915" s="9">
        <v>96.0</v>
      </c>
    </row>
    <row r="1916" ht="14.25" hidden="1" customHeight="1">
      <c r="B1916" s="7" t="s">
        <v>18</v>
      </c>
      <c r="C1916" s="7" t="s">
        <v>7</v>
      </c>
      <c r="D1916" s="7" t="s">
        <v>28</v>
      </c>
      <c r="E1916" s="7" t="s">
        <v>31</v>
      </c>
      <c r="F1916" s="8">
        <v>188.0</v>
      </c>
      <c r="G1916" s="9">
        <v>94.0</v>
      </c>
    </row>
    <row r="1917" ht="14.25" hidden="1" customHeight="1">
      <c r="B1917" s="7" t="s">
        <v>18</v>
      </c>
      <c r="C1917" s="7" t="s">
        <v>7</v>
      </c>
      <c r="D1917" s="7" t="s">
        <v>31</v>
      </c>
      <c r="E1917" s="7" t="s">
        <v>31</v>
      </c>
      <c r="F1917" s="8">
        <v>188.0</v>
      </c>
      <c r="G1917" s="9">
        <v>94.0</v>
      </c>
    </row>
    <row r="1918" ht="14.25" hidden="1" customHeight="1">
      <c r="B1918" s="7" t="s">
        <v>18</v>
      </c>
      <c r="C1918" s="7" t="s">
        <v>29</v>
      </c>
      <c r="D1918" s="7" t="s">
        <v>31</v>
      </c>
      <c r="E1918" s="7" t="s">
        <v>9</v>
      </c>
      <c r="F1918" s="8">
        <v>186.0</v>
      </c>
      <c r="G1918" s="9">
        <v>186.0</v>
      </c>
    </row>
    <row r="1919" ht="14.25" hidden="1" customHeight="1">
      <c r="B1919" s="7" t="s">
        <v>18</v>
      </c>
      <c r="C1919" s="7" t="s">
        <v>7</v>
      </c>
      <c r="D1919" s="7" t="s">
        <v>8</v>
      </c>
      <c r="E1919" s="7" t="s">
        <v>10</v>
      </c>
      <c r="F1919" s="8">
        <v>182.0</v>
      </c>
      <c r="G1919" s="9">
        <v>91.0</v>
      </c>
    </row>
    <row r="1920" ht="14.25" hidden="1" customHeight="1">
      <c r="B1920" s="7" t="s">
        <v>18</v>
      </c>
      <c r="C1920" s="7" t="s">
        <v>29</v>
      </c>
      <c r="D1920" s="7" t="s">
        <v>33</v>
      </c>
      <c r="E1920" s="7" t="s">
        <v>8</v>
      </c>
      <c r="F1920" s="8">
        <v>178.0</v>
      </c>
      <c r="G1920" s="9">
        <v>178.0</v>
      </c>
    </row>
    <row r="1921" ht="14.25" hidden="1" customHeight="1">
      <c r="B1921" s="7" t="s">
        <v>18</v>
      </c>
      <c r="C1921" s="7" t="s">
        <v>7</v>
      </c>
      <c r="D1921" s="7" t="s">
        <v>31</v>
      </c>
      <c r="E1921" s="7" t="s">
        <v>31</v>
      </c>
      <c r="F1921" s="8">
        <v>172.0</v>
      </c>
      <c r="G1921" s="9">
        <v>86.0</v>
      </c>
    </row>
    <row r="1922" ht="14.25" hidden="1" customHeight="1">
      <c r="B1922" s="7" t="s">
        <v>18</v>
      </c>
      <c r="C1922" s="7" t="s">
        <v>30</v>
      </c>
      <c r="D1922" s="7" t="s">
        <v>31</v>
      </c>
      <c r="E1922" s="7" t="s">
        <v>31</v>
      </c>
      <c r="F1922" s="8">
        <v>166.0</v>
      </c>
      <c r="G1922" s="9">
        <v>83.0</v>
      </c>
    </row>
    <row r="1923" ht="14.25" hidden="1" customHeight="1">
      <c r="B1923" s="7" t="s">
        <v>18</v>
      </c>
      <c r="C1923" s="7" t="s">
        <v>29</v>
      </c>
      <c r="D1923" s="7" t="s">
        <v>25</v>
      </c>
      <c r="E1923" s="7" t="s">
        <v>28</v>
      </c>
      <c r="F1923" s="8">
        <v>164.0</v>
      </c>
      <c r="G1923" s="9">
        <v>164.0</v>
      </c>
    </row>
    <row r="1924" ht="14.25" hidden="1" customHeight="1">
      <c r="B1924" s="7" t="s">
        <v>18</v>
      </c>
      <c r="C1924" s="7" t="s">
        <v>30</v>
      </c>
      <c r="D1924" s="7" t="s">
        <v>32</v>
      </c>
      <c r="E1924" s="7" t="s">
        <v>31</v>
      </c>
      <c r="F1924" s="8">
        <v>162.0</v>
      </c>
      <c r="G1924" s="9">
        <v>81.0</v>
      </c>
    </row>
    <row r="1925" ht="14.25" hidden="1" customHeight="1">
      <c r="B1925" s="7" t="s">
        <v>18</v>
      </c>
      <c r="C1925" s="7" t="s">
        <v>7</v>
      </c>
      <c r="D1925" s="7" t="s">
        <v>25</v>
      </c>
      <c r="E1925" s="7" t="s">
        <v>32</v>
      </c>
      <c r="F1925" s="8">
        <v>156.0</v>
      </c>
      <c r="G1925" s="9">
        <v>78.0</v>
      </c>
    </row>
    <row r="1926" ht="14.25" hidden="1" customHeight="1">
      <c r="B1926" s="7" t="s">
        <v>18</v>
      </c>
      <c r="C1926" s="7" t="s">
        <v>7</v>
      </c>
      <c r="D1926" s="7" t="s">
        <v>32</v>
      </c>
      <c r="E1926" s="7" t="s">
        <v>9</v>
      </c>
      <c r="F1926" s="8">
        <v>142.0</v>
      </c>
      <c r="G1926" s="9">
        <v>71.0</v>
      </c>
    </row>
    <row r="1927" ht="14.25" hidden="1" customHeight="1">
      <c r="B1927" s="7" t="s">
        <v>18</v>
      </c>
      <c r="C1927" s="7" t="s">
        <v>29</v>
      </c>
      <c r="D1927" s="7" t="s">
        <v>9</v>
      </c>
      <c r="E1927" s="7" t="s">
        <v>28</v>
      </c>
      <c r="F1927" s="8">
        <v>141.0</v>
      </c>
      <c r="G1927" s="9">
        <v>141.0</v>
      </c>
    </row>
    <row r="1928" ht="14.25" hidden="1" customHeight="1">
      <c r="B1928" s="7" t="s">
        <v>18</v>
      </c>
      <c r="C1928" s="7" t="s">
        <v>30</v>
      </c>
      <c r="D1928" s="7" t="s">
        <v>33</v>
      </c>
      <c r="E1928" s="7" t="s">
        <v>8</v>
      </c>
      <c r="F1928" s="8">
        <v>134.0</v>
      </c>
      <c r="G1928" s="9">
        <v>67.0</v>
      </c>
    </row>
    <row r="1929" ht="14.25" hidden="1" customHeight="1">
      <c r="B1929" s="7" t="s">
        <v>18</v>
      </c>
      <c r="C1929" s="7" t="s">
        <v>7</v>
      </c>
      <c r="D1929" s="7" t="s">
        <v>28</v>
      </c>
      <c r="E1929" s="7" t="s">
        <v>31</v>
      </c>
      <c r="F1929" s="8">
        <v>134.0</v>
      </c>
      <c r="G1929" s="9">
        <v>67.0</v>
      </c>
    </row>
    <row r="1930" ht="14.25" hidden="1" customHeight="1">
      <c r="B1930" s="7" t="s">
        <v>18</v>
      </c>
      <c r="C1930" s="7" t="s">
        <v>29</v>
      </c>
      <c r="D1930" s="7" t="s">
        <v>31</v>
      </c>
      <c r="E1930" s="7" t="s">
        <v>24</v>
      </c>
      <c r="F1930" s="8">
        <v>126.0</v>
      </c>
      <c r="G1930" s="9">
        <v>126.0</v>
      </c>
    </row>
    <row r="1931" ht="14.25" hidden="1" customHeight="1">
      <c r="B1931" s="7" t="s">
        <v>18</v>
      </c>
      <c r="C1931" s="7" t="s">
        <v>29</v>
      </c>
      <c r="D1931" s="7" t="s">
        <v>31</v>
      </c>
      <c r="E1931" s="7" t="s">
        <v>25</v>
      </c>
      <c r="F1931" s="8">
        <v>125.0</v>
      </c>
      <c r="G1931" s="9">
        <v>125.0</v>
      </c>
    </row>
    <row r="1932" ht="14.25" hidden="1" customHeight="1">
      <c r="B1932" s="7" t="s">
        <v>18</v>
      </c>
      <c r="C1932" s="7" t="s">
        <v>29</v>
      </c>
      <c r="D1932" s="7" t="s">
        <v>8</v>
      </c>
      <c r="E1932" s="7" t="s">
        <v>33</v>
      </c>
      <c r="F1932" s="8">
        <v>123.0</v>
      </c>
      <c r="G1932" s="9">
        <v>123.0</v>
      </c>
    </row>
    <row r="1933" ht="14.25" hidden="1" customHeight="1">
      <c r="B1933" s="7" t="s">
        <v>18</v>
      </c>
      <c r="C1933" s="7" t="s">
        <v>7</v>
      </c>
      <c r="D1933" s="7" t="s">
        <v>28</v>
      </c>
      <c r="E1933" s="7" t="s">
        <v>32</v>
      </c>
      <c r="F1933" s="8">
        <v>118.0</v>
      </c>
      <c r="G1933" s="9">
        <v>59.0</v>
      </c>
    </row>
    <row r="1934" ht="14.25" hidden="1" customHeight="1">
      <c r="B1934" s="7" t="s">
        <v>18</v>
      </c>
      <c r="C1934" s="7" t="s">
        <v>7</v>
      </c>
      <c r="D1934" s="7" t="s">
        <v>11</v>
      </c>
      <c r="E1934" s="7" t="s">
        <v>25</v>
      </c>
      <c r="F1934" s="8">
        <v>118.0</v>
      </c>
      <c r="G1934" s="9">
        <v>59.0</v>
      </c>
    </row>
    <row r="1935" ht="14.25" hidden="1" customHeight="1">
      <c r="B1935" s="7" t="s">
        <v>18</v>
      </c>
      <c r="C1935" s="7" t="s">
        <v>30</v>
      </c>
      <c r="D1935" s="7" t="s">
        <v>31</v>
      </c>
      <c r="E1935" s="7" t="s">
        <v>24</v>
      </c>
      <c r="F1935" s="8">
        <v>118.0</v>
      </c>
      <c r="G1935" s="9">
        <v>59.0</v>
      </c>
    </row>
    <row r="1936" ht="14.25" hidden="1" customHeight="1">
      <c r="B1936" s="7" t="s">
        <v>18</v>
      </c>
      <c r="C1936" s="7" t="s">
        <v>7</v>
      </c>
      <c r="D1936" s="7" t="s">
        <v>31</v>
      </c>
      <c r="E1936" s="7" t="s">
        <v>10</v>
      </c>
      <c r="F1936" s="8">
        <v>114.0</v>
      </c>
      <c r="G1936" s="9">
        <v>57.0</v>
      </c>
    </row>
    <row r="1937" ht="14.25" hidden="1" customHeight="1">
      <c r="B1937" s="7" t="s">
        <v>18</v>
      </c>
      <c r="C1937" s="7" t="s">
        <v>7</v>
      </c>
      <c r="D1937" s="7" t="s">
        <v>33</v>
      </c>
      <c r="E1937" s="7" t="s">
        <v>32</v>
      </c>
      <c r="F1937" s="8">
        <v>110.0</v>
      </c>
      <c r="G1937" s="9">
        <v>55.0</v>
      </c>
    </row>
    <row r="1938" ht="14.25" hidden="1" customHeight="1">
      <c r="B1938" s="7" t="s">
        <v>18</v>
      </c>
      <c r="C1938" s="7" t="s">
        <v>7</v>
      </c>
      <c r="D1938" s="7" t="s">
        <v>31</v>
      </c>
      <c r="E1938" s="7" t="s">
        <v>35</v>
      </c>
      <c r="F1938" s="8">
        <v>110.0</v>
      </c>
      <c r="G1938" s="9">
        <v>55.0</v>
      </c>
    </row>
    <row r="1939" ht="14.25" hidden="1" customHeight="1">
      <c r="B1939" s="7" t="s">
        <v>18</v>
      </c>
      <c r="C1939" s="7" t="s">
        <v>29</v>
      </c>
      <c r="D1939" s="7" t="s">
        <v>11</v>
      </c>
      <c r="E1939" s="7" t="s">
        <v>8</v>
      </c>
      <c r="F1939" s="8">
        <v>107.0</v>
      </c>
      <c r="G1939" s="9">
        <v>107.0</v>
      </c>
    </row>
    <row r="1940" ht="14.25" hidden="1" customHeight="1">
      <c r="B1940" s="7" t="s">
        <v>18</v>
      </c>
      <c r="C1940" s="7" t="s">
        <v>30</v>
      </c>
      <c r="D1940" s="7" t="s">
        <v>33</v>
      </c>
      <c r="E1940" s="7" t="s">
        <v>9</v>
      </c>
      <c r="F1940" s="8">
        <v>106.0</v>
      </c>
      <c r="G1940" s="9">
        <v>53.0</v>
      </c>
    </row>
    <row r="1941" ht="14.25" hidden="1" customHeight="1">
      <c r="B1941" s="7" t="s">
        <v>18</v>
      </c>
      <c r="C1941" s="7" t="s">
        <v>29</v>
      </c>
      <c r="D1941" s="7" t="s">
        <v>31</v>
      </c>
      <c r="E1941" s="7" t="s">
        <v>31</v>
      </c>
      <c r="F1941" s="8">
        <v>105.0</v>
      </c>
      <c r="G1941" s="9">
        <v>105.0</v>
      </c>
    </row>
    <row r="1942" ht="14.25" hidden="1" customHeight="1">
      <c r="B1942" s="7" t="s">
        <v>18</v>
      </c>
      <c r="C1942" s="7" t="s">
        <v>29</v>
      </c>
      <c r="D1942" s="7" t="s">
        <v>8</v>
      </c>
      <c r="E1942" s="7" t="s">
        <v>33</v>
      </c>
      <c r="F1942" s="8">
        <v>103.0</v>
      </c>
      <c r="G1942" s="9">
        <v>103.0</v>
      </c>
    </row>
    <row r="1943" ht="14.25" hidden="1" customHeight="1">
      <c r="B1943" s="7" t="s">
        <v>18</v>
      </c>
      <c r="C1943" s="7" t="s">
        <v>29</v>
      </c>
      <c r="D1943" s="7" t="s">
        <v>8</v>
      </c>
      <c r="E1943" s="7" t="s">
        <v>25</v>
      </c>
      <c r="F1943" s="8">
        <v>102.0</v>
      </c>
      <c r="G1943" s="9">
        <v>102.0</v>
      </c>
    </row>
    <row r="1944" ht="14.25" hidden="1" customHeight="1">
      <c r="B1944" s="7" t="s">
        <v>18</v>
      </c>
      <c r="C1944" s="7" t="s">
        <v>29</v>
      </c>
      <c r="D1944" s="7" t="s">
        <v>8</v>
      </c>
      <c r="E1944" s="7" t="s">
        <v>28</v>
      </c>
      <c r="F1944" s="8">
        <v>102.0</v>
      </c>
      <c r="G1944" s="9">
        <v>102.0</v>
      </c>
    </row>
    <row r="1945" ht="14.25" hidden="1" customHeight="1">
      <c r="B1945" s="7" t="s">
        <v>18</v>
      </c>
      <c r="C1945" s="7" t="s">
        <v>29</v>
      </c>
      <c r="D1945" s="7" t="s">
        <v>9</v>
      </c>
      <c r="E1945" s="7" t="s">
        <v>25</v>
      </c>
      <c r="F1945" s="8">
        <v>100.0</v>
      </c>
      <c r="G1945" s="9">
        <v>100.0</v>
      </c>
    </row>
    <row r="1946" ht="14.25" hidden="1" customHeight="1">
      <c r="B1946" s="7" t="s">
        <v>18</v>
      </c>
      <c r="C1946" s="7" t="s">
        <v>7</v>
      </c>
      <c r="D1946" s="7" t="s">
        <v>10</v>
      </c>
      <c r="E1946" s="7" t="s">
        <v>28</v>
      </c>
      <c r="F1946" s="8">
        <v>100.0</v>
      </c>
      <c r="G1946" s="9">
        <v>50.0</v>
      </c>
    </row>
    <row r="1947" ht="14.25" hidden="1" customHeight="1">
      <c r="B1947" s="7" t="s">
        <v>18</v>
      </c>
      <c r="C1947" s="7" t="s">
        <v>7</v>
      </c>
      <c r="D1947" s="7" t="s">
        <v>32</v>
      </c>
      <c r="E1947" s="7" t="s">
        <v>31</v>
      </c>
      <c r="F1947" s="8">
        <v>100.0</v>
      </c>
      <c r="G1947" s="9">
        <v>50.0</v>
      </c>
    </row>
    <row r="1948" ht="14.25" hidden="1" customHeight="1">
      <c r="B1948" s="7" t="s">
        <v>18</v>
      </c>
      <c r="C1948" s="7" t="s">
        <v>30</v>
      </c>
      <c r="D1948" s="7" t="s">
        <v>31</v>
      </c>
      <c r="E1948" s="7" t="s">
        <v>10</v>
      </c>
      <c r="F1948" s="8">
        <v>96.0</v>
      </c>
      <c r="G1948" s="9">
        <v>48.0</v>
      </c>
    </row>
    <row r="1949" ht="14.25" hidden="1" customHeight="1">
      <c r="B1949" s="7" t="s">
        <v>18</v>
      </c>
      <c r="C1949" s="7" t="s">
        <v>29</v>
      </c>
      <c r="D1949" s="7" t="s">
        <v>9</v>
      </c>
      <c r="E1949" s="7" t="s">
        <v>10</v>
      </c>
      <c r="F1949" s="8">
        <v>95.0</v>
      </c>
      <c r="G1949" s="9">
        <v>95.0</v>
      </c>
    </row>
    <row r="1950" ht="14.25" hidden="1" customHeight="1">
      <c r="B1950" s="7" t="s">
        <v>18</v>
      </c>
      <c r="C1950" s="7" t="s">
        <v>29</v>
      </c>
      <c r="D1950" s="7" t="s">
        <v>10</v>
      </c>
      <c r="E1950" s="7" t="s">
        <v>25</v>
      </c>
      <c r="F1950" s="8">
        <v>94.0</v>
      </c>
      <c r="G1950" s="9">
        <v>94.0</v>
      </c>
    </row>
    <row r="1951" ht="14.25" hidden="1" customHeight="1">
      <c r="B1951" s="7" t="s">
        <v>18</v>
      </c>
      <c r="C1951" s="7" t="s">
        <v>7</v>
      </c>
      <c r="D1951" s="7" t="s">
        <v>10</v>
      </c>
      <c r="E1951" s="7" t="s">
        <v>25</v>
      </c>
      <c r="F1951" s="8">
        <v>94.0</v>
      </c>
      <c r="G1951" s="9">
        <v>47.0</v>
      </c>
    </row>
    <row r="1952" ht="14.25" hidden="1" customHeight="1">
      <c r="B1952" s="7" t="s">
        <v>18</v>
      </c>
      <c r="C1952" s="7" t="s">
        <v>29</v>
      </c>
      <c r="D1952" s="7" t="s">
        <v>11</v>
      </c>
      <c r="E1952" s="7" t="s">
        <v>8</v>
      </c>
      <c r="F1952" s="8">
        <v>88.0</v>
      </c>
      <c r="G1952" s="9">
        <v>88.0</v>
      </c>
    </row>
    <row r="1953" ht="14.25" hidden="1" customHeight="1">
      <c r="B1953" s="7" t="s">
        <v>18</v>
      </c>
      <c r="C1953" s="7" t="s">
        <v>29</v>
      </c>
      <c r="D1953" s="7" t="s">
        <v>8</v>
      </c>
      <c r="E1953" s="7" t="s">
        <v>28</v>
      </c>
      <c r="F1953" s="8">
        <v>88.0</v>
      </c>
      <c r="G1953" s="9">
        <v>88.0</v>
      </c>
    </row>
    <row r="1954" ht="14.25" hidden="1" customHeight="1">
      <c r="B1954" s="7" t="s">
        <v>18</v>
      </c>
      <c r="C1954" s="7" t="s">
        <v>7</v>
      </c>
      <c r="D1954" s="7" t="s">
        <v>33</v>
      </c>
      <c r="E1954" s="7" t="s">
        <v>25</v>
      </c>
      <c r="F1954" s="8">
        <v>86.0</v>
      </c>
      <c r="G1954" s="9">
        <v>43.0</v>
      </c>
    </row>
    <row r="1955" ht="14.25" customHeight="1">
      <c r="B1955" s="7" t="s">
        <v>18</v>
      </c>
      <c r="C1955" s="7" t="s">
        <v>7</v>
      </c>
      <c r="D1955" s="7" t="s">
        <v>8</v>
      </c>
      <c r="E1955" s="7" t="s">
        <v>31</v>
      </c>
      <c r="F1955" s="8">
        <v>86.0</v>
      </c>
      <c r="G1955" s="9">
        <v>43.0</v>
      </c>
    </row>
    <row r="1956" ht="14.25" hidden="1" customHeight="1">
      <c r="B1956" s="7" t="s">
        <v>18</v>
      </c>
      <c r="C1956" s="7" t="s">
        <v>7</v>
      </c>
      <c r="D1956" s="7" t="s">
        <v>9</v>
      </c>
      <c r="E1956" s="7" t="s">
        <v>10</v>
      </c>
      <c r="F1956" s="8">
        <v>82.0</v>
      </c>
      <c r="G1956" s="9">
        <v>41.0</v>
      </c>
    </row>
    <row r="1957" ht="14.25" hidden="1" customHeight="1">
      <c r="B1957" s="7" t="s">
        <v>18</v>
      </c>
      <c r="C1957" s="7" t="s">
        <v>7</v>
      </c>
      <c r="D1957" s="7" t="s">
        <v>9</v>
      </c>
      <c r="E1957" s="7" t="s">
        <v>31</v>
      </c>
      <c r="F1957" s="8">
        <v>82.0</v>
      </c>
      <c r="G1957" s="9">
        <v>41.0</v>
      </c>
    </row>
    <row r="1958" ht="14.25" hidden="1" customHeight="1">
      <c r="B1958" s="7" t="s">
        <v>18</v>
      </c>
      <c r="C1958" s="7" t="s">
        <v>7</v>
      </c>
      <c r="D1958" s="7" t="s">
        <v>9</v>
      </c>
      <c r="E1958" s="7" t="s">
        <v>31</v>
      </c>
      <c r="F1958" s="8">
        <v>82.0</v>
      </c>
      <c r="G1958" s="9">
        <v>41.0</v>
      </c>
    </row>
    <row r="1959" ht="14.25" hidden="1" customHeight="1">
      <c r="B1959" s="7" t="s">
        <v>18</v>
      </c>
      <c r="C1959" s="7" t="s">
        <v>30</v>
      </c>
      <c r="D1959" s="7" t="s">
        <v>8</v>
      </c>
      <c r="E1959" s="7" t="s">
        <v>10</v>
      </c>
      <c r="F1959" s="8">
        <v>82.0</v>
      </c>
      <c r="G1959" s="9">
        <v>41.0</v>
      </c>
    </row>
    <row r="1960" ht="14.25" hidden="1" customHeight="1">
      <c r="B1960" s="7" t="s">
        <v>18</v>
      </c>
      <c r="C1960" s="7" t="s">
        <v>7</v>
      </c>
      <c r="D1960" s="7" t="s">
        <v>33</v>
      </c>
      <c r="E1960" s="7" t="s">
        <v>8</v>
      </c>
      <c r="F1960" s="8">
        <v>78.0</v>
      </c>
      <c r="G1960" s="9">
        <v>39.0</v>
      </c>
    </row>
    <row r="1961" ht="14.25" hidden="1" customHeight="1">
      <c r="B1961" s="7" t="s">
        <v>18</v>
      </c>
      <c r="C1961" s="7" t="s">
        <v>7</v>
      </c>
      <c r="D1961" s="7" t="s">
        <v>34</v>
      </c>
      <c r="E1961" s="7" t="s">
        <v>8</v>
      </c>
      <c r="F1961" s="8">
        <v>78.0</v>
      </c>
      <c r="G1961" s="9">
        <v>39.0</v>
      </c>
    </row>
    <row r="1962" ht="14.25" hidden="1" customHeight="1">
      <c r="B1962" s="7" t="s">
        <v>18</v>
      </c>
      <c r="C1962" s="7" t="s">
        <v>7</v>
      </c>
      <c r="D1962" s="7" t="s">
        <v>32</v>
      </c>
      <c r="E1962" s="7" t="s">
        <v>35</v>
      </c>
      <c r="F1962" s="8">
        <v>76.0</v>
      </c>
      <c r="G1962" s="9">
        <v>38.0</v>
      </c>
    </row>
    <row r="1963" ht="14.25" hidden="1" customHeight="1">
      <c r="B1963" s="7" t="s">
        <v>18</v>
      </c>
      <c r="C1963" s="7" t="s">
        <v>7</v>
      </c>
      <c r="D1963" s="7" t="s">
        <v>8</v>
      </c>
      <c r="E1963" s="7" t="s">
        <v>9</v>
      </c>
      <c r="F1963" s="8">
        <v>76.0</v>
      </c>
      <c r="G1963" s="9">
        <v>38.0</v>
      </c>
    </row>
    <row r="1964" ht="14.25" hidden="1" customHeight="1">
      <c r="B1964" s="7" t="s">
        <v>18</v>
      </c>
      <c r="C1964" s="7" t="s">
        <v>29</v>
      </c>
      <c r="D1964" s="7" t="s">
        <v>28</v>
      </c>
      <c r="E1964" s="7" t="s">
        <v>31</v>
      </c>
      <c r="F1964" s="8">
        <v>75.0</v>
      </c>
      <c r="G1964" s="9">
        <v>75.0</v>
      </c>
    </row>
    <row r="1965" ht="14.25" hidden="1" customHeight="1">
      <c r="B1965" s="7" t="s">
        <v>18</v>
      </c>
      <c r="C1965" s="7" t="s">
        <v>29</v>
      </c>
      <c r="D1965" s="7" t="s">
        <v>32</v>
      </c>
      <c r="E1965" s="7" t="s">
        <v>35</v>
      </c>
      <c r="F1965" s="8">
        <v>75.0</v>
      </c>
      <c r="G1965" s="9">
        <v>75.0</v>
      </c>
    </row>
    <row r="1966" ht="14.25" hidden="1" customHeight="1">
      <c r="B1966" s="7" t="s">
        <v>18</v>
      </c>
      <c r="C1966" s="7" t="s">
        <v>29</v>
      </c>
      <c r="D1966" s="7" t="s">
        <v>9</v>
      </c>
      <c r="E1966" s="7" t="s">
        <v>8</v>
      </c>
      <c r="F1966" s="8">
        <v>71.0</v>
      </c>
      <c r="G1966" s="9">
        <v>71.0</v>
      </c>
    </row>
    <row r="1967" ht="14.25" hidden="1" customHeight="1">
      <c r="B1967" s="7" t="s">
        <v>18</v>
      </c>
      <c r="C1967" s="7" t="s">
        <v>29</v>
      </c>
      <c r="D1967" s="7" t="s">
        <v>9</v>
      </c>
      <c r="E1967" s="7" t="s">
        <v>25</v>
      </c>
      <c r="F1967" s="8">
        <v>64.0</v>
      </c>
      <c r="G1967" s="9">
        <v>64.0</v>
      </c>
    </row>
    <row r="1968" ht="14.25" hidden="1" customHeight="1">
      <c r="B1968" s="7" t="s">
        <v>18</v>
      </c>
      <c r="C1968" s="7" t="s">
        <v>7</v>
      </c>
      <c r="D1968" s="7" t="s">
        <v>11</v>
      </c>
      <c r="E1968" s="7" t="s">
        <v>8</v>
      </c>
      <c r="F1968" s="8">
        <v>62.0</v>
      </c>
      <c r="G1968" s="9">
        <v>31.0</v>
      </c>
    </row>
    <row r="1969" ht="14.25" hidden="1" customHeight="1">
      <c r="B1969" s="7" t="s">
        <v>18</v>
      </c>
      <c r="C1969" s="7" t="s">
        <v>7</v>
      </c>
      <c r="D1969" s="7" t="s">
        <v>8</v>
      </c>
      <c r="E1969" s="7" t="s">
        <v>9</v>
      </c>
      <c r="F1969" s="8">
        <v>62.0</v>
      </c>
      <c r="G1969" s="9">
        <v>31.0</v>
      </c>
    </row>
    <row r="1970" ht="14.25" hidden="1" customHeight="1">
      <c r="B1970" s="7" t="s">
        <v>18</v>
      </c>
      <c r="C1970" s="7" t="s">
        <v>29</v>
      </c>
      <c r="D1970" s="7" t="s">
        <v>32</v>
      </c>
      <c r="E1970" s="7" t="s">
        <v>35</v>
      </c>
      <c r="F1970" s="8">
        <v>61.0</v>
      </c>
      <c r="G1970" s="9">
        <v>61.0</v>
      </c>
    </row>
    <row r="1971" ht="14.25" hidden="1" customHeight="1">
      <c r="B1971" s="7" t="s">
        <v>18</v>
      </c>
      <c r="C1971" s="7" t="s">
        <v>7</v>
      </c>
      <c r="D1971" s="7" t="s">
        <v>33</v>
      </c>
      <c r="E1971" s="7" t="s">
        <v>31</v>
      </c>
      <c r="F1971" s="8">
        <v>60.0</v>
      </c>
      <c r="G1971" s="9">
        <v>30.0</v>
      </c>
    </row>
    <row r="1972" ht="14.25" hidden="1" customHeight="1">
      <c r="B1972" s="7" t="s">
        <v>18</v>
      </c>
      <c r="C1972" s="7" t="s">
        <v>7</v>
      </c>
      <c r="D1972" s="7" t="s">
        <v>10</v>
      </c>
      <c r="E1972" s="7" t="s">
        <v>8</v>
      </c>
      <c r="F1972" s="8">
        <v>60.0</v>
      </c>
      <c r="G1972" s="9">
        <v>30.0</v>
      </c>
    </row>
    <row r="1973" ht="14.25" hidden="1" customHeight="1">
      <c r="B1973" s="7" t="s">
        <v>18</v>
      </c>
      <c r="C1973" s="7" t="s">
        <v>29</v>
      </c>
      <c r="D1973" s="7" t="s">
        <v>10</v>
      </c>
      <c r="E1973" s="7" t="s">
        <v>33</v>
      </c>
      <c r="F1973" s="8">
        <v>59.0</v>
      </c>
      <c r="G1973" s="9">
        <v>59.0</v>
      </c>
    </row>
    <row r="1974" ht="14.25" customHeight="1">
      <c r="B1974" s="7" t="s">
        <v>18</v>
      </c>
      <c r="C1974" s="7" t="s">
        <v>29</v>
      </c>
      <c r="D1974" s="7" t="s">
        <v>8</v>
      </c>
      <c r="E1974" s="7" t="s">
        <v>31</v>
      </c>
      <c r="F1974" s="8">
        <v>59.0</v>
      </c>
      <c r="G1974" s="9">
        <v>59.0</v>
      </c>
    </row>
    <row r="1975" ht="14.25" hidden="1" customHeight="1">
      <c r="B1975" s="7" t="s">
        <v>18</v>
      </c>
      <c r="C1975" s="7" t="s">
        <v>7</v>
      </c>
      <c r="D1975" s="7" t="s">
        <v>10</v>
      </c>
      <c r="E1975" s="7" t="s">
        <v>33</v>
      </c>
      <c r="F1975" s="8">
        <v>58.0</v>
      </c>
      <c r="G1975" s="9">
        <v>29.0</v>
      </c>
    </row>
    <row r="1976" ht="14.25" hidden="1" customHeight="1">
      <c r="B1976" s="7" t="s">
        <v>18</v>
      </c>
      <c r="C1976" s="7" t="s">
        <v>7</v>
      </c>
      <c r="D1976" s="7" t="s">
        <v>8</v>
      </c>
      <c r="E1976" s="7" t="s">
        <v>25</v>
      </c>
      <c r="F1976" s="8">
        <v>58.0</v>
      </c>
      <c r="G1976" s="9">
        <v>58.0</v>
      </c>
    </row>
    <row r="1977" ht="14.25" hidden="1" customHeight="1">
      <c r="B1977" s="7" t="s">
        <v>18</v>
      </c>
      <c r="C1977" s="7" t="s">
        <v>7</v>
      </c>
      <c r="D1977" s="7" t="s">
        <v>25</v>
      </c>
      <c r="E1977" s="7" t="s">
        <v>10</v>
      </c>
      <c r="F1977" s="8">
        <v>56.0</v>
      </c>
      <c r="G1977" s="9">
        <v>28.0</v>
      </c>
    </row>
    <row r="1978" ht="14.25" hidden="1" customHeight="1">
      <c r="B1978" s="7" t="s">
        <v>18</v>
      </c>
      <c r="C1978" s="7" t="s">
        <v>29</v>
      </c>
      <c r="D1978" s="7" t="s">
        <v>28</v>
      </c>
      <c r="E1978" s="7" t="s">
        <v>25</v>
      </c>
      <c r="F1978" s="8">
        <v>56.0</v>
      </c>
      <c r="G1978" s="9">
        <v>56.0</v>
      </c>
    </row>
    <row r="1979" ht="14.25" hidden="1" customHeight="1">
      <c r="B1979" s="7" t="s">
        <v>18</v>
      </c>
      <c r="C1979" s="7" t="s">
        <v>7</v>
      </c>
      <c r="D1979" s="7" t="s">
        <v>25</v>
      </c>
      <c r="E1979" s="7" t="s">
        <v>28</v>
      </c>
      <c r="F1979" s="8">
        <v>54.0</v>
      </c>
      <c r="G1979" s="9">
        <v>27.0</v>
      </c>
    </row>
    <row r="1980" ht="14.25" hidden="1" customHeight="1">
      <c r="B1980" s="7" t="s">
        <v>18</v>
      </c>
      <c r="C1980" s="7" t="s">
        <v>7</v>
      </c>
      <c r="D1980" s="7" t="s">
        <v>8</v>
      </c>
      <c r="E1980" s="7" t="s">
        <v>28</v>
      </c>
      <c r="F1980" s="8">
        <v>54.0</v>
      </c>
      <c r="G1980" s="9">
        <v>27.0</v>
      </c>
    </row>
    <row r="1981" ht="14.25" hidden="1" customHeight="1">
      <c r="B1981" s="7" t="s">
        <v>18</v>
      </c>
      <c r="C1981" s="7" t="s">
        <v>7</v>
      </c>
      <c r="D1981" s="7" t="s">
        <v>25</v>
      </c>
      <c r="E1981" s="7" t="s">
        <v>8</v>
      </c>
      <c r="F1981" s="8">
        <v>52.0</v>
      </c>
      <c r="G1981" s="9">
        <v>52.0</v>
      </c>
    </row>
    <row r="1982" ht="14.25" hidden="1" customHeight="1">
      <c r="B1982" s="7" t="s">
        <v>18</v>
      </c>
      <c r="C1982" s="7" t="s">
        <v>29</v>
      </c>
      <c r="D1982" s="7" t="s">
        <v>28</v>
      </c>
      <c r="E1982" s="7" t="s">
        <v>32</v>
      </c>
      <c r="F1982" s="8">
        <v>52.0</v>
      </c>
      <c r="G1982" s="9">
        <v>52.0</v>
      </c>
    </row>
    <row r="1983" ht="14.25" hidden="1" customHeight="1">
      <c r="B1983" s="7" t="s">
        <v>18</v>
      </c>
      <c r="C1983" s="7" t="s">
        <v>29</v>
      </c>
      <c r="D1983" s="7" t="s">
        <v>9</v>
      </c>
      <c r="E1983" s="7" t="s">
        <v>8</v>
      </c>
      <c r="F1983" s="8">
        <v>52.0</v>
      </c>
      <c r="G1983" s="9">
        <v>52.0</v>
      </c>
    </row>
    <row r="1984" ht="14.25" hidden="1" customHeight="1">
      <c r="B1984" s="7" t="s">
        <v>18</v>
      </c>
      <c r="C1984" s="7" t="s">
        <v>29</v>
      </c>
      <c r="D1984" s="7" t="s">
        <v>9</v>
      </c>
      <c r="E1984" s="7" t="s">
        <v>31</v>
      </c>
      <c r="F1984" s="8">
        <v>51.0</v>
      </c>
      <c r="G1984" s="9">
        <v>51.0</v>
      </c>
    </row>
    <row r="1985" ht="14.25" hidden="1" customHeight="1">
      <c r="B1985" s="7" t="s">
        <v>18</v>
      </c>
      <c r="C1985" s="7" t="s">
        <v>7</v>
      </c>
      <c r="D1985" s="7" t="s">
        <v>33</v>
      </c>
      <c r="E1985" s="7" t="s">
        <v>8</v>
      </c>
      <c r="F1985" s="8">
        <v>48.0</v>
      </c>
      <c r="G1985" s="9">
        <v>24.0</v>
      </c>
    </row>
    <row r="1986" ht="14.25" hidden="1" customHeight="1">
      <c r="B1986" s="7" t="s">
        <v>18</v>
      </c>
      <c r="C1986" s="7" t="s">
        <v>29</v>
      </c>
      <c r="D1986" s="7" t="s">
        <v>28</v>
      </c>
      <c r="E1986" s="7" t="s">
        <v>10</v>
      </c>
      <c r="F1986" s="8">
        <v>48.0</v>
      </c>
      <c r="G1986" s="9">
        <v>48.0</v>
      </c>
    </row>
    <row r="1987" ht="14.25" hidden="1" customHeight="1">
      <c r="B1987" s="7" t="s">
        <v>18</v>
      </c>
      <c r="C1987" s="7" t="s">
        <v>7</v>
      </c>
      <c r="D1987" s="7" t="s">
        <v>31</v>
      </c>
      <c r="E1987" s="7" t="s">
        <v>25</v>
      </c>
      <c r="F1987" s="8">
        <v>48.0</v>
      </c>
      <c r="G1987" s="9">
        <v>48.0</v>
      </c>
    </row>
    <row r="1988" ht="14.25" hidden="1" customHeight="1">
      <c r="B1988" s="7" t="s">
        <v>18</v>
      </c>
      <c r="C1988" s="7" t="s">
        <v>29</v>
      </c>
      <c r="D1988" s="7" t="s">
        <v>10</v>
      </c>
      <c r="E1988" s="7" t="s">
        <v>25</v>
      </c>
      <c r="F1988" s="8">
        <v>47.0</v>
      </c>
      <c r="G1988" s="9">
        <v>47.0</v>
      </c>
    </row>
    <row r="1989" ht="14.25" hidden="1" customHeight="1">
      <c r="B1989" s="7" t="s">
        <v>18</v>
      </c>
      <c r="C1989" s="7" t="s">
        <v>7</v>
      </c>
      <c r="D1989" s="7" t="s">
        <v>10</v>
      </c>
      <c r="E1989" s="7" t="s">
        <v>31</v>
      </c>
      <c r="F1989" s="8">
        <v>46.0</v>
      </c>
      <c r="G1989" s="9">
        <v>23.0</v>
      </c>
    </row>
    <row r="1990" ht="14.25" hidden="1" customHeight="1">
      <c r="B1990" s="7" t="s">
        <v>18</v>
      </c>
      <c r="C1990" s="7" t="s">
        <v>7</v>
      </c>
      <c r="D1990" s="7" t="s">
        <v>8</v>
      </c>
      <c r="E1990" s="7" t="s">
        <v>25</v>
      </c>
      <c r="F1990" s="8">
        <v>46.0</v>
      </c>
      <c r="G1990" s="9">
        <v>23.0</v>
      </c>
    </row>
    <row r="1991" ht="14.25" hidden="1" customHeight="1">
      <c r="B1991" s="7" t="s">
        <v>18</v>
      </c>
      <c r="C1991" s="7" t="s">
        <v>7</v>
      </c>
      <c r="D1991" s="7" t="s">
        <v>8</v>
      </c>
      <c r="E1991" s="7" t="s">
        <v>28</v>
      </c>
      <c r="F1991" s="8">
        <v>46.0</v>
      </c>
      <c r="G1991" s="9">
        <v>23.0</v>
      </c>
    </row>
    <row r="1992" ht="14.25" hidden="1" customHeight="1">
      <c r="B1992" s="7" t="s">
        <v>18</v>
      </c>
      <c r="C1992" s="7" t="s">
        <v>7</v>
      </c>
      <c r="D1992" s="7" t="s">
        <v>8</v>
      </c>
      <c r="E1992" s="7" t="s">
        <v>28</v>
      </c>
      <c r="F1992" s="8">
        <v>46.0</v>
      </c>
      <c r="G1992" s="9">
        <v>23.0</v>
      </c>
    </row>
    <row r="1993" ht="14.25" hidden="1" customHeight="1">
      <c r="B1993" s="7" t="s">
        <v>18</v>
      </c>
      <c r="C1993" s="7" t="s">
        <v>7</v>
      </c>
      <c r="D1993" s="7" t="s">
        <v>28</v>
      </c>
      <c r="E1993" s="7" t="s">
        <v>31</v>
      </c>
      <c r="F1993" s="8">
        <v>44.0</v>
      </c>
      <c r="G1993" s="9">
        <v>22.0</v>
      </c>
    </row>
    <row r="1994" ht="14.25" hidden="1" customHeight="1">
      <c r="B1994" s="7" t="s">
        <v>18</v>
      </c>
      <c r="C1994" s="7" t="s">
        <v>30</v>
      </c>
      <c r="D1994" s="7" t="s">
        <v>9</v>
      </c>
      <c r="E1994" s="7" t="s">
        <v>28</v>
      </c>
      <c r="F1994" s="8">
        <v>44.0</v>
      </c>
      <c r="G1994" s="9">
        <v>22.0</v>
      </c>
    </row>
    <row r="1995" ht="14.25" hidden="1" customHeight="1">
      <c r="B1995" s="7" t="s">
        <v>18</v>
      </c>
      <c r="C1995" s="7" t="s">
        <v>7</v>
      </c>
      <c r="D1995" s="7" t="s">
        <v>10</v>
      </c>
      <c r="E1995" s="7" t="s">
        <v>31</v>
      </c>
      <c r="F1995" s="8">
        <v>44.0</v>
      </c>
      <c r="G1995" s="9">
        <v>22.0</v>
      </c>
    </row>
    <row r="1996" ht="14.25" hidden="1" customHeight="1">
      <c r="B1996" s="7" t="s">
        <v>18</v>
      </c>
      <c r="C1996" s="7" t="s">
        <v>30</v>
      </c>
      <c r="D1996" s="7" t="s">
        <v>10</v>
      </c>
      <c r="E1996" s="7" t="s">
        <v>8</v>
      </c>
      <c r="F1996" s="8">
        <v>44.0</v>
      </c>
      <c r="G1996" s="9">
        <v>22.0</v>
      </c>
    </row>
    <row r="1997" ht="14.25" hidden="1" customHeight="1">
      <c r="B1997" s="7" t="s">
        <v>18</v>
      </c>
      <c r="C1997" s="7" t="s">
        <v>29</v>
      </c>
      <c r="D1997" s="7" t="s">
        <v>28</v>
      </c>
      <c r="E1997" s="7" t="s">
        <v>33</v>
      </c>
      <c r="F1997" s="8">
        <v>43.0</v>
      </c>
      <c r="G1997" s="9">
        <v>43.0</v>
      </c>
    </row>
    <row r="1998" ht="14.25" hidden="1" customHeight="1">
      <c r="B1998" s="7" t="s">
        <v>18</v>
      </c>
      <c r="C1998" s="7" t="s">
        <v>30</v>
      </c>
      <c r="D1998" s="7" t="s">
        <v>33</v>
      </c>
      <c r="E1998" s="7" t="s">
        <v>28</v>
      </c>
      <c r="F1998" s="8">
        <v>40.0</v>
      </c>
      <c r="G1998" s="9">
        <v>20.0</v>
      </c>
    </row>
    <row r="1999" ht="14.25" hidden="1" customHeight="1">
      <c r="B1999" s="7" t="s">
        <v>18</v>
      </c>
      <c r="C1999" s="7" t="s">
        <v>7</v>
      </c>
      <c r="D1999" s="7" t="s">
        <v>28</v>
      </c>
      <c r="E1999" s="7" t="s">
        <v>35</v>
      </c>
      <c r="F1999" s="8">
        <v>40.0</v>
      </c>
      <c r="G1999" s="9">
        <v>20.0</v>
      </c>
    </row>
    <row r="2000" ht="14.25" hidden="1" customHeight="1">
      <c r="B2000" s="7" t="s">
        <v>18</v>
      </c>
      <c r="C2000" s="7" t="s">
        <v>29</v>
      </c>
      <c r="D2000" s="7" t="s">
        <v>11</v>
      </c>
      <c r="E2000" s="7" t="s">
        <v>25</v>
      </c>
      <c r="F2000" s="8">
        <v>40.0</v>
      </c>
      <c r="G2000" s="9">
        <v>40.0</v>
      </c>
    </row>
    <row r="2001" ht="14.25" hidden="1" customHeight="1">
      <c r="B2001" s="7" t="s">
        <v>18</v>
      </c>
      <c r="C2001" s="7" t="s">
        <v>7</v>
      </c>
      <c r="D2001" s="7" t="s">
        <v>24</v>
      </c>
      <c r="E2001" s="7" t="s">
        <v>31</v>
      </c>
      <c r="F2001" s="8">
        <v>40.0</v>
      </c>
      <c r="G2001" s="9">
        <v>20.0</v>
      </c>
    </row>
    <row r="2002" ht="14.25" hidden="1" customHeight="1">
      <c r="B2002" s="7" t="s">
        <v>18</v>
      </c>
      <c r="C2002" s="7" t="s">
        <v>7</v>
      </c>
      <c r="D2002" s="7" t="s">
        <v>8</v>
      </c>
      <c r="E2002" s="7" t="s">
        <v>28</v>
      </c>
      <c r="F2002" s="8">
        <v>40.0</v>
      </c>
      <c r="G2002" s="9">
        <v>20.0</v>
      </c>
    </row>
    <row r="2003" ht="14.25" customHeight="1">
      <c r="B2003" s="7" t="s">
        <v>18</v>
      </c>
      <c r="C2003" s="7" t="s">
        <v>7</v>
      </c>
      <c r="D2003" s="7" t="s">
        <v>8</v>
      </c>
      <c r="E2003" s="7" t="s">
        <v>31</v>
      </c>
      <c r="F2003" s="8">
        <v>40.0</v>
      </c>
      <c r="G2003" s="9">
        <v>20.0</v>
      </c>
    </row>
    <row r="2004" ht="14.25" hidden="1" customHeight="1">
      <c r="B2004" s="7" t="s">
        <v>18</v>
      </c>
      <c r="C2004" s="7" t="s">
        <v>29</v>
      </c>
      <c r="D2004" s="7" t="s">
        <v>25</v>
      </c>
      <c r="E2004" s="7" t="s">
        <v>28</v>
      </c>
      <c r="F2004" s="8">
        <v>37.0</v>
      </c>
      <c r="G2004" s="9">
        <v>37.0</v>
      </c>
    </row>
    <row r="2005" ht="14.25" hidden="1" customHeight="1">
      <c r="B2005" s="7" t="s">
        <v>18</v>
      </c>
      <c r="C2005" s="7" t="s">
        <v>30</v>
      </c>
      <c r="D2005" s="7" t="s">
        <v>28</v>
      </c>
      <c r="E2005" s="7" t="s">
        <v>25</v>
      </c>
      <c r="F2005" s="8">
        <v>36.0</v>
      </c>
      <c r="G2005" s="9">
        <v>18.0</v>
      </c>
    </row>
    <row r="2006" ht="14.25" hidden="1" customHeight="1">
      <c r="B2006" s="7" t="s">
        <v>18</v>
      </c>
      <c r="C2006" s="7" t="s">
        <v>7</v>
      </c>
      <c r="D2006" s="7" t="s">
        <v>28</v>
      </c>
      <c r="E2006" s="7" t="s">
        <v>10</v>
      </c>
      <c r="F2006" s="8">
        <v>36.0</v>
      </c>
      <c r="G2006" s="9">
        <v>18.0</v>
      </c>
    </row>
    <row r="2007" ht="14.25" hidden="1" customHeight="1">
      <c r="B2007" s="7" t="s">
        <v>18</v>
      </c>
      <c r="C2007" s="7" t="s">
        <v>29</v>
      </c>
      <c r="D2007" s="7" t="s">
        <v>10</v>
      </c>
      <c r="E2007" s="7" t="s">
        <v>8</v>
      </c>
      <c r="F2007" s="8">
        <v>36.0</v>
      </c>
      <c r="G2007" s="9">
        <v>36.0</v>
      </c>
    </row>
    <row r="2008" ht="14.25" hidden="1" customHeight="1">
      <c r="B2008" s="7" t="s">
        <v>18</v>
      </c>
      <c r="C2008" s="7" t="s">
        <v>7</v>
      </c>
      <c r="D2008" s="7" t="s">
        <v>8</v>
      </c>
      <c r="E2008" s="7" t="s">
        <v>35</v>
      </c>
      <c r="F2008" s="8">
        <v>36.0</v>
      </c>
      <c r="G2008" s="9">
        <v>18.0</v>
      </c>
    </row>
    <row r="2009" ht="14.25" hidden="1" customHeight="1">
      <c r="B2009" s="7" t="s">
        <v>18</v>
      </c>
      <c r="C2009" s="7" t="s">
        <v>29</v>
      </c>
      <c r="D2009" s="7" t="s">
        <v>9</v>
      </c>
      <c r="E2009" s="7" t="s">
        <v>31</v>
      </c>
      <c r="F2009" s="8">
        <v>34.0</v>
      </c>
      <c r="G2009" s="9">
        <v>34.0</v>
      </c>
    </row>
    <row r="2010" ht="14.25" hidden="1" customHeight="1">
      <c r="B2010" s="7" t="s">
        <v>18</v>
      </c>
      <c r="C2010" s="7" t="s">
        <v>29</v>
      </c>
      <c r="D2010" s="7" t="s">
        <v>10</v>
      </c>
      <c r="E2010" s="7" t="s">
        <v>31</v>
      </c>
      <c r="F2010" s="8">
        <v>34.0</v>
      </c>
      <c r="G2010" s="9">
        <v>34.0</v>
      </c>
    </row>
    <row r="2011" ht="14.25" hidden="1" customHeight="1">
      <c r="B2011" s="7" t="s">
        <v>18</v>
      </c>
      <c r="C2011" s="7" t="s">
        <v>29</v>
      </c>
      <c r="D2011" s="7" t="s">
        <v>33</v>
      </c>
      <c r="E2011" s="7" t="s">
        <v>9</v>
      </c>
      <c r="F2011" s="8">
        <v>33.0</v>
      </c>
      <c r="G2011" s="9">
        <v>33.0</v>
      </c>
    </row>
    <row r="2012" ht="14.25" hidden="1" customHeight="1">
      <c r="B2012" s="7" t="s">
        <v>18</v>
      </c>
      <c r="C2012" s="7" t="s">
        <v>29</v>
      </c>
      <c r="D2012" s="7" t="s">
        <v>8</v>
      </c>
      <c r="E2012" s="7" t="s">
        <v>25</v>
      </c>
      <c r="F2012" s="8">
        <v>33.0</v>
      </c>
      <c r="G2012" s="9">
        <v>33.0</v>
      </c>
    </row>
    <row r="2013" ht="14.25" hidden="1" customHeight="1">
      <c r="B2013" s="7" t="s">
        <v>18</v>
      </c>
      <c r="C2013" s="7" t="s">
        <v>30</v>
      </c>
      <c r="D2013" s="7" t="s">
        <v>25</v>
      </c>
      <c r="E2013" s="7" t="s">
        <v>8</v>
      </c>
      <c r="F2013" s="8">
        <v>32.0</v>
      </c>
      <c r="G2013" s="9">
        <v>16.0</v>
      </c>
    </row>
    <row r="2014" ht="14.25" hidden="1" customHeight="1">
      <c r="B2014" s="7" t="s">
        <v>18</v>
      </c>
      <c r="C2014" s="7" t="s">
        <v>29</v>
      </c>
      <c r="D2014" s="7" t="s">
        <v>33</v>
      </c>
      <c r="E2014" s="7" t="s">
        <v>8</v>
      </c>
      <c r="F2014" s="8">
        <v>32.0</v>
      </c>
      <c r="G2014" s="9">
        <v>32.0</v>
      </c>
    </row>
    <row r="2015" ht="14.25" hidden="1" customHeight="1">
      <c r="B2015" s="7" t="s">
        <v>18</v>
      </c>
      <c r="C2015" s="7" t="s">
        <v>29</v>
      </c>
      <c r="D2015" s="7" t="s">
        <v>31</v>
      </c>
      <c r="E2015" s="7" t="s">
        <v>25</v>
      </c>
      <c r="F2015" s="8">
        <v>32.0</v>
      </c>
      <c r="G2015" s="9">
        <v>32.0</v>
      </c>
    </row>
    <row r="2016" ht="14.25" customHeight="1">
      <c r="B2016" s="7" t="s">
        <v>18</v>
      </c>
      <c r="C2016" s="7" t="s">
        <v>30</v>
      </c>
      <c r="D2016" s="7" t="s">
        <v>8</v>
      </c>
      <c r="E2016" s="7" t="s">
        <v>31</v>
      </c>
      <c r="F2016" s="8">
        <v>32.0</v>
      </c>
      <c r="G2016" s="9">
        <v>16.0</v>
      </c>
    </row>
    <row r="2017" ht="14.25" hidden="1" customHeight="1">
      <c r="B2017" s="7" t="s">
        <v>18</v>
      </c>
      <c r="C2017" s="7" t="s">
        <v>29</v>
      </c>
      <c r="D2017" s="7" t="s">
        <v>31</v>
      </c>
      <c r="E2017" s="7" t="s">
        <v>31</v>
      </c>
      <c r="F2017" s="8">
        <v>31.0</v>
      </c>
      <c r="G2017" s="9">
        <v>31.0</v>
      </c>
    </row>
    <row r="2018" ht="14.25" hidden="1" customHeight="1">
      <c r="B2018" s="7" t="s">
        <v>18</v>
      </c>
      <c r="C2018" s="7" t="s">
        <v>29</v>
      </c>
      <c r="D2018" s="7" t="s">
        <v>11</v>
      </c>
      <c r="E2018" s="7" t="s">
        <v>10</v>
      </c>
      <c r="F2018" s="8">
        <v>30.0</v>
      </c>
      <c r="G2018" s="9">
        <v>30.0</v>
      </c>
    </row>
    <row r="2019" ht="14.25" hidden="1" customHeight="1">
      <c r="B2019" s="7" t="s">
        <v>18</v>
      </c>
      <c r="C2019" s="7" t="s">
        <v>7</v>
      </c>
      <c r="D2019" s="7" t="s">
        <v>31</v>
      </c>
      <c r="E2019" s="7" t="s">
        <v>35</v>
      </c>
      <c r="F2019" s="8">
        <v>30.0</v>
      </c>
      <c r="G2019" s="9">
        <v>15.0</v>
      </c>
    </row>
    <row r="2020" ht="14.25" hidden="1" customHeight="1">
      <c r="B2020" s="7" t="s">
        <v>18</v>
      </c>
      <c r="C2020" s="7" t="s">
        <v>29</v>
      </c>
      <c r="D2020" s="7" t="s">
        <v>9</v>
      </c>
      <c r="E2020" s="7" t="s">
        <v>25</v>
      </c>
      <c r="F2020" s="8">
        <v>29.0</v>
      </c>
      <c r="G2020" s="9">
        <v>29.0</v>
      </c>
    </row>
    <row r="2021" ht="14.25" hidden="1" customHeight="1">
      <c r="B2021" s="7" t="s">
        <v>18</v>
      </c>
      <c r="C2021" s="7" t="s">
        <v>29</v>
      </c>
      <c r="D2021" s="7" t="s">
        <v>25</v>
      </c>
      <c r="E2021" s="7" t="s">
        <v>8</v>
      </c>
      <c r="F2021" s="8">
        <v>28.0</v>
      </c>
      <c r="G2021" s="9">
        <v>28.0</v>
      </c>
    </row>
    <row r="2022" ht="14.25" hidden="1" customHeight="1">
      <c r="B2022" s="7" t="s">
        <v>18</v>
      </c>
      <c r="C2022" s="7" t="s">
        <v>29</v>
      </c>
      <c r="D2022" s="7" t="s">
        <v>33</v>
      </c>
      <c r="E2022" s="7" t="s">
        <v>25</v>
      </c>
      <c r="F2022" s="8">
        <v>28.0</v>
      </c>
      <c r="G2022" s="9">
        <v>28.0</v>
      </c>
    </row>
    <row r="2023" ht="14.25" hidden="1" customHeight="1">
      <c r="B2023" s="7" t="s">
        <v>18</v>
      </c>
      <c r="C2023" s="7" t="s">
        <v>29</v>
      </c>
      <c r="D2023" s="7" t="s">
        <v>11</v>
      </c>
      <c r="E2023" s="7" t="s">
        <v>25</v>
      </c>
      <c r="F2023" s="8">
        <v>28.0</v>
      </c>
      <c r="G2023" s="9">
        <v>28.0</v>
      </c>
    </row>
    <row r="2024" ht="14.25" hidden="1" customHeight="1">
      <c r="B2024" s="7" t="s">
        <v>18</v>
      </c>
      <c r="C2024" s="7" t="s">
        <v>7</v>
      </c>
      <c r="D2024" s="7" t="s">
        <v>11</v>
      </c>
      <c r="E2024" s="7" t="s">
        <v>25</v>
      </c>
      <c r="F2024" s="8">
        <v>28.0</v>
      </c>
      <c r="G2024" s="9">
        <v>14.0</v>
      </c>
    </row>
    <row r="2025" ht="14.25" hidden="1" customHeight="1">
      <c r="B2025" s="7" t="s">
        <v>18</v>
      </c>
      <c r="C2025" s="7" t="s">
        <v>29</v>
      </c>
      <c r="D2025" s="7" t="s">
        <v>9</v>
      </c>
      <c r="E2025" s="7" t="s">
        <v>8</v>
      </c>
      <c r="F2025" s="8">
        <v>28.0</v>
      </c>
      <c r="G2025" s="9">
        <v>28.0</v>
      </c>
    </row>
    <row r="2026" ht="14.25" hidden="1" customHeight="1">
      <c r="B2026" s="7" t="s">
        <v>18</v>
      </c>
      <c r="C2026" s="7" t="s">
        <v>7</v>
      </c>
      <c r="D2026" s="7" t="s">
        <v>32</v>
      </c>
      <c r="E2026" s="7" t="s">
        <v>25</v>
      </c>
      <c r="F2026" s="8">
        <v>28.0</v>
      </c>
      <c r="G2026" s="9">
        <v>14.0</v>
      </c>
    </row>
    <row r="2027" ht="14.25" hidden="1" customHeight="1">
      <c r="B2027" s="7" t="s">
        <v>18</v>
      </c>
      <c r="C2027" s="7" t="s">
        <v>7</v>
      </c>
      <c r="D2027" s="7" t="s">
        <v>32</v>
      </c>
      <c r="E2027" s="7" t="s">
        <v>35</v>
      </c>
      <c r="F2027" s="8">
        <v>28.0</v>
      </c>
      <c r="G2027" s="9">
        <v>14.0</v>
      </c>
    </row>
    <row r="2028" ht="14.25" hidden="1" customHeight="1">
      <c r="B2028" s="7" t="s">
        <v>18</v>
      </c>
      <c r="C2028" s="7" t="s">
        <v>29</v>
      </c>
      <c r="D2028" s="7" t="s">
        <v>31</v>
      </c>
      <c r="E2028" s="7" t="s">
        <v>28</v>
      </c>
      <c r="F2028" s="8">
        <v>28.0</v>
      </c>
      <c r="G2028" s="9">
        <v>28.0</v>
      </c>
    </row>
    <row r="2029" ht="14.25" hidden="1" customHeight="1">
      <c r="B2029" s="7" t="s">
        <v>18</v>
      </c>
      <c r="C2029" s="7" t="s">
        <v>7</v>
      </c>
      <c r="D2029" s="7" t="s">
        <v>31</v>
      </c>
      <c r="E2029" s="7" t="s">
        <v>10</v>
      </c>
      <c r="F2029" s="8">
        <v>28.0</v>
      </c>
      <c r="G2029" s="9">
        <v>14.0</v>
      </c>
    </row>
    <row r="2030" ht="14.25" hidden="1" customHeight="1">
      <c r="B2030" s="7" t="s">
        <v>18</v>
      </c>
      <c r="C2030" s="7" t="s">
        <v>7</v>
      </c>
      <c r="D2030" s="7" t="s">
        <v>33</v>
      </c>
      <c r="E2030" s="7" t="s">
        <v>31</v>
      </c>
      <c r="F2030" s="8">
        <v>26.0</v>
      </c>
      <c r="G2030" s="9">
        <v>13.0</v>
      </c>
    </row>
    <row r="2031" ht="14.25" hidden="1" customHeight="1">
      <c r="B2031" s="7" t="s">
        <v>18</v>
      </c>
      <c r="C2031" s="7" t="s">
        <v>7</v>
      </c>
      <c r="D2031" s="7" t="s">
        <v>9</v>
      </c>
      <c r="E2031" s="7" t="s">
        <v>35</v>
      </c>
      <c r="F2031" s="8">
        <v>26.0</v>
      </c>
      <c r="G2031" s="9">
        <v>13.0</v>
      </c>
    </row>
    <row r="2032" ht="14.25" hidden="1" customHeight="1">
      <c r="B2032" s="7" t="s">
        <v>18</v>
      </c>
      <c r="C2032" s="7" t="s">
        <v>7</v>
      </c>
      <c r="D2032" s="7" t="s">
        <v>10</v>
      </c>
      <c r="E2032" s="7" t="s">
        <v>24</v>
      </c>
      <c r="F2032" s="8">
        <v>26.0</v>
      </c>
      <c r="G2032" s="9">
        <v>13.0</v>
      </c>
    </row>
    <row r="2033" ht="14.25" hidden="1" customHeight="1">
      <c r="B2033" s="7" t="s">
        <v>18</v>
      </c>
      <c r="C2033" s="7" t="s">
        <v>29</v>
      </c>
      <c r="D2033" s="7" t="s">
        <v>32</v>
      </c>
      <c r="E2033" s="7" t="s">
        <v>8</v>
      </c>
      <c r="F2033" s="8">
        <v>25.0</v>
      </c>
      <c r="G2033" s="9">
        <v>25.0</v>
      </c>
    </row>
    <row r="2034" ht="14.25" hidden="1" customHeight="1">
      <c r="B2034" s="7" t="s">
        <v>18</v>
      </c>
      <c r="C2034" s="7" t="s">
        <v>29</v>
      </c>
      <c r="D2034" s="7" t="s">
        <v>31</v>
      </c>
      <c r="E2034" s="7" t="s">
        <v>10</v>
      </c>
      <c r="F2034" s="8">
        <v>25.0</v>
      </c>
      <c r="G2034" s="9">
        <v>25.0</v>
      </c>
    </row>
    <row r="2035" ht="14.25" hidden="1" customHeight="1">
      <c r="B2035" s="7" t="s">
        <v>18</v>
      </c>
      <c r="C2035" s="7" t="s">
        <v>7</v>
      </c>
      <c r="D2035" s="7" t="s">
        <v>33</v>
      </c>
      <c r="E2035" s="7" t="s">
        <v>28</v>
      </c>
      <c r="F2035" s="8">
        <v>24.0</v>
      </c>
      <c r="G2035" s="9">
        <v>12.0</v>
      </c>
    </row>
    <row r="2036" ht="14.25" hidden="1" customHeight="1">
      <c r="B2036" s="7" t="s">
        <v>18</v>
      </c>
      <c r="C2036" s="7" t="s">
        <v>7</v>
      </c>
      <c r="D2036" s="7" t="s">
        <v>28</v>
      </c>
      <c r="E2036" s="7" t="s">
        <v>35</v>
      </c>
      <c r="F2036" s="8">
        <v>24.0</v>
      </c>
      <c r="G2036" s="9">
        <v>12.0</v>
      </c>
    </row>
    <row r="2037" ht="14.25" hidden="1" customHeight="1">
      <c r="B2037" s="7" t="s">
        <v>18</v>
      </c>
      <c r="C2037" s="7" t="s">
        <v>29</v>
      </c>
      <c r="D2037" s="7" t="s">
        <v>10</v>
      </c>
      <c r="E2037" s="7" t="s">
        <v>9</v>
      </c>
      <c r="F2037" s="8">
        <v>24.0</v>
      </c>
      <c r="G2037" s="9">
        <v>24.0</v>
      </c>
    </row>
    <row r="2038" ht="14.25" hidden="1" customHeight="1">
      <c r="B2038" s="7" t="s">
        <v>18</v>
      </c>
      <c r="C2038" s="7" t="s">
        <v>29</v>
      </c>
      <c r="D2038" s="7" t="s">
        <v>31</v>
      </c>
      <c r="E2038" s="7" t="s">
        <v>33</v>
      </c>
      <c r="F2038" s="8">
        <v>24.0</v>
      </c>
      <c r="G2038" s="9">
        <v>24.0</v>
      </c>
    </row>
    <row r="2039" ht="14.25" hidden="1" customHeight="1">
      <c r="B2039" s="7" t="s">
        <v>18</v>
      </c>
      <c r="C2039" s="7" t="s">
        <v>7</v>
      </c>
      <c r="D2039" s="7" t="s">
        <v>8</v>
      </c>
      <c r="E2039" s="7" t="s">
        <v>10</v>
      </c>
      <c r="F2039" s="8">
        <v>24.0</v>
      </c>
      <c r="G2039" s="9">
        <v>12.0</v>
      </c>
    </row>
    <row r="2040" ht="14.25" hidden="1" customHeight="1">
      <c r="B2040" s="7" t="s">
        <v>18</v>
      </c>
      <c r="C2040" s="7" t="s">
        <v>29</v>
      </c>
      <c r="D2040" s="7" t="s">
        <v>10</v>
      </c>
      <c r="E2040" s="7" t="s">
        <v>8</v>
      </c>
      <c r="F2040" s="8">
        <v>22.0</v>
      </c>
      <c r="G2040" s="9">
        <v>22.0</v>
      </c>
    </row>
    <row r="2041" ht="14.25" hidden="1" customHeight="1">
      <c r="B2041" s="7" t="s">
        <v>18</v>
      </c>
      <c r="C2041" s="7" t="s">
        <v>7</v>
      </c>
      <c r="D2041" s="7" t="s">
        <v>32</v>
      </c>
      <c r="E2041" s="7" t="s">
        <v>31</v>
      </c>
      <c r="F2041" s="8">
        <v>22.0</v>
      </c>
      <c r="G2041" s="9">
        <v>11.0</v>
      </c>
    </row>
    <row r="2042" ht="14.25" hidden="1" customHeight="1">
      <c r="B2042" s="7" t="s">
        <v>18</v>
      </c>
      <c r="C2042" s="7" t="s">
        <v>29</v>
      </c>
      <c r="D2042" s="7" t="s">
        <v>25</v>
      </c>
      <c r="E2042" s="7" t="s">
        <v>33</v>
      </c>
      <c r="F2042" s="8">
        <v>21.0</v>
      </c>
      <c r="G2042" s="9">
        <v>21.0</v>
      </c>
    </row>
    <row r="2043" ht="14.25" customHeight="1">
      <c r="B2043" s="7" t="s">
        <v>18</v>
      </c>
      <c r="C2043" s="7" t="s">
        <v>29</v>
      </c>
      <c r="D2043" s="7" t="s">
        <v>8</v>
      </c>
      <c r="E2043" s="7" t="s">
        <v>31</v>
      </c>
      <c r="F2043" s="8">
        <v>21.0</v>
      </c>
      <c r="G2043" s="9">
        <v>21.0</v>
      </c>
    </row>
    <row r="2044" ht="14.25" hidden="1" customHeight="1">
      <c r="B2044" s="7" t="s">
        <v>18</v>
      </c>
      <c r="C2044" s="7" t="s">
        <v>29</v>
      </c>
      <c r="D2044" s="7" t="s">
        <v>33</v>
      </c>
      <c r="E2044" s="7" t="s">
        <v>28</v>
      </c>
      <c r="F2044" s="8">
        <v>20.0</v>
      </c>
      <c r="G2044" s="9">
        <v>20.0</v>
      </c>
    </row>
    <row r="2045" ht="14.25" hidden="1" customHeight="1">
      <c r="B2045" s="7" t="s">
        <v>18</v>
      </c>
      <c r="C2045" s="7" t="s">
        <v>29</v>
      </c>
      <c r="D2045" s="7" t="s">
        <v>28</v>
      </c>
      <c r="E2045" s="7" t="s">
        <v>8</v>
      </c>
      <c r="F2045" s="8">
        <v>20.0</v>
      </c>
      <c r="G2045" s="9">
        <v>20.0</v>
      </c>
    </row>
    <row r="2046" ht="14.25" hidden="1" customHeight="1">
      <c r="B2046" s="7" t="s">
        <v>18</v>
      </c>
      <c r="C2046" s="7" t="s">
        <v>29</v>
      </c>
      <c r="D2046" s="7" t="s">
        <v>34</v>
      </c>
      <c r="E2046" s="7" t="s">
        <v>28</v>
      </c>
      <c r="F2046" s="8">
        <v>20.0</v>
      </c>
      <c r="G2046" s="9">
        <v>20.0</v>
      </c>
    </row>
    <row r="2047" ht="14.25" hidden="1" customHeight="1">
      <c r="B2047" s="7" t="s">
        <v>18</v>
      </c>
      <c r="C2047" s="7" t="s">
        <v>7</v>
      </c>
      <c r="D2047" s="7" t="s">
        <v>34</v>
      </c>
      <c r="E2047" s="7" t="s">
        <v>28</v>
      </c>
      <c r="F2047" s="8">
        <v>20.0</v>
      </c>
      <c r="G2047" s="9">
        <v>10.0</v>
      </c>
    </row>
    <row r="2048" ht="14.25" hidden="1" customHeight="1">
      <c r="B2048" s="7" t="s">
        <v>18</v>
      </c>
      <c r="C2048" s="7" t="s">
        <v>29</v>
      </c>
      <c r="D2048" s="7" t="s">
        <v>9</v>
      </c>
      <c r="E2048" s="7" t="s">
        <v>32</v>
      </c>
      <c r="F2048" s="8">
        <v>20.0</v>
      </c>
      <c r="G2048" s="9">
        <v>20.0</v>
      </c>
    </row>
    <row r="2049" ht="14.25" hidden="1" customHeight="1">
      <c r="B2049" s="7" t="s">
        <v>18</v>
      </c>
      <c r="C2049" s="7" t="s">
        <v>7</v>
      </c>
      <c r="D2049" s="7" t="s">
        <v>9</v>
      </c>
      <c r="E2049" s="7" t="s">
        <v>31</v>
      </c>
      <c r="F2049" s="8">
        <v>20.0</v>
      </c>
      <c r="G2049" s="9">
        <v>10.0</v>
      </c>
    </row>
    <row r="2050" ht="14.25" hidden="1" customHeight="1">
      <c r="B2050" s="7" t="s">
        <v>18</v>
      </c>
      <c r="C2050" s="7" t="s">
        <v>29</v>
      </c>
      <c r="D2050" s="7" t="s">
        <v>10</v>
      </c>
      <c r="E2050" s="7" t="s">
        <v>33</v>
      </c>
      <c r="F2050" s="8">
        <v>20.0</v>
      </c>
      <c r="G2050" s="9">
        <v>20.0</v>
      </c>
    </row>
    <row r="2051" ht="14.25" hidden="1" customHeight="1">
      <c r="B2051" s="7" t="s">
        <v>18</v>
      </c>
      <c r="C2051" s="7" t="s">
        <v>29</v>
      </c>
      <c r="D2051" s="7" t="s">
        <v>10</v>
      </c>
      <c r="E2051" s="7" t="s">
        <v>24</v>
      </c>
      <c r="F2051" s="8">
        <v>20.0</v>
      </c>
      <c r="G2051" s="9">
        <v>20.0</v>
      </c>
    </row>
    <row r="2052" ht="14.25" hidden="1" customHeight="1">
      <c r="B2052" s="7" t="s">
        <v>18</v>
      </c>
      <c r="C2052" s="7" t="s">
        <v>29</v>
      </c>
      <c r="D2052" s="7" t="s">
        <v>10</v>
      </c>
      <c r="E2052" s="7" t="s">
        <v>8</v>
      </c>
      <c r="F2052" s="8">
        <v>20.0</v>
      </c>
      <c r="G2052" s="9">
        <v>20.0</v>
      </c>
    </row>
    <row r="2053" ht="14.25" hidden="1" customHeight="1">
      <c r="B2053" s="7" t="s">
        <v>18</v>
      </c>
      <c r="C2053" s="7" t="s">
        <v>29</v>
      </c>
      <c r="D2053" s="7" t="s">
        <v>31</v>
      </c>
      <c r="E2053" s="7" t="s">
        <v>9</v>
      </c>
      <c r="F2053" s="8">
        <v>20.0</v>
      </c>
      <c r="G2053" s="9">
        <v>20.0</v>
      </c>
    </row>
    <row r="2054" ht="14.25" hidden="1" customHeight="1">
      <c r="B2054" s="7" t="s">
        <v>18</v>
      </c>
      <c r="C2054" s="7" t="s">
        <v>29</v>
      </c>
      <c r="D2054" s="7" t="s">
        <v>31</v>
      </c>
      <c r="E2054" s="7" t="s">
        <v>31</v>
      </c>
      <c r="F2054" s="8">
        <v>20.0</v>
      </c>
      <c r="G2054" s="9">
        <v>20.0</v>
      </c>
    </row>
    <row r="2055" ht="14.25" hidden="1" customHeight="1">
      <c r="B2055" s="7" t="s">
        <v>18</v>
      </c>
      <c r="C2055" s="7" t="s">
        <v>30</v>
      </c>
      <c r="D2055" s="7" t="s">
        <v>25</v>
      </c>
      <c r="E2055" s="7" t="s">
        <v>10</v>
      </c>
      <c r="F2055" s="8">
        <v>18.0</v>
      </c>
      <c r="G2055" s="9">
        <v>9.0</v>
      </c>
    </row>
    <row r="2056" ht="14.25" hidden="1" customHeight="1">
      <c r="B2056" s="7" t="s">
        <v>18</v>
      </c>
      <c r="C2056" s="7" t="s">
        <v>7</v>
      </c>
      <c r="D2056" s="7" t="s">
        <v>24</v>
      </c>
      <c r="E2056" s="7" t="s">
        <v>31</v>
      </c>
      <c r="F2056" s="8">
        <v>18.0</v>
      </c>
      <c r="G2056" s="9">
        <v>9.0</v>
      </c>
    </row>
    <row r="2057" ht="14.25" hidden="1" customHeight="1">
      <c r="B2057" s="7" t="s">
        <v>18</v>
      </c>
      <c r="C2057" s="7" t="s">
        <v>7</v>
      </c>
      <c r="D2057" s="7" t="s">
        <v>10</v>
      </c>
      <c r="E2057" s="7" t="s">
        <v>31</v>
      </c>
      <c r="F2057" s="8">
        <v>18.0</v>
      </c>
      <c r="G2057" s="9">
        <v>9.0</v>
      </c>
    </row>
    <row r="2058" ht="14.25" hidden="1" customHeight="1">
      <c r="B2058" s="7" t="s">
        <v>18</v>
      </c>
      <c r="C2058" s="7" t="s">
        <v>7</v>
      </c>
      <c r="D2058" s="7" t="s">
        <v>32</v>
      </c>
      <c r="E2058" s="7" t="s">
        <v>28</v>
      </c>
      <c r="F2058" s="8">
        <v>18.0</v>
      </c>
      <c r="G2058" s="9">
        <v>9.0</v>
      </c>
    </row>
    <row r="2059" ht="14.25" hidden="1" customHeight="1">
      <c r="B2059" s="7" t="s">
        <v>18</v>
      </c>
      <c r="C2059" s="7" t="s">
        <v>7</v>
      </c>
      <c r="D2059" s="7" t="s">
        <v>8</v>
      </c>
      <c r="E2059" s="7" t="s">
        <v>9</v>
      </c>
      <c r="F2059" s="8">
        <v>18.0</v>
      </c>
      <c r="G2059" s="9">
        <v>9.0</v>
      </c>
    </row>
    <row r="2060" ht="14.25" hidden="1" customHeight="1">
      <c r="B2060" s="7" t="s">
        <v>18</v>
      </c>
      <c r="C2060" s="7" t="s">
        <v>29</v>
      </c>
      <c r="D2060" s="7" t="s">
        <v>9</v>
      </c>
      <c r="E2060" s="7" t="s">
        <v>8</v>
      </c>
      <c r="F2060" s="8">
        <v>17.0</v>
      </c>
      <c r="G2060" s="9">
        <v>17.0</v>
      </c>
    </row>
    <row r="2061" ht="14.25" hidden="1" customHeight="1">
      <c r="B2061" s="7" t="s">
        <v>18</v>
      </c>
      <c r="C2061" s="7" t="s">
        <v>29</v>
      </c>
      <c r="D2061" s="7" t="s">
        <v>32</v>
      </c>
      <c r="E2061" s="7" t="s">
        <v>28</v>
      </c>
      <c r="F2061" s="8">
        <v>17.0</v>
      </c>
      <c r="G2061" s="9">
        <v>17.0</v>
      </c>
    </row>
    <row r="2062" ht="14.25" hidden="1" customHeight="1">
      <c r="B2062" s="7" t="s">
        <v>18</v>
      </c>
      <c r="C2062" s="7" t="s">
        <v>29</v>
      </c>
      <c r="D2062" s="7" t="s">
        <v>32</v>
      </c>
      <c r="E2062" s="7" t="s">
        <v>9</v>
      </c>
      <c r="F2062" s="8">
        <v>17.0</v>
      </c>
      <c r="G2062" s="9">
        <v>17.0</v>
      </c>
    </row>
    <row r="2063" ht="14.25" customHeight="1">
      <c r="B2063" s="7" t="s">
        <v>18</v>
      </c>
      <c r="C2063" s="7" t="s">
        <v>29</v>
      </c>
      <c r="D2063" s="7" t="s">
        <v>8</v>
      </c>
      <c r="E2063" s="7" t="s">
        <v>31</v>
      </c>
      <c r="F2063" s="8">
        <v>17.0</v>
      </c>
      <c r="G2063" s="9">
        <v>17.0</v>
      </c>
    </row>
    <row r="2064" ht="14.25" hidden="1" customHeight="1">
      <c r="B2064" s="7" t="s">
        <v>18</v>
      </c>
      <c r="C2064" s="7" t="s">
        <v>29</v>
      </c>
      <c r="D2064" s="7" t="s">
        <v>33</v>
      </c>
      <c r="E2064" s="7" t="s">
        <v>25</v>
      </c>
      <c r="F2064" s="8">
        <v>16.0</v>
      </c>
      <c r="G2064" s="9">
        <v>16.0</v>
      </c>
    </row>
    <row r="2065" ht="14.25" hidden="1" customHeight="1">
      <c r="B2065" s="7" t="s">
        <v>18</v>
      </c>
      <c r="C2065" s="7" t="s">
        <v>30</v>
      </c>
      <c r="D2065" s="7" t="s">
        <v>33</v>
      </c>
      <c r="E2065" s="7" t="s">
        <v>25</v>
      </c>
      <c r="F2065" s="8">
        <v>16.0</v>
      </c>
      <c r="G2065" s="9">
        <v>8.0</v>
      </c>
    </row>
    <row r="2066" ht="14.25" hidden="1" customHeight="1">
      <c r="B2066" s="7" t="s">
        <v>18</v>
      </c>
      <c r="C2066" s="7" t="s">
        <v>7</v>
      </c>
      <c r="D2066" s="7" t="s">
        <v>33</v>
      </c>
      <c r="E2066" s="7" t="s">
        <v>9</v>
      </c>
      <c r="F2066" s="8">
        <v>16.0</v>
      </c>
      <c r="G2066" s="9">
        <v>8.0</v>
      </c>
    </row>
    <row r="2067" ht="14.25" hidden="1" customHeight="1">
      <c r="B2067" s="7" t="s">
        <v>18</v>
      </c>
      <c r="C2067" s="7" t="s">
        <v>30</v>
      </c>
      <c r="D2067" s="7" t="s">
        <v>28</v>
      </c>
      <c r="E2067" s="7" t="s">
        <v>8</v>
      </c>
      <c r="F2067" s="8">
        <v>16.0</v>
      </c>
      <c r="G2067" s="9">
        <v>8.0</v>
      </c>
    </row>
    <row r="2068" ht="14.25" hidden="1" customHeight="1">
      <c r="B2068" s="7" t="s">
        <v>18</v>
      </c>
      <c r="C2068" s="7" t="s">
        <v>7</v>
      </c>
      <c r="D2068" s="7" t="s">
        <v>10</v>
      </c>
      <c r="E2068" s="7" t="s">
        <v>8</v>
      </c>
      <c r="F2068" s="8">
        <v>16.0</v>
      </c>
      <c r="G2068" s="9">
        <v>8.0</v>
      </c>
    </row>
    <row r="2069" ht="14.25" hidden="1" customHeight="1">
      <c r="B2069" s="7" t="s">
        <v>18</v>
      </c>
      <c r="C2069" s="7" t="s">
        <v>7</v>
      </c>
      <c r="D2069" s="7" t="s">
        <v>31</v>
      </c>
      <c r="E2069" s="7" t="s">
        <v>31</v>
      </c>
      <c r="F2069" s="8">
        <v>16.0</v>
      </c>
      <c r="G2069" s="9">
        <v>8.0</v>
      </c>
    </row>
    <row r="2070" ht="14.25" hidden="1" customHeight="1">
      <c r="B2070" s="7" t="s">
        <v>18</v>
      </c>
      <c r="C2070" s="7" t="s">
        <v>7</v>
      </c>
      <c r="D2070" s="7" t="s">
        <v>8</v>
      </c>
      <c r="E2070" s="7" t="s">
        <v>9</v>
      </c>
      <c r="F2070" s="8">
        <v>16.0</v>
      </c>
      <c r="G2070" s="9">
        <v>16.0</v>
      </c>
    </row>
    <row r="2071" ht="14.25" hidden="1" customHeight="1">
      <c r="B2071" s="7" t="s">
        <v>18</v>
      </c>
      <c r="C2071" s="7" t="s">
        <v>29</v>
      </c>
      <c r="D2071" s="7" t="s">
        <v>8</v>
      </c>
      <c r="E2071" s="7" t="s">
        <v>9</v>
      </c>
      <c r="F2071" s="8">
        <v>16.0</v>
      </c>
      <c r="G2071" s="9">
        <v>16.0</v>
      </c>
    </row>
    <row r="2072" ht="14.25" hidden="1" customHeight="1">
      <c r="B2072" s="7" t="s">
        <v>18</v>
      </c>
      <c r="C2072" s="7" t="s">
        <v>29</v>
      </c>
      <c r="D2072" s="7" t="s">
        <v>8</v>
      </c>
      <c r="E2072" s="7" t="s">
        <v>9</v>
      </c>
      <c r="F2072" s="8">
        <v>16.0</v>
      </c>
      <c r="G2072" s="9">
        <v>16.0</v>
      </c>
    </row>
    <row r="2073" ht="14.25" hidden="1" customHeight="1">
      <c r="B2073" s="7" t="s">
        <v>18</v>
      </c>
      <c r="C2073" s="7" t="s">
        <v>29</v>
      </c>
      <c r="D2073" s="7" t="s">
        <v>25</v>
      </c>
      <c r="E2073" s="7" t="s">
        <v>10</v>
      </c>
      <c r="F2073" s="8">
        <v>15.0</v>
      </c>
      <c r="G2073" s="9">
        <v>15.0</v>
      </c>
    </row>
    <row r="2074" ht="14.25" hidden="1" customHeight="1">
      <c r="B2074" s="7" t="s">
        <v>18</v>
      </c>
      <c r="C2074" s="7" t="s">
        <v>29</v>
      </c>
      <c r="D2074" s="7" t="s">
        <v>33</v>
      </c>
      <c r="E2074" s="7" t="s">
        <v>25</v>
      </c>
      <c r="F2074" s="8">
        <v>15.0</v>
      </c>
      <c r="G2074" s="9">
        <v>15.0</v>
      </c>
    </row>
    <row r="2075" ht="14.25" hidden="1" customHeight="1">
      <c r="B2075" s="7" t="s">
        <v>18</v>
      </c>
      <c r="C2075" s="7" t="s">
        <v>29</v>
      </c>
      <c r="D2075" s="7" t="s">
        <v>33</v>
      </c>
      <c r="E2075" s="7" t="s">
        <v>31</v>
      </c>
      <c r="F2075" s="8">
        <v>15.0</v>
      </c>
      <c r="G2075" s="9">
        <v>15.0</v>
      </c>
    </row>
    <row r="2076" ht="14.25" hidden="1" customHeight="1">
      <c r="B2076" s="7" t="s">
        <v>18</v>
      </c>
      <c r="C2076" s="7" t="s">
        <v>7</v>
      </c>
      <c r="D2076" s="7" t="s">
        <v>33</v>
      </c>
      <c r="E2076" s="7" t="s">
        <v>35</v>
      </c>
      <c r="F2076" s="8">
        <v>14.0</v>
      </c>
      <c r="G2076" s="9">
        <v>7.0</v>
      </c>
    </row>
    <row r="2077" ht="14.25" hidden="1" customHeight="1">
      <c r="B2077" s="7" t="s">
        <v>18</v>
      </c>
      <c r="C2077" s="7" t="s">
        <v>30</v>
      </c>
      <c r="D2077" s="7" t="s">
        <v>10</v>
      </c>
      <c r="E2077" s="7" t="s">
        <v>25</v>
      </c>
      <c r="F2077" s="8">
        <v>14.0</v>
      </c>
      <c r="G2077" s="9">
        <v>7.0</v>
      </c>
    </row>
    <row r="2078" ht="14.25" hidden="1" customHeight="1">
      <c r="B2078" s="7" t="s">
        <v>18</v>
      </c>
      <c r="C2078" s="7" t="s">
        <v>7</v>
      </c>
      <c r="D2078" s="7" t="s">
        <v>10</v>
      </c>
      <c r="E2078" s="7" t="s">
        <v>9</v>
      </c>
      <c r="F2078" s="8">
        <v>14.0</v>
      </c>
      <c r="G2078" s="9">
        <v>7.0</v>
      </c>
    </row>
    <row r="2079" ht="14.25" hidden="1" customHeight="1">
      <c r="B2079" s="7" t="s">
        <v>18</v>
      </c>
      <c r="C2079" s="7" t="s">
        <v>30</v>
      </c>
      <c r="D2079" s="7" t="s">
        <v>10</v>
      </c>
      <c r="E2079" s="7" t="s">
        <v>9</v>
      </c>
      <c r="F2079" s="8">
        <v>14.0</v>
      </c>
      <c r="G2079" s="9">
        <v>7.0</v>
      </c>
    </row>
    <row r="2080" ht="14.25" hidden="1" customHeight="1">
      <c r="B2080" s="7" t="s">
        <v>18</v>
      </c>
      <c r="C2080" s="7" t="s">
        <v>7</v>
      </c>
      <c r="D2080" s="7" t="s">
        <v>10</v>
      </c>
      <c r="E2080" s="7" t="s">
        <v>8</v>
      </c>
      <c r="F2080" s="8">
        <v>14.0</v>
      </c>
      <c r="G2080" s="9">
        <v>7.0</v>
      </c>
    </row>
    <row r="2081" ht="14.25" hidden="1" customHeight="1">
      <c r="B2081" s="7" t="s">
        <v>18</v>
      </c>
      <c r="C2081" s="7" t="s">
        <v>30</v>
      </c>
      <c r="D2081" s="7" t="s">
        <v>32</v>
      </c>
      <c r="E2081" s="7" t="s">
        <v>28</v>
      </c>
      <c r="F2081" s="8">
        <v>14.0</v>
      </c>
      <c r="G2081" s="9">
        <v>7.0</v>
      </c>
    </row>
    <row r="2082" ht="14.25" hidden="1" customHeight="1">
      <c r="B2082" s="7" t="s">
        <v>18</v>
      </c>
      <c r="C2082" s="7" t="s">
        <v>7</v>
      </c>
      <c r="D2082" s="7" t="s">
        <v>31</v>
      </c>
      <c r="E2082" s="7" t="s">
        <v>9</v>
      </c>
      <c r="F2082" s="8">
        <v>14.0</v>
      </c>
      <c r="G2082" s="9">
        <v>7.0</v>
      </c>
    </row>
    <row r="2083" ht="14.25" hidden="1" customHeight="1">
      <c r="B2083" s="7" t="s">
        <v>18</v>
      </c>
      <c r="C2083" s="7" t="s">
        <v>7</v>
      </c>
      <c r="D2083" s="7" t="s">
        <v>8</v>
      </c>
      <c r="E2083" s="7" t="s">
        <v>25</v>
      </c>
      <c r="F2083" s="8">
        <v>14.0</v>
      </c>
      <c r="G2083" s="9">
        <v>7.0</v>
      </c>
    </row>
    <row r="2084" ht="14.25" hidden="1" customHeight="1">
      <c r="B2084" s="7" t="s">
        <v>18</v>
      </c>
      <c r="C2084" s="7" t="s">
        <v>30</v>
      </c>
      <c r="D2084" s="7" t="s">
        <v>8</v>
      </c>
      <c r="E2084" s="7" t="s">
        <v>33</v>
      </c>
      <c r="F2084" s="8">
        <v>14.0</v>
      </c>
      <c r="G2084" s="9">
        <v>7.0</v>
      </c>
    </row>
    <row r="2085" ht="14.25" hidden="1" customHeight="1">
      <c r="B2085" s="7" t="s">
        <v>18</v>
      </c>
      <c r="C2085" s="7" t="s">
        <v>29</v>
      </c>
      <c r="D2085" s="7" t="s">
        <v>8</v>
      </c>
      <c r="E2085" s="7" t="s">
        <v>10</v>
      </c>
      <c r="F2085" s="8">
        <v>14.0</v>
      </c>
      <c r="G2085" s="9">
        <v>14.0</v>
      </c>
    </row>
    <row r="2086" ht="14.25" hidden="1" customHeight="1">
      <c r="B2086" s="7" t="s">
        <v>18</v>
      </c>
      <c r="C2086" s="7" t="s">
        <v>7</v>
      </c>
      <c r="D2086" s="7" t="s">
        <v>8</v>
      </c>
      <c r="E2086" s="7" t="s">
        <v>10</v>
      </c>
      <c r="F2086" s="8">
        <v>14.0</v>
      </c>
      <c r="G2086" s="9">
        <v>7.0</v>
      </c>
    </row>
    <row r="2087" ht="14.25" hidden="1" customHeight="1">
      <c r="B2087" s="7" t="s">
        <v>18</v>
      </c>
      <c r="C2087" s="7" t="s">
        <v>29</v>
      </c>
      <c r="D2087" s="7" t="s">
        <v>10</v>
      </c>
      <c r="E2087" s="7" t="s">
        <v>8</v>
      </c>
      <c r="F2087" s="8">
        <v>13.0</v>
      </c>
      <c r="G2087" s="9">
        <v>13.0</v>
      </c>
    </row>
    <row r="2088" ht="14.25" hidden="1" customHeight="1">
      <c r="B2088" s="7" t="s">
        <v>18</v>
      </c>
      <c r="C2088" s="7" t="s">
        <v>29</v>
      </c>
      <c r="D2088" s="7" t="s">
        <v>25</v>
      </c>
      <c r="E2088" s="7" t="s">
        <v>31</v>
      </c>
      <c r="F2088" s="8">
        <v>12.0</v>
      </c>
      <c r="G2088" s="9">
        <v>12.0</v>
      </c>
    </row>
    <row r="2089" ht="14.25" hidden="1" customHeight="1">
      <c r="B2089" s="7" t="s">
        <v>18</v>
      </c>
      <c r="C2089" s="7" t="s">
        <v>30</v>
      </c>
      <c r="D2089" s="7" t="s">
        <v>25</v>
      </c>
      <c r="E2089" s="7" t="s">
        <v>31</v>
      </c>
      <c r="F2089" s="8">
        <v>12.0</v>
      </c>
      <c r="G2089" s="9">
        <v>6.0</v>
      </c>
    </row>
    <row r="2090" ht="14.25" hidden="1" customHeight="1">
      <c r="B2090" s="7" t="s">
        <v>18</v>
      </c>
      <c r="C2090" s="7" t="s">
        <v>7</v>
      </c>
      <c r="D2090" s="7" t="s">
        <v>34</v>
      </c>
      <c r="E2090" s="7" t="s">
        <v>8</v>
      </c>
      <c r="F2090" s="8">
        <v>12.0</v>
      </c>
      <c r="G2090" s="9">
        <v>6.0</v>
      </c>
    </row>
    <row r="2091" ht="14.25" hidden="1" customHeight="1">
      <c r="B2091" s="7" t="s">
        <v>18</v>
      </c>
      <c r="C2091" s="7" t="s">
        <v>7</v>
      </c>
      <c r="D2091" s="7" t="s">
        <v>10</v>
      </c>
      <c r="E2091" s="7" t="s">
        <v>8</v>
      </c>
      <c r="F2091" s="8">
        <v>12.0</v>
      </c>
      <c r="G2091" s="9">
        <v>6.0</v>
      </c>
    </row>
    <row r="2092" ht="14.25" hidden="1" customHeight="1">
      <c r="B2092" s="7" t="s">
        <v>18</v>
      </c>
      <c r="C2092" s="7" t="s">
        <v>7</v>
      </c>
      <c r="D2092" s="7" t="s">
        <v>32</v>
      </c>
      <c r="E2092" s="7" t="s">
        <v>31</v>
      </c>
      <c r="F2092" s="8">
        <v>12.0</v>
      </c>
      <c r="G2092" s="9">
        <v>6.0</v>
      </c>
    </row>
    <row r="2093" ht="14.25" hidden="1" customHeight="1">
      <c r="B2093" s="7" t="s">
        <v>18</v>
      </c>
      <c r="C2093" s="7" t="s">
        <v>29</v>
      </c>
      <c r="D2093" s="7" t="s">
        <v>31</v>
      </c>
      <c r="E2093" s="7" t="s">
        <v>28</v>
      </c>
      <c r="F2093" s="8">
        <v>12.0</v>
      </c>
      <c r="G2093" s="9">
        <v>12.0</v>
      </c>
    </row>
    <row r="2094" ht="14.25" hidden="1" customHeight="1">
      <c r="B2094" s="7" t="s">
        <v>18</v>
      </c>
      <c r="C2094" s="7" t="s">
        <v>29</v>
      </c>
      <c r="D2094" s="7" t="s">
        <v>8</v>
      </c>
      <c r="E2094" s="7" t="s">
        <v>25</v>
      </c>
      <c r="F2094" s="8">
        <v>12.0</v>
      </c>
      <c r="G2094" s="9">
        <v>12.0</v>
      </c>
    </row>
    <row r="2095" ht="14.25" hidden="1" customHeight="1">
      <c r="B2095" s="7" t="s">
        <v>18</v>
      </c>
      <c r="C2095" s="7" t="s">
        <v>7</v>
      </c>
      <c r="D2095" s="7" t="s">
        <v>8</v>
      </c>
      <c r="E2095" s="7" t="s">
        <v>25</v>
      </c>
      <c r="F2095" s="8">
        <v>12.0</v>
      </c>
      <c r="G2095" s="9">
        <v>6.0</v>
      </c>
    </row>
    <row r="2096" ht="14.25" hidden="1" customHeight="1">
      <c r="B2096" s="7" t="s">
        <v>18</v>
      </c>
      <c r="C2096" s="7" t="s">
        <v>7</v>
      </c>
      <c r="D2096" s="7" t="s">
        <v>8</v>
      </c>
      <c r="E2096" s="7" t="s">
        <v>10</v>
      </c>
      <c r="F2096" s="8">
        <v>12.0</v>
      </c>
      <c r="G2096" s="9">
        <v>6.0</v>
      </c>
    </row>
    <row r="2097" ht="14.25" hidden="1" customHeight="1">
      <c r="B2097" s="7" t="s">
        <v>18</v>
      </c>
      <c r="C2097" s="7" t="s">
        <v>29</v>
      </c>
      <c r="D2097" s="7" t="s">
        <v>34</v>
      </c>
      <c r="E2097" s="7" t="s">
        <v>28</v>
      </c>
      <c r="F2097" s="8">
        <v>11.0</v>
      </c>
      <c r="G2097" s="9">
        <v>11.0</v>
      </c>
    </row>
    <row r="2098" ht="14.25" hidden="1" customHeight="1">
      <c r="B2098" s="7" t="s">
        <v>18</v>
      </c>
      <c r="C2098" s="7" t="s">
        <v>29</v>
      </c>
      <c r="D2098" s="7" t="s">
        <v>9</v>
      </c>
      <c r="E2098" s="7" t="s">
        <v>33</v>
      </c>
      <c r="F2098" s="8">
        <v>11.0</v>
      </c>
      <c r="G2098" s="9">
        <v>11.0</v>
      </c>
    </row>
    <row r="2099" ht="14.25" hidden="1" customHeight="1">
      <c r="B2099" s="7" t="s">
        <v>18</v>
      </c>
      <c r="C2099" s="7" t="s">
        <v>29</v>
      </c>
      <c r="D2099" s="7" t="s">
        <v>28</v>
      </c>
      <c r="E2099" s="7" t="s">
        <v>8</v>
      </c>
      <c r="F2099" s="8">
        <v>10.0</v>
      </c>
      <c r="G2099" s="9">
        <v>10.0</v>
      </c>
    </row>
    <row r="2100" ht="14.25" hidden="1" customHeight="1">
      <c r="B2100" s="7" t="s">
        <v>18</v>
      </c>
      <c r="C2100" s="7" t="s">
        <v>29</v>
      </c>
      <c r="D2100" s="7" t="s">
        <v>9</v>
      </c>
      <c r="E2100" s="7" t="s">
        <v>10</v>
      </c>
      <c r="F2100" s="8">
        <v>10.0</v>
      </c>
      <c r="G2100" s="9">
        <v>10.0</v>
      </c>
    </row>
    <row r="2101" ht="14.25" hidden="1" customHeight="1">
      <c r="B2101" s="7" t="s">
        <v>18</v>
      </c>
      <c r="C2101" s="7" t="s">
        <v>30</v>
      </c>
      <c r="D2101" s="7" t="s">
        <v>9</v>
      </c>
      <c r="E2101" s="7" t="s">
        <v>8</v>
      </c>
      <c r="F2101" s="8">
        <v>10.0</v>
      </c>
      <c r="G2101" s="9">
        <v>5.0</v>
      </c>
    </row>
    <row r="2102" ht="14.25" hidden="1" customHeight="1">
      <c r="B2102" s="7" t="s">
        <v>18</v>
      </c>
      <c r="C2102" s="7" t="s">
        <v>29</v>
      </c>
      <c r="D2102" s="7" t="s">
        <v>10</v>
      </c>
      <c r="E2102" s="7" t="s">
        <v>28</v>
      </c>
      <c r="F2102" s="8">
        <v>10.0</v>
      </c>
      <c r="G2102" s="9">
        <v>10.0</v>
      </c>
    </row>
    <row r="2103" ht="14.25" hidden="1" customHeight="1">
      <c r="B2103" s="7" t="s">
        <v>18</v>
      </c>
      <c r="C2103" s="7" t="s">
        <v>29</v>
      </c>
      <c r="D2103" s="7" t="s">
        <v>10</v>
      </c>
      <c r="E2103" s="7" t="s">
        <v>28</v>
      </c>
      <c r="F2103" s="8">
        <v>10.0</v>
      </c>
      <c r="G2103" s="9">
        <v>10.0</v>
      </c>
    </row>
    <row r="2104" ht="14.25" hidden="1" customHeight="1">
      <c r="B2104" s="7" t="s">
        <v>18</v>
      </c>
      <c r="C2104" s="7" t="s">
        <v>7</v>
      </c>
      <c r="D2104" s="7" t="s">
        <v>31</v>
      </c>
      <c r="E2104" s="7" t="s">
        <v>28</v>
      </c>
      <c r="F2104" s="8">
        <v>10.0</v>
      </c>
      <c r="G2104" s="9">
        <v>5.0</v>
      </c>
    </row>
    <row r="2105" ht="14.25" hidden="1" customHeight="1">
      <c r="B2105" s="7" t="s">
        <v>18</v>
      </c>
      <c r="C2105" s="7" t="s">
        <v>29</v>
      </c>
      <c r="D2105" s="7" t="s">
        <v>31</v>
      </c>
      <c r="E2105" s="7" t="s">
        <v>35</v>
      </c>
      <c r="F2105" s="8">
        <v>10.0</v>
      </c>
      <c r="G2105" s="9">
        <v>10.0</v>
      </c>
    </row>
    <row r="2106" ht="14.25" hidden="1" customHeight="1">
      <c r="B2106" s="7" t="s">
        <v>18</v>
      </c>
      <c r="C2106" s="7" t="s">
        <v>29</v>
      </c>
      <c r="D2106" s="7" t="s">
        <v>28</v>
      </c>
      <c r="E2106" s="7" t="s">
        <v>31</v>
      </c>
      <c r="F2106" s="8">
        <v>9.0</v>
      </c>
      <c r="G2106" s="9">
        <v>9.0</v>
      </c>
    </row>
    <row r="2107" ht="14.25" hidden="1" customHeight="1">
      <c r="B2107" s="7" t="s">
        <v>18</v>
      </c>
      <c r="C2107" s="7" t="s">
        <v>29</v>
      </c>
      <c r="D2107" s="7" t="s">
        <v>32</v>
      </c>
      <c r="E2107" s="7" t="s">
        <v>31</v>
      </c>
      <c r="F2107" s="8">
        <v>9.0</v>
      </c>
      <c r="G2107" s="9">
        <v>9.0</v>
      </c>
    </row>
    <row r="2108" ht="14.25" hidden="1" customHeight="1">
      <c r="B2108" s="7" t="s">
        <v>18</v>
      </c>
      <c r="C2108" s="7" t="s">
        <v>29</v>
      </c>
      <c r="D2108" s="7" t="s">
        <v>32</v>
      </c>
      <c r="E2108" s="7" t="s">
        <v>8</v>
      </c>
      <c r="F2108" s="8">
        <v>9.0</v>
      </c>
      <c r="G2108" s="9">
        <v>9.0</v>
      </c>
    </row>
    <row r="2109" ht="14.25" hidden="1" customHeight="1">
      <c r="B2109" s="7" t="s">
        <v>18</v>
      </c>
      <c r="C2109" s="7" t="s">
        <v>29</v>
      </c>
      <c r="D2109" s="7" t="s">
        <v>8</v>
      </c>
      <c r="E2109" s="7" t="s">
        <v>9</v>
      </c>
      <c r="F2109" s="8">
        <v>9.0</v>
      </c>
      <c r="G2109" s="9">
        <v>9.0</v>
      </c>
    </row>
    <row r="2110" ht="14.25" hidden="1" customHeight="1">
      <c r="B2110" s="7" t="s">
        <v>18</v>
      </c>
      <c r="C2110" s="7" t="s">
        <v>29</v>
      </c>
      <c r="D2110" s="7" t="s">
        <v>8</v>
      </c>
      <c r="E2110" s="7" t="s">
        <v>9</v>
      </c>
      <c r="F2110" s="8">
        <v>9.0</v>
      </c>
      <c r="G2110" s="9">
        <v>9.0</v>
      </c>
    </row>
    <row r="2111" ht="14.25" hidden="1" customHeight="1">
      <c r="B2111" s="7" t="s">
        <v>18</v>
      </c>
      <c r="C2111" s="7" t="s">
        <v>7</v>
      </c>
      <c r="D2111" s="7" t="s">
        <v>33</v>
      </c>
      <c r="E2111" s="7" t="s">
        <v>25</v>
      </c>
      <c r="F2111" s="8">
        <v>8.0</v>
      </c>
      <c r="G2111" s="9">
        <v>4.0</v>
      </c>
    </row>
    <row r="2112" ht="14.25" hidden="1" customHeight="1">
      <c r="B2112" s="7" t="s">
        <v>18</v>
      </c>
      <c r="C2112" s="7" t="s">
        <v>7</v>
      </c>
      <c r="D2112" s="7" t="s">
        <v>33</v>
      </c>
      <c r="E2112" s="7" t="s">
        <v>28</v>
      </c>
      <c r="F2112" s="8">
        <v>8.0</v>
      </c>
      <c r="G2112" s="9">
        <v>4.0</v>
      </c>
    </row>
    <row r="2113" ht="14.25" hidden="1" customHeight="1">
      <c r="B2113" s="7" t="s">
        <v>18</v>
      </c>
      <c r="C2113" s="7" t="s">
        <v>7</v>
      </c>
      <c r="D2113" s="7" t="s">
        <v>33</v>
      </c>
      <c r="E2113" s="7" t="s">
        <v>10</v>
      </c>
      <c r="F2113" s="8">
        <v>8.0</v>
      </c>
      <c r="G2113" s="9">
        <v>4.0</v>
      </c>
    </row>
    <row r="2114" ht="14.25" hidden="1" customHeight="1">
      <c r="B2114" s="7" t="s">
        <v>18</v>
      </c>
      <c r="C2114" s="7" t="s">
        <v>7</v>
      </c>
      <c r="D2114" s="7" t="s">
        <v>28</v>
      </c>
      <c r="E2114" s="7" t="s">
        <v>37</v>
      </c>
      <c r="F2114" s="8">
        <v>8.0</v>
      </c>
      <c r="G2114" s="9">
        <v>4.0</v>
      </c>
    </row>
    <row r="2115" ht="14.25" hidden="1" customHeight="1">
      <c r="B2115" s="7" t="s">
        <v>18</v>
      </c>
      <c r="C2115" s="7" t="s">
        <v>7</v>
      </c>
      <c r="D2115" s="7" t="s">
        <v>28</v>
      </c>
      <c r="E2115" s="7" t="s">
        <v>31</v>
      </c>
      <c r="F2115" s="8">
        <v>8.0</v>
      </c>
      <c r="G2115" s="9">
        <v>4.0</v>
      </c>
    </row>
    <row r="2116" ht="14.25" hidden="1" customHeight="1">
      <c r="B2116" s="7" t="s">
        <v>18</v>
      </c>
      <c r="C2116" s="7" t="s">
        <v>30</v>
      </c>
      <c r="D2116" s="7" t="s">
        <v>28</v>
      </c>
      <c r="E2116" s="7" t="s">
        <v>31</v>
      </c>
      <c r="F2116" s="8">
        <v>8.0</v>
      </c>
      <c r="G2116" s="9">
        <v>4.0</v>
      </c>
    </row>
    <row r="2117" ht="14.25" hidden="1" customHeight="1">
      <c r="B2117" s="7" t="s">
        <v>18</v>
      </c>
      <c r="C2117" s="7" t="s">
        <v>7</v>
      </c>
      <c r="D2117" s="7" t="s">
        <v>28</v>
      </c>
      <c r="E2117" s="7" t="s">
        <v>8</v>
      </c>
      <c r="F2117" s="8">
        <v>8.0</v>
      </c>
      <c r="G2117" s="9">
        <v>8.0</v>
      </c>
    </row>
    <row r="2118" ht="14.25" hidden="1" customHeight="1">
      <c r="B2118" s="7" t="s">
        <v>18</v>
      </c>
      <c r="C2118" s="7" t="s">
        <v>7</v>
      </c>
      <c r="D2118" s="7" t="s">
        <v>10</v>
      </c>
      <c r="E2118" s="7" t="s">
        <v>33</v>
      </c>
      <c r="F2118" s="8">
        <v>8.0</v>
      </c>
      <c r="G2118" s="9">
        <v>8.0</v>
      </c>
    </row>
    <row r="2119" ht="14.25" hidden="1" customHeight="1">
      <c r="B2119" s="7" t="s">
        <v>18</v>
      </c>
      <c r="C2119" s="7" t="s">
        <v>29</v>
      </c>
      <c r="D2119" s="7" t="s">
        <v>10</v>
      </c>
      <c r="E2119" s="7" t="s">
        <v>31</v>
      </c>
      <c r="F2119" s="8">
        <v>8.0</v>
      </c>
      <c r="G2119" s="9">
        <v>8.0</v>
      </c>
    </row>
    <row r="2120" ht="14.25" hidden="1" customHeight="1">
      <c r="B2120" s="7" t="s">
        <v>18</v>
      </c>
      <c r="C2120" s="7" t="s">
        <v>30</v>
      </c>
      <c r="D2120" s="7" t="s">
        <v>10</v>
      </c>
      <c r="E2120" s="7" t="s">
        <v>31</v>
      </c>
      <c r="F2120" s="8">
        <v>8.0</v>
      </c>
      <c r="G2120" s="9">
        <v>4.0</v>
      </c>
    </row>
    <row r="2121" ht="14.25" hidden="1" customHeight="1">
      <c r="B2121" s="7" t="s">
        <v>18</v>
      </c>
      <c r="C2121" s="7" t="s">
        <v>30</v>
      </c>
      <c r="D2121" s="7" t="s">
        <v>10</v>
      </c>
      <c r="E2121" s="7" t="s">
        <v>31</v>
      </c>
      <c r="F2121" s="8">
        <v>8.0</v>
      </c>
      <c r="G2121" s="9">
        <v>4.0</v>
      </c>
    </row>
    <row r="2122" ht="14.25" hidden="1" customHeight="1">
      <c r="B2122" s="7" t="s">
        <v>18</v>
      </c>
      <c r="C2122" s="7" t="s">
        <v>7</v>
      </c>
      <c r="D2122" s="7" t="s">
        <v>32</v>
      </c>
      <c r="E2122" s="7" t="s">
        <v>25</v>
      </c>
      <c r="F2122" s="8">
        <v>8.0</v>
      </c>
      <c r="G2122" s="9">
        <v>4.0</v>
      </c>
    </row>
    <row r="2123" ht="14.25" hidden="1" customHeight="1">
      <c r="B2123" s="7" t="s">
        <v>18</v>
      </c>
      <c r="C2123" s="7" t="s">
        <v>7</v>
      </c>
      <c r="D2123" s="7" t="s">
        <v>32</v>
      </c>
      <c r="E2123" s="7" t="s">
        <v>33</v>
      </c>
      <c r="F2123" s="8">
        <v>8.0</v>
      </c>
      <c r="G2123" s="9">
        <v>4.0</v>
      </c>
    </row>
    <row r="2124" ht="14.25" hidden="1" customHeight="1">
      <c r="B2124" s="7" t="s">
        <v>18</v>
      </c>
      <c r="C2124" s="7" t="s">
        <v>30</v>
      </c>
      <c r="D2124" s="7" t="s">
        <v>32</v>
      </c>
      <c r="E2124" s="7" t="s">
        <v>9</v>
      </c>
      <c r="F2124" s="8">
        <v>8.0</v>
      </c>
      <c r="G2124" s="9">
        <v>4.0</v>
      </c>
    </row>
    <row r="2125" ht="14.25" hidden="1" customHeight="1">
      <c r="B2125" s="7" t="s">
        <v>18</v>
      </c>
      <c r="C2125" s="7" t="s">
        <v>29</v>
      </c>
      <c r="D2125" s="7" t="s">
        <v>32</v>
      </c>
      <c r="E2125" s="7" t="s">
        <v>8</v>
      </c>
      <c r="F2125" s="8">
        <v>8.0</v>
      </c>
      <c r="G2125" s="9">
        <v>8.0</v>
      </c>
    </row>
    <row r="2126" ht="14.25" hidden="1" customHeight="1">
      <c r="B2126" s="7" t="s">
        <v>18</v>
      </c>
      <c r="C2126" s="7" t="s">
        <v>29</v>
      </c>
      <c r="D2126" s="7" t="s">
        <v>8</v>
      </c>
      <c r="E2126" s="7" t="s">
        <v>33</v>
      </c>
      <c r="F2126" s="8">
        <v>8.0</v>
      </c>
      <c r="G2126" s="9">
        <v>8.0</v>
      </c>
    </row>
    <row r="2127" ht="14.25" hidden="1" customHeight="1">
      <c r="B2127" s="7" t="s">
        <v>18</v>
      </c>
      <c r="C2127" s="7" t="s">
        <v>7</v>
      </c>
      <c r="D2127" s="7" t="s">
        <v>8</v>
      </c>
      <c r="E2127" s="7" t="s">
        <v>9</v>
      </c>
      <c r="F2127" s="8">
        <v>8.0</v>
      </c>
      <c r="G2127" s="9">
        <v>4.0</v>
      </c>
    </row>
    <row r="2128" ht="14.25" hidden="1" customHeight="1">
      <c r="B2128" s="7" t="s">
        <v>18</v>
      </c>
      <c r="C2128" s="7" t="s">
        <v>7</v>
      </c>
      <c r="D2128" s="7" t="s">
        <v>8</v>
      </c>
      <c r="E2128" s="7" t="s">
        <v>9</v>
      </c>
      <c r="F2128" s="8">
        <v>8.0</v>
      </c>
      <c r="G2128" s="9">
        <v>4.0</v>
      </c>
    </row>
    <row r="2129" ht="14.25" hidden="1" customHeight="1">
      <c r="B2129" s="7" t="s">
        <v>18</v>
      </c>
      <c r="C2129" s="7" t="s">
        <v>29</v>
      </c>
      <c r="D2129" s="7" t="s">
        <v>25</v>
      </c>
      <c r="E2129" s="7" t="s">
        <v>9</v>
      </c>
      <c r="F2129" s="8">
        <v>7.0</v>
      </c>
      <c r="G2129" s="9">
        <v>7.0</v>
      </c>
    </row>
    <row r="2130" ht="14.25" hidden="1" customHeight="1">
      <c r="B2130" s="7" t="s">
        <v>18</v>
      </c>
      <c r="C2130" s="7" t="s">
        <v>29</v>
      </c>
      <c r="D2130" s="7" t="s">
        <v>25</v>
      </c>
      <c r="E2130" s="7" t="s">
        <v>9</v>
      </c>
      <c r="F2130" s="8">
        <v>7.0</v>
      </c>
      <c r="G2130" s="9">
        <v>7.0</v>
      </c>
    </row>
    <row r="2131" ht="14.25" hidden="1" customHeight="1">
      <c r="B2131" s="7" t="s">
        <v>18</v>
      </c>
      <c r="C2131" s="7" t="s">
        <v>29</v>
      </c>
      <c r="D2131" s="7" t="s">
        <v>33</v>
      </c>
      <c r="E2131" s="7" t="s">
        <v>28</v>
      </c>
      <c r="F2131" s="8">
        <v>7.0</v>
      </c>
      <c r="G2131" s="9">
        <v>7.0</v>
      </c>
    </row>
    <row r="2132" ht="14.25" hidden="1" customHeight="1">
      <c r="B2132" s="7" t="s">
        <v>18</v>
      </c>
      <c r="C2132" s="7" t="s">
        <v>29</v>
      </c>
      <c r="D2132" s="7" t="s">
        <v>28</v>
      </c>
      <c r="E2132" s="7" t="s">
        <v>31</v>
      </c>
      <c r="F2132" s="8">
        <v>7.0</v>
      </c>
      <c r="G2132" s="9">
        <v>7.0</v>
      </c>
    </row>
    <row r="2133" ht="14.25" hidden="1" customHeight="1">
      <c r="B2133" s="7" t="s">
        <v>18</v>
      </c>
      <c r="C2133" s="7" t="s">
        <v>29</v>
      </c>
      <c r="D2133" s="7" t="s">
        <v>34</v>
      </c>
      <c r="E2133" s="7" t="s">
        <v>33</v>
      </c>
      <c r="F2133" s="8">
        <v>7.0</v>
      </c>
      <c r="G2133" s="9">
        <v>7.0</v>
      </c>
    </row>
    <row r="2134" ht="14.25" hidden="1" customHeight="1">
      <c r="B2134" s="7" t="s">
        <v>18</v>
      </c>
      <c r="C2134" s="7" t="s">
        <v>29</v>
      </c>
      <c r="D2134" s="7" t="s">
        <v>24</v>
      </c>
      <c r="E2134" s="7" t="s">
        <v>31</v>
      </c>
      <c r="F2134" s="8">
        <v>7.0</v>
      </c>
      <c r="G2134" s="9">
        <v>7.0</v>
      </c>
    </row>
    <row r="2135" ht="14.25" hidden="1" customHeight="1">
      <c r="B2135" s="7" t="s">
        <v>18</v>
      </c>
      <c r="C2135" s="7" t="s">
        <v>29</v>
      </c>
      <c r="D2135" s="7" t="s">
        <v>10</v>
      </c>
      <c r="E2135" s="7" t="s">
        <v>25</v>
      </c>
      <c r="F2135" s="8">
        <v>7.0</v>
      </c>
      <c r="G2135" s="9">
        <v>7.0</v>
      </c>
    </row>
    <row r="2136" ht="14.25" hidden="1" customHeight="1">
      <c r="B2136" s="7" t="s">
        <v>18</v>
      </c>
      <c r="C2136" s="7" t="s">
        <v>29</v>
      </c>
      <c r="D2136" s="7" t="s">
        <v>32</v>
      </c>
      <c r="E2136" s="7" t="s">
        <v>25</v>
      </c>
      <c r="F2136" s="8">
        <v>7.0</v>
      </c>
      <c r="G2136" s="9">
        <v>7.0</v>
      </c>
    </row>
    <row r="2137" ht="14.25" hidden="1" customHeight="1">
      <c r="B2137" s="7" t="s">
        <v>18</v>
      </c>
      <c r="C2137" s="7" t="s">
        <v>7</v>
      </c>
      <c r="D2137" s="7" t="s">
        <v>25</v>
      </c>
      <c r="E2137" s="7" t="s">
        <v>33</v>
      </c>
      <c r="F2137" s="8">
        <v>6.0</v>
      </c>
      <c r="G2137" s="9">
        <v>3.0</v>
      </c>
    </row>
    <row r="2138" ht="14.25" hidden="1" customHeight="1">
      <c r="B2138" s="7" t="s">
        <v>18</v>
      </c>
      <c r="C2138" s="7" t="s">
        <v>7</v>
      </c>
      <c r="D2138" s="7" t="s">
        <v>25</v>
      </c>
      <c r="E2138" s="7" t="s">
        <v>33</v>
      </c>
      <c r="F2138" s="8">
        <v>6.0</v>
      </c>
      <c r="G2138" s="9">
        <v>3.0</v>
      </c>
    </row>
    <row r="2139" ht="14.25" hidden="1" customHeight="1">
      <c r="B2139" s="7" t="s">
        <v>18</v>
      </c>
      <c r="C2139" s="7" t="s">
        <v>7</v>
      </c>
      <c r="D2139" s="7" t="s">
        <v>25</v>
      </c>
      <c r="E2139" s="7" t="s">
        <v>28</v>
      </c>
      <c r="F2139" s="8">
        <v>6.0</v>
      </c>
      <c r="G2139" s="9">
        <v>3.0</v>
      </c>
    </row>
    <row r="2140" ht="14.25" hidden="1" customHeight="1">
      <c r="B2140" s="7" t="s">
        <v>18</v>
      </c>
      <c r="C2140" s="7" t="s">
        <v>29</v>
      </c>
      <c r="D2140" s="7" t="s">
        <v>25</v>
      </c>
      <c r="E2140" s="7" t="s">
        <v>8</v>
      </c>
      <c r="F2140" s="8">
        <v>6.0</v>
      </c>
      <c r="G2140" s="9">
        <v>6.0</v>
      </c>
    </row>
    <row r="2141" ht="14.25" hidden="1" customHeight="1">
      <c r="B2141" s="7" t="s">
        <v>18</v>
      </c>
      <c r="C2141" s="7" t="s">
        <v>7</v>
      </c>
      <c r="D2141" s="7" t="s">
        <v>25</v>
      </c>
      <c r="E2141" s="7" t="s">
        <v>8</v>
      </c>
      <c r="F2141" s="8">
        <v>6.0</v>
      </c>
      <c r="G2141" s="9">
        <v>3.0</v>
      </c>
    </row>
    <row r="2142" ht="14.25" hidden="1" customHeight="1">
      <c r="B2142" s="7" t="s">
        <v>18</v>
      </c>
      <c r="C2142" s="7" t="s">
        <v>7</v>
      </c>
      <c r="D2142" s="7" t="s">
        <v>25</v>
      </c>
      <c r="E2142" s="7" t="s">
        <v>8</v>
      </c>
      <c r="F2142" s="8">
        <v>6.0</v>
      </c>
      <c r="G2142" s="9">
        <v>3.0</v>
      </c>
    </row>
    <row r="2143" ht="14.25" hidden="1" customHeight="1">
      <c r="B2143" s="7" t="s">
        <v>18</v>
      </c>
      <c r="C2143" s="7" t="s">
        <v>7</v>
      </c>
      <c r="D2143" s="7" t="s">
        <v>33</v>
      </c>
      <c r="E2143" s="7" t="s">
        <v>25</v>
      </c>
      <c r="F2143" s="8">
        <v>6.0</v>
      </c>
      <c r="G2143" s="9">
        <v>6.0</v>
      </c>
    </row>
    <row r="2144" ht="14.25" hidden="1" customHeight="1">
      <c r="B2144" s="7" t="s">
        <v>18</v>
      </c>
      <c r="C2144" s="7" t="s">
        <v>30</v>
      </c>
      <c r="D2144" s="7" t="s">
        <v>11</v>
      </c>
      <c r="E2144" s="7" t="s">
        <v>10</v>
      </c>
      <c r="F2144" s="8">
        <v>6.0</v>
      </c>
      <c r="G2144" s="9">
        <v>3.0</v>
      </c>
    </row>
    <row r="2145" ht="14.25" hidden="1" customHeight="1">
      <c r="B2145" s="7" t="s">
        <v>18</v>
      </c>
      <c r="C2145" s="7" t="s">
        <v>30</v>
      </c>
      <c r="D2145" s="7" t="s">
        <v>34</v>
      </c>
      <c r="E2145" s="7" t="s">
        <v>28</v>
      </c>
      <c r="F2145" s="8">
        <v>6.0</v>
      </c>
      <c r="G2145" s="9">
        <v>3.0</v>
      </c>
    </row>
    <row r="2146" ht="14.25" hidden="1" customHeight="1">
      <c r="B2146" s="7" t="s">
        <v>18</v>
      </c>
      <c r="C2146" s="7" t="s">
        <v>7</v>
      </c>
      <c r="D2146" s="7" t="s">
        <v>9</v>
      </c>
      <c r="E2146" s="7" t="s">
        <v>25</v>
      </c>
      <c r="F2146" s="8">
        <v>6.0</v>
      </c>
      <c r="G2146" s="9">
        <v>6.0</v>
      </c>
    </row>
    <row r="2147" ht="14.25" hidden="1" customHeight="1">
      <c r="B2147" s="7" t="s">
        <v>18</v>
      </c>
      <c r="C2147" s="7" t="s">
        <v>30</v>
      </c>
      <c r="D2147" s="7" t="s">
        <v>9</v>
      </c>
      <c r="E2147" s="7" t="s">
        <v>24</v>
      </c>
      <c r="F2147" s="8">
        <v>6.0</v>
      </c>
      <c r="G2147" s="9">
        <v>3.0</v>
      </c>
    </row>
    <row r="2148" ht="14.25" hidden="1" customHeight="1">
      <c r="B2148" s="7" t="s">
        <v>18</v>
      </c>
      <c r="C2148" s="7" t="s">
        <v>30</v>
      </c>
      <c r="D2148" s="7" t="s">
        <v>9</v>
      </c>
      <c r="E2148" s="7" t="s">
        <v>10</v>
      </c>
      <c r="F2148" s="8">
        <v>6.0</v>
      </c>
      <c r="G2148" s="9">
        <v>3.0</v>
      </c>
    </row>
    <row r="2149" ht="14.25" hidden="1" customHeight="1">
      <c r="B2149" s="7" t="s">
        <v>18</v>
      </c>
      <c r="C2149" s="7" t="s">
        <v>30</v>
      </c>
      <c r="D2149" s="7" t="s">
        <v>24</v>
      </c>
      <c r="E2149" s="7" t="s">
        <v>31</v>
      </c>
      <c r="F2149" s="8">
        <v>6.0</v>
      </c>
      <c r="G2149" s="9">
        <v>3.0</v>
      </c>
    </row>
    <row r="2150" ht="14.25" hidden="1" customHeight="1">
      <c r="B2150" s="7" t="s">
        <v>18</v>
      </c>
      <c r="C2150" s="7" t="s">
        <v>30</v>
      </c>
      <c r="D2150" s="7" t="s">
        <v>24</v>
      </c>
      <c r="E2150" s="7" t="s">
        <v>8</v>
      </c>
      <c r="F2150" s="8">
        <v>6.0</v>
      </c>
      <c r="G2150" s="9">
        <v>3.0</v>
      </c>
    </row>
    <row r="2151" ht="14.25" hidden="1" customHeight="1">
      <c r="B2151" s="7" t="s">
        <v>18</v>
      </c>
      <c r="C2151" s="7" t="s">
        <v>7</v>
      </c>
      <c r="D2151" s="7" t="s">
        <v>32</v>
      </c>
      <c r="E2151" s="7" t="s">
        <v>9</v>
      </c>
      <c r="F2151" s="8">
        <v>6.0</v>
      </c>
      <c r="G2151" s="9">
        <v>3.0</v>
      </c>
    </row>
    <row r="2152" ht="14.25" hidden="1" customHeight="1">
      <c r="B2152" s="7" t="s">
        <v>18</v>
      </c>
      <c r="C2152" s="7" t="s">
        <v>7</v>
      </c>
      <c r="D2152" s="7" t="s">
        <v>32</v>
      </c>
      <c r="E2152" s="7" t="s">
        <v>31</v>
      </c>
      <c r="F2152" s="8">
        <v>6.0</v>
      </c>
      <c r="G2152" s="9">
        <v>3.0</v>
      </c>
    </row>
    <row r="2153" ht="14.25" hidden="1" customHeight="1">
      <c r="B2153" s="7" t="s">
        <v>18</v>
      </c>
      <c r="C2153" s="7" t="s">
        <v>30</v>
      </c>
      <c r="D2153" s="7" t="s">
        <v>32</v>
      </c>
      <c r="E2153" s="7" t="s">
        <v>8</v>
      </c>
      <c r="F2153" s="8">
        <v>6.0</v>
      </c>
      <c r="G2153" s="9">
        <v>3.0</v>
      </c>
    </row>
    <row r="2154" ht="14.25" hidden="1" customHeight="1">
      <c r="B2154" s="7" t="s">
        <v>18</v>
      </c>
      <c r="C2154" s="7" t="s">
        <v>7</v>
      </c>
      <c r="D2154" s="7" t="s">
        <v>32</v>
      </c>
      <c r="E2154" s="7" t="s">
        <v>8</v>
      </c>
      <c r="F2154" s="8">
        <v>6.0</v>
      </c>
      <c r="G2154" s="9">
        <v>3.0</v>
      </c>
    </row>
    <row r="2155" ht="14.25" hidden="1" customHeight="1">
      <c r="B2155" s="7" t="s">
        <v>18</v>
      </c>
      <c r="C2155" s="7" t="s">
        <v>7</v>
      </c>
      <c r="D2155" s="7" t="s">
        <v>8</v>
      </c>
      <c r="E2155" s="7" t="s">
        <v>32</v>
      </c>
      <c r="F2155" s="8">
        <v>6.0</v>
      </c>
      <c r="G2155" s="9">
        <v>3.0</v>
      </c>
    </row>
    <row r="2156" ht="14.25" customHeight="1">
      <c r="B2156" s="7" t="s">
        <v>18</v>
      </c>
      <c r="C2156" s="7" t="s">
        <v>7</v>
      </c>
      <c r="D2156" s="7" t="s">
        <v>8</v>
      </c>
      <c r="E2156" s="7" t="s">
        <v>31</v>
      </c>
      <c r="F2156" s="8">
        <v>6.0</v>
      </c>
      <c r="G2156" s="9">
        <v>3.0</v>
      </c>
    </row>
    <row r="2157" ht="14.25" hidden="1" customHeight="1">
      <c r="B2157" s="7" t="s">
        <v>18</v>
      </c>
      <c r="C2157" s="7" t="s">
        <v>29</v>
      </c>
      <c r="D2157" s="7" t="s">
        <v>33</v>
      </c>
      <c r="E2157" s="7" t="s">
        <v>9</v>
      </c>
      <c r="F2157" s="8">
        <v>5.0</v>
      </c>
      <c r="G2157" s="9">
        <v>5.0</v>
      </c>
    </row>
    <row r="2158" ht="14.25" hidden="1" customHeight="1">
      <c r="B2158" s="7" t="s">
        <v>18</v>
      </c>
      <c r="C2158" s="7" t="s">
        <v>29</v>
      </c>
      <c r="D2158" s="7" t="s">
        <v>28</v>
      </c>
      <c r="E2158" s="7" t="s">
        <v>9</v>
      </c>
      <c r="F2158" s="8">
        <v>5.0</v>
      </c>
      <c r="G2158" s="9">
        <v>5.0</v>
      </c>
    </row>
    <row r="2159" ht="14.25" hidden="1" customHeight="1">
      <c r="B2159" s="7" t="s">
        <v>18</v>
      </c>
      <c r="C2159" s="7" t="s">
        <v>29</v>
      </c>
      <c r="D2159" s="7" t="s">
        <v>11</v>
      </c>
      <c r="E2159" s="7" t="s">
        <v>10</v>
      </c>
      <c r="F2159" s="8">
        <v>5.0</v>
      </c>
      <c r="G2159" s="9">
        <v>5.0</v>
      </c>
    </row>
    <row r="2160" ht="14.25" hidden="1" customHeight="1">
      <c r="B2160" s="7" t="s">
        <v>18</v>
      </c>
      <c r="C2160" s="7" t="s">
        <v>29</v>
      </c>
      <c r="D2160" s="7" t="s">
        <v>9</v>
      </c>
      <c r="E2160" s="7" t="s">
        <v>31</v>
      </c>
      <c r="F2160" s="8">
        <v>5.0</v>
      </c>
      <c r="G2160" s="9">
        <v>5.0</v>
      </c>
    </row>
    <row r="2161" ht="14.25" hidden="1" customHeight="1">
      <c r="B2161" s="7" t="s">
        <v>18</v>
      </c>
      <c r="C2161" s="7" t="s">
        <v>29</v>
      </c>
      <c r="D2161" s="7" t="s">
        <v>32</v>
      </c>
      <c r="E2161" s="7" t="s">
        <v>25</v>
      </c>
      <c r="F2161" s="8">
        <v>5.0</v>
      </c>
      <c r="G2161" s="9">
        <v>5.0</v>
      </c>
    </row>
    <row r="2162" ht="14.25" hidden="1" customHeight="1">
      <c r="B2162" s="7" t="s">
        <v>18</v>
      </c>
      <c r="C2162" s="7" t="s">
        <v>29</v>
      </c>
      <c r="D2162" s="7" t="s">
        <v>32</v>
      </c>
      <c r="E2162" s="7" t="s">
        <v>28</v>
      </c>
      <c r="F2162" s="8">
        <v>5.0</v>
      </c>
      <c r="G2162" s="9">
        <v>5.0</v>
      </c>
    </row>
    <row r="2163" ht="14.25" hidden="1" customHeight="1">
      <c r="B2163" s="7" t="s">
        <v>18</v>
      </c>
      <c r="C2163" s="7" t="s">
        <v>29</v>
      </c>
      <c r="D2163" s="7" t="s">
        <v>31</v>
      </c>
      <c r="E2163" s="7" t="s">
        <v>28</v>
      </c>
      <c r="F2163" s="8">
        <v>5.0</v>
      </c>
      <c r="G2163" s="9">
        <v>5.0</v>
      </c>
    </row>
    <row r="2164" ht="14.25" hidden="1" customHeight="1">
      <c r="B2164" s="7" t="s">
        <v>18</v>
      </c>
      <c r="C2164" s="7" t="s">
        <v>29</v>
      </c>
      <c r="D2164" s="7" t="s">
        <v>8</v>
      </c>
      <c r="E2164" s="7" t="s">
        <v>28</v>
      </c>
      <c r="F2164" s="8">
        <v>5.0</v>
      </c>
      <c r="G2164" s="9">
        <v>5.0</v>
      </c>
    </row>
    <row r="2165" ht="14.25" hidden="1" customHeight="1">
      <c r="B2165" s="7" t="s">
        <v>18</v>
      </c>
      <c r="C2165" s="7" t="s">
        <v>29</v>
      </c>
      <c r="D2165" s="7" t="s">
        <v>25</v>
      </c>
      <c r="E2165" s="7" t="s">
        <v>28</v>
      </c>
      <c r="F2165" s="8">
        <v>4.0</v>
      </c>
      <c r="G2165" s="9">
        <v>4.0</v>
      </c>
    </row>
    <row r="2166" ht="14.25" hidden="1" customHeight="1">
      <c r="B2166" s="7" t="s">
        <v>18</v>
      </c>
      <c r="C2166" s="7" t="s">
        <v>7</v>
      </c>
      <c r="D2166" s="7" t="s">
        <v>25</v>
      </c>
      <c r="E2166" s="7" t="s">
        <v>9</v>
      </c>
      <c r="F2166" s="8">
        <v>4.0</v>
      </c>
      <c r="G2166" s="9">
        <v>2.0</v>
      </c>
    </row>
    <row r="2167" ht="14.25" hidden="1" customHeight="1">
      <c r="B2167" s="7" t="s">
        <v>18</v>
      </c>
      <c r="C2167" s="7" t="s">
        <v>7</v>
      </c>
      <c r="D2167" s="7" t="s">
        <v>25</v>
      </c>
      <c r="E2167" s="7" t="s">
        <v>8</v>
      </c>
      <c r="F2167" s="8">
        <v>4.0</v>
      </c>
      <c r="G2167" s="9">
        <v>2.0</v>
      </c>
    </row>
    <row r="2168" ht="14.25" hidden="1" customHeight="1">
      <c r="B2168" s="7" t="s">
        <v>18</v>
      </c>
      <c r="C2168" s="7" t="s">
        <v>7</v>
      </c>
      <c r="D2168" s="7" t="s">
        <v>33</v>
      </c>
      <c r="E2168" s="7" t="s">
        <v>9</v>
      </c>
      <c r="F2168" s="8">
        <v>4.0</v>
      </c>
      <c r="G2168" s="9">
        <v>4.0</v>
      </c>
    </row>
    <row r="2169" ht="14.25" hidden="1" customHeight="1">
      <c r="B2169" s="7" t="s">
        <v>18</v>
      </c>
      <c r="C2169" s="7" t="s">
        <v>29</v>
      </c>
      <c r="D2169" s="7" t="s">
        <v>33</v>
      </c>
      <c r="E2169" s="7" t="s">
        <v>9</v>
      </c>
      <c r="F2169" s="8">
        <v>4.0</v>
      </c>
      <c r="G2169" s="9">
        <v>4.0</v>
      </c>
    </row>
    <row r="2170" ht="14.25" hidden="1" customHeight="1">
      <c r="B2170" s="7" t="s">
        <v>18</v>
      </c>
      <c r="C2170" s="7" t="s">
        <v>7</v>
      </c>
      <c r="D2170" s="7" t="s">
        <v>33</v>
      </c>
      <c r="E2170" s="7" t="s">
        <v>10</v>
      </c>
      <c r="F2170" s="8">
        <v>4.0</v>
      </c>
      <c r="G2170" s="9">
        <v>2.0</v>
      </c>
    </row>
    <row r="2171" ht="14.25" hidden="1" customHeight="1">
      <c r="B2171" s="7" t="s">
        <v>18</v>
      </c>
      <c r="C2171" s="7" t="s">
        <v>30</v>
      </c>
      <c r="D2171" s="7" t="s">
        <v>28</v>
      </c>
      <c r="E2171" s="7" t="s">
        <v>33</v>
      </c>
      <c r="F2171" s="8">
        <v>4.0</v>
      </c>
      <c r="G2171" s="9">
        <v>2.0</v>
      </c>
    </row>
    <row r="2172" ht="14.25" hidden="1" customHeight="1">
      <c r="B2172" s="7" t="s">
        <v>18</v>
      </c>
      <c r="C2172" s="7" t="s">
        <v>30</v>
      </c>
      <c r="D2172" s="7" t="s">
        <v>28</v>
      </c>
      <c r="E2172" s="7" t="s">
        <v>10</v>
      </c>
      <c r="F2172" s="8">
        <v>4.0</v>
      </c>
      <c r="G2172" s="9">
        <v>2.0</v>
      </c>
    </row>
    <row r="2173" ht="14.25" hidden="1" customHeight="1">
      <c r="B2173" s="7" t="s">
        <v>18</v>
      </c>
      <c r="C2173" s="7" t="s">
        <v>7</v>
      </c>
      <c r="D2173" s="7" t="s">
        <v>28</v>
      </c>
      <c r="E2173" s="7" t="s">
        <v>37</v>
      </c>
      <c r="F2173" s="8">
        <v>4.0</v>
      </c>
      <c r="G2173" s="9">
        <v>2.0</v>
      </c>
    </row>
    <row r="2174" ht="14.25" hidden="1" customHeight="1">
      <c r="B2174" s="7" t="s">
        <v>18</v>
      </c>
      <c r="C2174" s="7" t="s">
        <v>7</v>
      </c>
      <c r="D2174" s="7" t="s">
        <v>9</v>
      </c>
      <c r="E2174" s="7" t="s">
        <v>8</v>
      </c>
      <c r="F2174" s="8">
        <v>4.0</v>
      </c>
      <c r="G2174" s="9">
        <v>4.0</v>
      </c>
    </row>
    <row r="2175" ht="14.25" hidden="1" customHeight="1">
      <c r="B2175" s="7" t="s">
        <v>18</v>
      </c>
      <c r="C2175" s="7" t="s">
        <v>29</v>
      </c>
      <c r="D2175" s="7" t="s">
        <v>24</v>
      </c>
      <c r="E2175" s="7" t="s">
        <v>31</v>
      </c>
      <c r="F2175" s="8">
        <v>4.0</v>
      </c>
      <c r="G2175" s="9">
        <v>4.0</v>
      </c>
    </row>
    <row r="2176" ht="14.25" hidden="1" customHeight="1">
      <c r="B2176" s="7" t="s">
        <v>18</v>
      </c>
      <c r="C2176" s="7" t="s">
        <v>29</v>
      </c>
      <c r="D2176" s="7" t="s">
        <v>24</v>
      </c>
      <c r="E2176" s="7" t="s">
        <v>31</v>
      </c>
      <c r="F2176" s="8">
        <v>4.0</v>
      </c>
      <c r="G2176" s="9">
        <v>4.0</v>
      </c>
    </row>
    <row r="2177" ht="14.25" hidden="1" customHeight="1">
      <c r="B2177" s="7" t="s">
        <v>18</v>
      </c>
      <c r="C2177" s="7" t="s">
        <v>7</v>
      </c>
      <c r="D2177" s="7" t="s">
        <v>24</v>
      </c>
      <c r="E2177" s="7" t="s">
        <v>31</v>
      </c>
      <c r="F2177" s="8">
        <v>4.0</v>
      </c>
      <c r="G2177" s="9">
        <v>2.0</v>
      </c>
    </row>
    <row r="2178" ht="14.25" hidden="1" customHeight="1">
      <c r="B2178" s="7" t="s">
        <v>18</v>
      </c>
      <c r="C2178" s="7" t="s">
        <v>7</v>
      </c>
      <c r="D2178" s="7" t="s">
        <v>10</v>
      </c>
      <c r="E2178" s="7" t="s">
        <v>25</v>
      </c>
      <c r="F2178" s="8">
        <v>4.0</v>
      </c>
      <c r="G2178" s="9">
        <v>4.0</v>
      </c>
    </row>
    <row r="2179" ht="14.25" hidden="1" customHeight="1">
      <c r="B2179" s="7" t="s">
        <v>18</v>
      </c>
      <c r="C2179" s="7" t="s">
        <v>30</v>
      </c>
      <c r="D2179" s="7" t="s">
        <v>10</v>
      </c>
      <c r="E2179" s="7" t="s">
        <v>33</v>
      </c>
      <c r="F2179" s="8">
        <v>4.0</v>
      </c>
      <c r="G2179" s="9">
        <v>2.0</v>
      </c>
    </row>
    <row r="2180" ht="14.25" hidden="1" customHeight="1">
      <c r="B2180" s="7" t="s">
        <v>18</v>
      </c>
      <c r="C2180" s="7" t="s">
        <v>7</v>
      </c>
      <c r="D2180" s="7" t="s">
        <v>10</v>
      </c>
      <c r="E2180" s="7" t="s">
        <v>28</v>
      </c>
      <c r="F2180" s="8">
        <v>4.0</v>
      </c>
      <c r="G2180" s="9">
        <v>2.0</v>
      </c>
    </row>
    <row r="2181" ht="14.25" hidden="1" customHeight="1">
      <c r="B2181" s="7" t="s">
        <v>18</v>
      </c>
      <c r="C2181" s="7" t="s">
        <v>30</v>
      </c>
      <c r="D2181" s="7" t="s">
        <v>10</v>
      </c>
      <c r="E2181" s="7" t="s">
        <v>24</v>
      </c>
      <c r="F2181" s="8">
        <v>4.0</v>
      </c>
      <c r="G2181" s="9">
        <v>2.0</v>
      </c>
    </row>
    <row r="2182" ht="14.25" hidden="1" customHeight="1">
      <c r="B2182" s="7" t="s">
        <v>18</v>
      </c>
      <c r="C2182" s="7" t="s">
        <v>7</v>
      </c>
      <c r="D2182" s="7" t="s">
        <v>32</v>
      </c>
      <c r="E2182" s="7" t="s">
        <v>28</v>
      </c>
      <c r="F2182" s="8">
        <v>4.0</v>
      </c>
      <c r="G2182" s="9">
        <v>2.0</v>
      </c>
    </row>
    <row r="2183" ht="14.25" hidden="1" customHeight="1">
      <c r="B2183" s="7" t="s">
        <v>18</v>
      </c>
      <c r="C2183" s="7" t="s">
        <v>7</v>
      </c>
      <c r="D2183" s="7" t="s">
        <v>32</v>
      </c>
      <c r="E2183" s="7" t="s">
        <v>28</v>
      </c>
      <c r="F2183" s="8">
        <v>4.0</v>
      </c>
      <c r="G2183" s="9">
        <v>2.0</v>
      </c>
    </row>
    <row r="2184" ht="14.25" hidden="1" customHeight="1">
      <c r="B2184" s="7" t="s">
        <v>18</v>
      </c>
      <c r="C2184" s="7" t="s">
        <v>7</v>
      </c>
      <c r="D2184" s="7" t="s">
        <v>32</v>
      </c>
      <c r="E2184" s="7" t="s">
        <v>9</v>
      </c>
      <c r="F2184" s="8">
        <v>4.0</v>
      </c>
      <c r="G2184" s="9">
        <v>2.0</v>
      </c>
    </row>
    <row r="2185" ht="14.25" hidden="1" customHeight="1">
      <c r="B2185" s="7" t="s">
        <v>18</v>
      </c>
      <c r="C2185" s="7" t="s">
        <v>29</v>
      </c>
      <c r="D2185" s="7" t="s">
        <v>32</v>
      </c>
      <c r="E2185" s="7" t="s">
        <v>31</v>
      </c>
      <c r="F2185" s="8">
        <v>4.0</v>
      </c>
      <c r="G2185" s="9">
        <v>4.0</v>
      </c>
    </row>
    <row r="2186" ht="14.25" hidden="1" customHeight="1">
      <c r="B2186" s="7" t="s">
        <v>18</v>
      </c>
      <c r="C2186" s="7" t="s">
        <v>7</v>
      </c>
      <c r="D2186" s="7" t="s">
        <v>31</v>
      </c>
      <c r="E2186" s="7" t="s">
        <v>25</v>
      </c>
      <c r="F2186" s="8">
        <v>4.0</v>
      </c>
      <c r="G2186" s="9">
        <v>2.0</v>
      </c>
    </row>
    <row r="2187" ht="14.25" hidden="1" customHeight="1">
      <c r="B2187" s="7" t="s">
        <v>18</v>
      </c>
      <c r="C2187" s="7" t="s">
        <v>7</v>
      </c>
      <c r="D2187" s="7" t="s">
        <v>31</v>
      </c>
      <c r="E2187" s="7" t="s">
        <v>28</v>
      </c>
      <c r="F2187" s="8">
        <v>4.0</v>
      </c>
      <c r="G2187" s="9">
        <v>2.0</v>
      </c>
    </row>
    <row r="2188" ht="14.25" hidden="1" customHeight="1">
      <c r="B2188" s="7" t="s">
        <v>18</v>
      </c>
      <c r="C2188" s="7" t="s">
        <v>7</v>
      </c>
      <c r="D2188" s="7" t="s">
        <v>31</v>
      </c>
      <c r="E2188" s="7" t="s">
        <v>9</v>
      </c>
      <c r="F2188" s="8">
        <v>4.0</v>
      </c>
      <c r="G2188" s="9">
        <v>2.0</v>
      </c>
    </row>
    <row r="2189" ht="14.25" hidden="1" customHeight="1">
      <c r="B2189" s="7" t="s">
        <v>18</v>
      </c>
      <c r="C2189" s="7" t="s">
        <v>30</v>
      </c>
      <c r="D2189" s="7" t="s">
        <v>31</v>
      </c>
      <c r="E2189" s="7" t="s">
        <v>8</v>
      </c>
      <c r="F2189" s="8">
        <v>4.0</v>
      </c>
      <c r="G2189" s="9">
        <v>2.0</v>
      </c>
    </row>
    <row r="2190" ht="14.25" hidden="1" customHeight="1">
      <c r="B2190" s="7" t="s">
        <v>18</v>
      </c>
      <c r="C2190" s="7" t="s">
        <v>7</v>
      </c>
      <c r="D2190" s="7" t="s">
        <v>31</v>
      </c>
      <c r="E2190" s="7" t="s">
        <v>8</v>
      </c>
      <c r="F2190" s="8">
        <v>4.0</v>
      </c>
      <c r="G2190" s="9">
        <v>2.0</v>
      </c>
    </row>
    <row r="2191" ht="14.25" hidden="1" customHeight="1">
      <c r="B2191" s="7" t="s">
        <v>18</v>
      </c>
      <c r="C2191" s="7" t="s">
        <v>7</v>
      </c>
      <c r="D2191" s="7" t="s">
        <v>8</v>
      </c>
      <c r="E2191" s="7" t="s">
        <v>33</v>
      </c>
      <c r="F2191" s="8">
        <v>4.0</v>
      </c>
      <c r="G2191" s="9">
        <v>2.0</v>
      </c>
    </row>
    <row r="2192" ht="14.25" hidden="1" customHeight="1">
      <c r="B2192" s="7" t="s">
        <v>18</v>
      </c>
      <c r="C2192" s="7" t="s">
        <v>36</v>
      </c>
      <c r="D2192" s="7" t="s">
        <v>8</v>
      </c>
      <c r="E2192" s="7" t="s">
        <v>28</v>
      </c>
      <c r="F2192" s="8">
        <v>4.0</v>
      </c>
      <c r="G2192" s="9">
        <v>4.0</v>
      </c>
    </row>
    <row r="2193" ht="14.25" hidden="1" customHeight="1">
      <c r="B2193" s="7" t="s">
        <v>18</v>
      </c>
      <c r="C2193" s="7" t="s">
        <v>29</v>
      </c>
      <c r="D2193" s="7" t="s">
        <v>25</v>
      </c>
      <c r="E2193" s="7" t="s">
        <v>31</v>
      </c>
      <c r="F2193" s="8">
        <v>3.0</v>
      </c>
      <c r="G2193" s="9">
        <v>3.0</v>
      </c>
    </row>
    <row r="2194" ht="14.25" hidden="1" customHeight="1">
      <c r="B2194" s="7" t="s">
        <v>18</v>
      </c>
      <c r="C2194" s="7" t="s">
        <v>29</v>
      </c>
      <c r="D2194" s="7" t="s">
        <v>33</v>
      </c>
      <c r="E2194" s="7" t="s">
        <v>10</v>
      </c>
      <c r="F2194" s="8">
        <v>3.0</v>
      </c>
      <c r="G2194" s="9">
        <v>3.0</v>
      </c>
    </row>
    <row r="2195" ht="14.25" hidden="1" customHeight="1">
      <c r="B2195" s="7" t="s">
        <v>18</v>
      </c>
      <c r="C2195" s="7" t="s">
        <v>29</v>
      </c>
      <c r="D2195" s="7" t="s">
        <v>28</v>
      </c>
      <c r="E2195" s="7" t="s">
        <v>25</v>
      </c>
      <c r="F2195" s="8">
        <v>3.0</v>
      </c>
      <c r="G2195" s="9">
        <v>3.0</v>
      </c>
    </row>
    <row r="2196" ht="14.25" hidden="1" customHeight="1">
      <c r="B2196" s="7" t="s">
        <v>18</v>
      </c>
      <c r="C2196" s="7" t="s">
        <v>29</v>
      </c>
      <c r="D2196" s="7" t="s">
        <v>28</v>
      </c>
      <c r="E2196" s="7" t="s">
        <v>35</v>
      </c>
      <c r="F2196" s="8">
        <v>3.0</v>
      </c>
      <c r="G2196" s="9">
        <v>3.0</v>
      </c>
    </row>
    <row r="2197" ht="14.25" hidden="1" customHeight="1">
      <c r="B2197" s="7" t="s">
        <v>18</v>
      </c>
      <c r="C2197" s="7" t="s">
        <v>29</v>
      </c>
      <c r="D2197" s="7" t="s">
        <v>9</v>
      </c>
      <c r="E2197" s="7" t="s">
        <v>28</v>
      </c>
      <c r="F2197" s="8">
        <v>3.0</v>
      </c>
      <c r="G2197" s="9">
        <v>3.0</v>
      </c>
    </row>
    <row r="2198" ht="14.25" hidden="1" customHeight="1">
      <c r="B2198" s="7" t="s">
        <v>18</v>
      </c>
      <c r="C2198" s="7" t="s">
        <v>29</v>
      </c>
      <c r="D2198" s="7" t="s">
        <v>32</v>
      </c>
      <c r="E2198" s="7" t="s">
        <v>31</v>
      </c>
      <c r="F2198" s="8">
        <v>3.0</v>
      </c>
      <c r="G2198" s="9">
        <v>3.0</v>
      </c>
    </row>
    <row r="2199" ht="14.25" hidden="1" customHeight="1">
      <c r="B2199" s="7" t="s">
        <v>18</v>
      </c>
      <c r="C2199" s="7" t="s">
        <v>29</v>
      </c>
      <c r="D2199" s="7" t="s">
        <v>8</v>
      </c>
      <c r="E2199" s="7" t="s">
        <v>28</v>
      </c>
      <c r="F2199" s="8">
        <v>3.0</v>
      </c>
      <c r="G2199" s="9">
        <v>3.0</v>
      </c>
    </row>
    <row r="2200" ht="14.25" hidden="1" customHeight="1">
      <c r="B2200" s="7" t="s">
        <v>18</v>
      </c>
      <c r="C2200" s="7" t="s">
        <v>36</v>
      </c>
      <c r="D2200" s="7" t="s">
        <v>8</v>
      </c>
      <c r="E2200" s="7" t="s">
        <v>24</v>
      </c>
      <c r="F2200" s="8">
        <v>3.0</v>
      </c>
      <c r="G2200" s="9">
        <v>3.0</v>
      </c>
    </row>
    <row r="2201" ht="14.25" hidden="1" customHeight="1">
      <c r="B2201" s="7" t="s">
        <v>18</v>
      </c>
      <c r="C2201" s="7" t="s">
        <v>7</v>
      </c>
      <c r="D2201" s="7" t="s">
        <v>25</v>
      </c>
      <c r="E2201" s="7" t="s">
        <v>35</v>
      </c>
      <c r="F2201" s="8">
        <v>2.0</v>
      </c>
      <c r="G2201" s="9">
        <v>1.0</v>
      </c>
    </row>
    <row r="2202" ht="14.25" hidden="1" customHeight="1">
      <c r="B2202" s="7" t="s">
        <v>18</v>
      </c>
      <c r="C2202" s="7" t="s">
        <v>7</v>
      </c>
      <c r="D2202" s="7" t="s">
        <v>25</v>
      </c>
      <c r="E2202" s="7" t="s">
        <v>9</v>
      </c>
      <c r="F2202" s="8">
        <v>2.0</v>
      </c>
      <c r="G2202" s="9">
        <v>1.0</v>
      </c>
    </row>
    <row r="2203" ht="14.25" hidden="1" customHeight="1">
      <c r="B2203" s="7" t="s">
        <v>18</v>
      </c>
      <c r="C2203" s="7" t="s">
        <v>7</v>
      </c>
      <c r="D2203" s="7" t="s">
        <v>25</v>
      </c>
      <c r="E2203" s="7" t="s">
        <v>10</v>
      </c>
      <c r="F2203" s="8">
        <v>2.0</v>
      </c>
      <c r="G2203" s="9">
        <v>1.0</v>
      </c>
    </row>
    <row r="2204" ht="14.25" hidden="1" customHeight="1">
      <c r="B2204" s="7" t="s">
        <v>18</v>
      </c>
      <c r="C2204" s="7" t="s">
        <v>29</v>
      </c>
      <c r="D2204" s="7" t="s">
        <v>25</v>
      </c>
      <c r="E2204" s="7" t="s">
        <v>32</v>
      </c>
      <c r="F2204" s="8">
        <v>2.0</v>
      </c>
      <c r="G2204" s="9">
        <v>2.0</v>
      </c>
    </row>
    <row r="2205" ht="14.25" hidden="1" customHeight="1">
      <c r="B2205" s="7" t="s">
        <v>18</v>
      </c>
      <c r="C2205" s="7" t="s">
        <v>7</v>
      </c>
      <c r="D2205" s="7" t="s">
        <v>25</v>
      </c>
      <c r="E2205" s="7" t="s">
        <v>31</v>
      </c>
      <c r="F2205" s="8">
        <v>2.0</v>
      </c>
      <c r="G2205" s="9">
        <v>1.0</v>
      </c>
    </row>
    <row r="2206" ht="14.25" hidden="1" customHeight="1">
      <c r="B2206" s="7" t="s">
        <v>18</v>
      </c>
      <c r="C2206" s="7" t="s">
        <v>29</v>
      </c>
      <c r="D2206" s="7" t="s">
        <v>33</v>
      </c>
      <c r="E2206" s="7" t="s">
        <v>28</v>
      </c>
      <c r="F2206" s="8">
        <v>2.0</v>
      </c>
      <c r="G2206" s="9">
        <v>2.0</v>
      </c>
    </row>
    <row r="2207" ht="14.25" hidden="1" customHeight="1">
      <c r="B2207" s="7" t="s">
        <v>18</v>
      </c>
      <c r="C2207" s="7" t="s">
        <v>7</v>
      </c>
      <c r="D2207" s="7" t="s">
        <v>33</v>
      </c>
      <c r="E2207" s="7" t="s">
        <v>28</v>
      </c>
      <c r="F2207" s="8">
        <v>2.0</v>
      </c>
      <c r="G2207" s="9">
        <v>1.0</v>
      </c>
    </row>
    <row r="2208" ht="14.25" hidden="1" customHeight="1">
      <c r="B2208" s="7" t="s">
        <v>18</v>
      </c>
      <c r="C2208" s="7" t="s">
        <v>7</v>
      </c>
      <c r="D2208" s="7" t="s">
        <v>33</v>
      </c>
      <c r="E2208" s="7" t="s">
        <v>28</v>
      </c>
      <c r="F2208" s="8">
        <v>2.0</v>
      </c>
      <c r="G2208" s="9">
        <v>1.0</v>
      </c>
    </row>
    <row r="2209" ht="14.25" hidden="1" customHeight="1">
      <c r="B2209" s="7" t="s">
        <v>18</v>
      </c>
      <c r="C2209" s="7" t="s">
        <v>7</v>
      </c>
      <c r="D2209" s="7" t="s">
        <v>33</v>
      </c>
      <c r="E2209" s="7" t="s">
        <v>35</v>
      </c>
      <c r="F2209" s="8">
        <v>2.0</v>
      </c>
      <c r="G2209" s="9">
        <v>1.0</v>
      </c>
    </row>
    <row r="2210" ht="14.25" hidden="1" customHeight="1">
      <c r="B2210" s="7" t="s">
        <v>18</v>
      </c>
      <c r="C2210" s="7" t="s">
        <v>7</v>
      </c>
      <c r="D2210" s="7" t="s">
        <v>33</v>
      </c>
      <c r="E2210" s="7" t="s">
        <v>9</v>
      </c>
      <c r="F2210" s="8">
        <v>2.0</v>
      </c>
      <c r="G2210" s="9">
        <v>1.0</v>
      </c>
    </row>
    <row r="2211" ht="14.25" hidden="1" customHeight="1">
      <c r="B2211" s="7" t="s">
        <v>18</v>
      </c>
      <c r="C2211" s="7" t="s">
        <v>7</v>
      </c>
      <c r="D2211" s="7" t="s">
        <v>33</v>
      </c>
      <c r="E2211" s="7" t="s">
        <v>9</v>
      </c>
      <c r="F2211" s="8">
        <v>2.0</v>
      </c>
      <c r="G2211" s="9">
        <v>1.0</v>
      </c>
    </row>
    <row r="2212" ht="14.25" hidden="1" customHeight="1">
      <c r="B2212" s="7" t="s">
        <v>18</v>
      </c>
      <c r="C2212" s="7" t="s">
        <v>7</v>
      </c>
      <c r="D2212" s="7" t="s">
        <v>33</v>
      </c>
      <c r="E2212" s="7" t="s">
        <v>9</v>
      </c>
      <c r="F2212" s="8">
        <v>2.0</v>
      </c>
      <c r="G2212" s="9">
        <v>1.0</v>
      </c>
    </row>
    <row r="2213" ht="14.25" hidden="1" customHeight="1">
      <c r="B2213" s="7" t="s">
        <v>18</v>
      </c>
      <c r="C2213" s="7" t="s">
        <v>29</v>
      </c>
      <c r="D2213" s="7" t="s">
        <v>33</v>
      </c>
      <c r="E2213" s="7" t="s">
        <v>32</v>
      </c>
      <c r="F2213" s="8">
        <v>2.0</v>
      </c>
      <c r="G2213" s="9">
        <v>2.0</v>
      </c>
    </row>
    <row r="2214" ht="14.25" hidden="1" customHeight="1">
      <c r="B2214" s="7" t="s">
        <v>18</v>
      </c>
      <c r="C2214" s="7" t="s">
        <v>30</v>
      </c>
      <c r="D2214" s="7" t="s">
        <v>33</v>
      </c>
      <c r="E2214" s="7" t="s">
        <v>31</v>
      </c>
      <c r="F2214" s="8">
        <v>2.0</v>
      </c>
      <c r="G2214" s="9">
        <v>1.0</v>
      </c>
    </row>
    <row r="2215" ht="14.25" hidden="1" customHeight="1">
      <c r="B2215" s="7" t="s">
        <v>18</v>
      </c>
      <c r="C2215" s="7" t="s">
        <v>7</v>
      </c>
      <c r="D2215" s="7" t="s">
        <v>33</v>
      </c>
      <c r="E2215" s="7" t="s">
        <v>8</v>
      </c>
      <c r="F2215" s="8">
        <v>2.0</v>
      </c>
      <c r="G2215" s="9">
        <v>2.0</v>
      </c>
    </row>
    <row r="2216" ht="14.25" hidden="1" customHeight="1">
      <c r="B2216" s="7" t="s">
        <v>18</v>
      </c>
      <c r="C2216" s="7" t="s">
        <v>7</v>
      </c>
      <c r="D2216" s="7" t="s">
        <v>28</v>
      </c>
      <c r="E2216" s="7" t="s">
        <v>25</v>
      </c>
      <c r="F2216" s="8">
        <v>2.0</v>
      </c>
      <c r="G2216" s="9">
        <v>2.0</v>
      </c>
    </row>
    <row r="2217" ht="14.25" hidden="1" customHeight="1">
      <c r="B2217" s="7" t="s">
        <v>18</v>
      </c>
      <c r="C2217" s="7" t="s">
        <v>7</v>
      </c>
      <c r="D2217" s="7" t="s">
        <v>28</v>
      </c>
      <c r="E2217" s="7" t="s">
        <v>10</v>
      </c>
      <c r="F2217" s="8">
        <v>2.0</v>
      </c>
      <c r="G2217" s="9">
        <v>1.0</v>
      </c>
    </row>
    <row r="2218" ht="14.25" hidden="1" customHeight="1">
      <c r="B2218" s="7" t="s">
        <v>18</v>
      </c>
      <c r="C2218" s="7" t="s">
        <v>29</v>
      </c>
      <c r="D2218" s="7" t="s">
        <v>11</v>
      </c>
      <c r="E2218" s="7" t="s">
        <v>25</v>
      </c>
      <c r="F2218" s="8">
        <v>2.0</v>
      </c>
      <c r="G2218" s="9">
        <v>2.0</v>
      </c>
    </row>
    <row r="2219" ht="14.25" hidden="1" customHeight="1">
      <c r="B2219" s="7" t="s">
        <v>18</v>
      </c>
      <c r="C2219" s="7" t="s">
        <v>30</v>
      </c>
      <c r="D2219" s="7" t="s">
        <v>11</v>
      </c>
      <c r="E2219" s="7" t="s">
        <v>25</v>
      </c>
      <c r="F2219" s="8">
        <v>2.0</v>
      </c>
      <c r="G2219" s="9">
        <v>1.0</v>
      </c>
    </row>
    <row r="2220" ht="14.25" hidden="1" customHeight="1">
      <c r="B2220" s="7" t="s">
        <v>18</v>
      </c>
      <c r="C2220" s="7" t="s">
        <v>7</v>
      </c>
      <c r="D2220" s="7" t="s">
        <v>11</v>
      </c>
      <c r="E2220" s="7" t="s">
        <v>10</v>
      </c>
      <c r="F2220" s="8">
        <v>2.0</v>
      </c>
      <c r="G2220" s="9">
        <v>1.0</v>
      </c>
    </row>
    <row r="2221" ht="14.25" hidden="1" customHeight="1">
      <c r="B2221" s="7" t="s">
        <v>18</v>
      </c>
      <c r="C2221" s="7" t="s">
        <v>7</v>
      </c>
      <c r="D2221" s="7" t="s">
        <v>11</v>
      </c>
      <c r="E2221" s="7" t="s">
        <v>10</v>
      </c>
      <c r="F2221" s="8">
        <v>2.0</v>
      </c>
      <c r="G2221" s="9">
        <v>1.0</v>
      </c>
    </row>
    <row r="2222" ht="14.25" hidden="1" customHeight="1">
      <c r="B2222" s="7" t="s">
        <v>18</v>
      </c>
      <c r="C2222" s="7" t="s">
        <v>36</v>
      </c>
      <c r="D2222" s="7" t="s">
        <v>11</v>
      </c>
      <c r="E2222" s="7" t="s">
        <v>8</v>
      </c>
      <c r="F2222" s="8">
        <v>2.0</v>
      </c>
      <c r="G2222" s="9">
        <v>2.0</v>
      </c>
    </row>
    <row r="2223" ht="14.25" hidden="1" customHeight="1">
      <c r="B2223" s="7" t="s">
        <v>18</v>
      </c>
      <c r="C2223" s="7" t="s">
        <v>7</v>
      </c>
      <c r="D2223" s="7" t="s">
        <v>11</v>
      </c>
      <c r="E2223" s="7" t="s">
        <v>8</v>
      </c>
      <c r="F2223" s="8">
        <v>2.0</v>
      </c>
      <c r="G2223" s="9">
        <v>1.0</v>
      </c>
    </row>
    <row r="2224" ht="14.25" hidden="1" customHeight="1">
      <c r="B2224" s="7" t="s">
        <v>18</v>
      </c>
      <c r="C2224" s="7" t="s">
        <v>29</v>
      </c>
      <c r="D2224" s="7" t="s">
        <v>34</v>
      </c>
      <c r="E2224" s="7" t="s">
        <v>32</v>
      </c>
      <c r="F2224" s="8">
        <v>2.0</v>
      </c>
      <c r="G2224" s="9">
        <v>2.0</v>
      </c>
    </row>
    <row r="2225" ht="14.25" hidden="1" customHeight="1">
      <c r="B2225" s="7" t="s">
        <v>18</v>
      </c>
      <c r="C2225" s="7" t="s">
        <v>7</v>
      </c>
      <c r="D2225" s="7" t="s">
        <v>9</v>
      </c>
      <c r="E2225" s="7" t="s">
        <v>33</v>
      </c>
      <c r="F2225" s="8">
        <v>2.0</v>
      </c>
      <c r="G2225" s="9">
        <v>1.0</v>
      </c>
    </row>
    <row r="2226" ht="14.25" hidden="1" customHeight="1">
      <c r="B2226" s="7" t="s">
        <v>18</v>
      </c>
      <c r="C2226" s="7" t="s">
        <v>29</v>
      </c>
      <c r="D2226" s="7" t="s">
        <v>9</v>
      </c>
      <c r="E2226" s="7" t="s">
        <v>28</v>
      </c>
      <c r="F2226" s="8">
        <v>2.0</v>
      </c>
      <c r="G2226" s="9">
        <v>2.0</v>
      </c>
    </row>
    <row r="2227" ht="14.25" hidden="1" customHeight="1">
      <c r="B2227" s="7" t="s">
        <v>18</v>
      </c>
      <c r="C2227" s="7" t="s">
        <v>7</v>
      </c>
      <c r="D2227" s="7" t="s">
        <v>9</v>
      </c>
      <c r="E2227" s="7" t="s">
        <v>28</v>
      </c>
      <c r="F2227" s="8">
        <v>2.0</v>
      </c>
      <c r="G2227" s="9">
        <v>1.0</v>
      </c>
    </row>
    <row r="2228" ht="14.25" hidden="1" customHeight="1">
      <c r="B2228" s="7" t="s">
        <v>18</v>
      </c>
      <c r="C2228" s="7" t="s">
        <v>7</v>
      </c>
      <c r="D2228" s="7" t="s">
        <v>9</v>
      </c>
      <c r="E2228" s="7" t="s">
        <v>28</v>
      </c>
      <c r="F2228" s="8">
        <v>2.0</v>
      </c>
      <c r="G2228" s="9">
        <v>1.0</v>
      </c>
    </row>
    <row r="2229" ht="14.25" hidden="1" customHeight="1">
      <c r="B2229" s="7" t="s">
        <v>18</v>
      </c>
      <c r="C2229" s="7" t="s">
        <v>7</v>
      </c>
      <c r="D2229" s="7" t="s">
        <v>9</v>
      </c>
      <c r="E2229" s="7" t="s">
        <v>10</v>
      </c>
      <c r="F2229" s="8">
        <v>2.0</v>
      </c>
      <c r="G2229" s="9">
        <v>1.0</v>
      </c>
    </row>
    <row r="2230" ht="14.25" hidden="1" customHeight="1">
      <c r="B2230" s="7" t="s">
        <v>18</v>
      </c>
      <c r="C2230" s="7" t="s">
        <v>30</v>
      </c>
      <c r="D2230" s="7" t="s">
        <v>9</v>
      </c>
      <c r="E2230" s="7" t="s">
        <v>31</v>
      </c>
      <c r="F2230" s="8">
        <v>2.0</v>
      </c>
      <c r="G2230" s="9">
        <v>1.0</v>
      </c>
    </row>
    <row r="2231" ht="14.25" hidden="1" customHeight="1">
      <c r="B2231" s="7" t="s">
        <v>18</v>
      </c>
      <c r="C2231" s="7" t="s">
        <v>30</v>
      </c>
      <c r="D2231" s="7" t="s">
        <v>24</v>
      </c>
      <c r="E2231" s="7" t="s">
        <v>31</v>
      </c>
      <c r="F2231" s="8">
        <v>2.0</v>
      </c>
      <c r="G2231" s="9">
        <v>1.0</v>
      </c>
    </row>
    <row r="2232" ht="14.25" hidden="1" customHeight="1">
      <c r="B2232" s="7" t="s">
        <v>18</v>
      </c>
      <c r="C2232" s="7" t="s">
        <v>7</v>
      </c>
      <c r="D2232" s="7" t="s">
        <v>10</v>
      </c>
      <c r="E2232" s="7" t="s">
        <v>35</v>
      </c>
      <c r="F2232" s="8">
        <v>2.0</v>
      </c>
      <c r="G2232" s="9">
        <v>1.0</v>
      </c>
    </row>
    <row r="2233" ht="14.25" hidden="1" customHeight="1">
      <c r="B2233" s="7" t="s">
        <v>18</v>
      </c>
      <c r="C2233" s="7" t="s">
        <v>7</v>
      </c>
      <c r="D2233" s="7" t="s">
        <v>10</v>
      </c>
      <c r="E2233" s="7" t="s">
        <v>35</v>
      </c>
      <c r="F2233" s="8">
        <v>2.0</v>
      </c>
      <c r="G2233" s="9">
        <v>1.0</v>
      </c>
    </row>
    <row r="2234" ht="14.25" hidden="1" customHeight="1">
      <c r="B2234" s="7" t="s">
        <v>18</v>
      </c>
      <c r="C2234" s="7" t="s">
        <v>7</v>
      </c>
      <c r="D2234" s="7" t="s">
        <v>10</v>
      </c>
      <c r="E2234" s="7" t="s">
        <v>9</v>
      </c>
      <c r="F2234" s="8">
        <v>2.0</v>
      </c>
      <c r="G2234" s="9">
        <v>1.0</v>
      </c>
    </row>
    <row r="2235" ht="14.25" hidden="1" customHeight="1">
      <c r="B2235" s="7" t="s">
        <v>18</v>
      </c>
      <c r="C2235" s="7" t="s">
        <v>7</v>
      </c>
      <c r="D2235" s="7" t="s">
        <v>10</v>
      </c>
      <c r="E2235" s="7" t="s">
        <v>31</v>
      </c>
      <c r="F2235" s="8">
        <v>2.0</v>
      </c>
      <c r="G2235" s="9">
        <v>1.0</v>
      </c>
    </row>
    <row r="2236" ht="14.25" hidden="1" customHeight="1">
      <c r="B2236" s="7" t="s">
        <v>18</v>
      </c>
      <c r="C2236" s="7" t="s">
        <v>7</v>
      </c>
      <c r="D2236" s="7" t="s">
        <v>10</v>
      </c>
      <c r="E2236" s="7" t="s">
        <v>31</v>
      </c>
      <c r="F2236" s="8">
        <v>2.0</v>
      </c>
      <c r="G2236" s="9">
        <v>1.0</v>
      </c>
    </row>
    <row r="2237" ht="14.25" hidden="1" customHeight="1">
      <c r="B2237" s="7" t="s">
        <v>18</v>
      </c>
      <c r="C2237" s="7" t="s">
        <v>7</v>
      </c>
      <c r="D2237" s="7" t="s">
        <v>32</v>
      </c>
      <c r="E2237" s="7" t="s">
        <v>31</v>
      </c>
      <c r="F2237" s="8">
        <v>2.0</v>
      </c>
      <c r="G2237" s="9">
        <v>1.0</v>
      </c>
    </row>
    <row r="2238" ht="14.25" hidden="1" customHeight="1">
      <c r="B2238" s="7" t="s">
        <v>18</v>
      </c>
      <c r="C2238" s="7" t="s">
        <v>7</v>
      </c>
      <c r="D2238" s="7" t="s">
        <v>32</v>
      </c>
      <c r="E2238" s="7" t="s">
        <v>31</v>
      </c>
      <c r="F2238" s="8">
        <v>2.0</v>
      </c>
      <c r="G2238" s="9">
        <v>1.0</v>
      </c>
    </row>
    <row r="2239" ht="14.25" hidden="1" customHeight="1">
      <c r="B2239" s="7" t="s">
        <v>18</v>
      </c>
      <c r="C2239" s="7" t="s">
        <v>7</v>
      </c>
      <c r="D2239" s="7" t="s">
        <v>32</v>
      </c>
      <c r="E2239" s="7" t="s">
        <v>8</v>
      </c>
      <c r="F2239" s="8">
        <v>2.0</v>
      </c>
      <c r="G2239" s="9">
        <v>1.0</v>
      </c>
    </row>
    <row r="2240" ht="14.25" hidden="1" customHeight="1">
      <c r="B2240" s="7" t="s">
        <v>18</v>
      </c>
      <c r="C2240" s="7" t="s">
        <v>7</v>
      </c>
      <c r="D2240" s="7" t="s">
        <v>31</v>
      </c>
      <c r="E2240" s="7" t="s">
        <v>33</v>
      </c>
      <c r="F2240" s="8">
        <v>2.0</v>
      </c>
      <c r="G2240" s="9">
        <v>1.0</v>
      </c>
    </row>
    <row r="2241" ht="14.25" hidden="1" customHeight="1">
      <c r="B2241" s="7" t="s">
        <v>18</v>
      </c>
      <c r="C2241" s="7" t="s">
        <v>30</v>
      </c>
      <c r="D2241" s="7" t="s">
        <v>31</v>
      </c>
      <c r="E2241" s="7" t="s">
        <v>33</v>
      </c>
      <c r="F2241" s="8">
        <v>2.0</v>
      </c>
      <c r="G2241" s="9">
        <v>1.0</v>
      </c>
    </row>
    <row r="2242" ht="14.25" hidden="1" customHeight="1">
      <c r="B2242" s="7" t="s">
        <v>18</v>
      </c>
      <c r="C2242" s="7" t="s">
        <v>7</v>
      </c>
      <c r="D2242" s="7" t="s">
        <v>31</v>
      </c>
      <c r="E2242" s="7" t="s">
        <v>28</v>
      </c>
      <c r="F2242" s="8">
        <v>2.0</v>
      </c>
      <c r="G2242" s="9">
        <v>1.0</v>
      </c>
    </row>
    <row r="2243" ht="14.25" hidden="1" customHeight="1">
      <c r="B2243" s="7" t="s">
        <v>18</v>
      </c>
      <c r="C2243" s="7" t="s">
        <v>30</v>
      </c>
      <c r="D2243" s="7" t="s">
        <v>31</v>
      </c>
      <c r="E2243" s="7" t="s">
        <v>35</v>
      </c>
      <c r="F2243" s="8">
        <v>2.0</v>
      </c>
      <c r="G2243" s="9">
        <v>1.0</v>
      </c>
    </row>
    <row r="2244" ht="14.25" hidden="1" customHeight="1">
      <c r="B2244" s="7" t="s">
        <v>18</v>
      </c>
      <c r="C2244" s="7" t="s">
        <v>7</v>
      </c>
      <c r="D2244" s="7" t="s">
        <v>31</v>
      </c>
      <c r="E2244" s="7" t="s">
        <v>9</v>
      </c>
      <c r="F2244" s="8">
        <v>2.0</v>
      </c>
      <c r="G2244" s="9">
        <v>2.0</v>
      </c>
    </row>
    <row r="2245" ht="14.25" hidden="1" customHeight="1">
      <c r="B2245" s="7" t="s">
        <v>18</v>
      </c>
      <c r="C2245" s="7" t="s">
        <v>29</v>
      </c>
      <c r="D2245" s="7" t="s">
        <v>31</v>
      </c>
      <c r="E2245" s="7" t="s">
        <v>10</v>
      </c>
      <c r="F2245" s="8">
        <v>2.0</v>
      </c>
      <c r="G2245" s="9">
        <v>2.0</v>
      </c>
    </row>
    <row r="2246" ht="14.25" hidden="1" customHeight="1">
      <c r="B2246" s="7" t="s">
        <v>18</v>
      </c>
      <c r="C2246" s="7" t="s">
        <v>7</v>
      </c>
      <c r="D2246" s="7" t="s">
        <v>31</v>
      </c>
      <c r="E2246" s="7" t="s">
        <v>10</v>
      </c>
      <c r="F2246" s="8">
        <v>2.0</v>
      </c>
      <c r="G2246" s="9">
        <v>1.0</v>
      </c>
    </row>
    <row r="2247" ht="14.25" hidden="1" customHeight="1">
      <c r="B2247" s="7" t="s">
        <v>18</v>
      </c>
      <c r="C2247" s="7" t="s">
        <v>7</v>
      </c>
      <c r="D2247" s="7" t="s">
        <v>31</v>
      </c>
      <c r="E2247" s="7" t="s">
        <v>10</v>
      </c>
      <c r="F2247" s="8">
        <v>2.0</v>
      </c>
      <c r="G2247" s="9">
        <v>1.0</v>
      </c>
    </row>
    <row r="2248" ht="14.25" hidden="1" customHeight="1">
      <c r="B2248" s="7" t="s">
        <v>18</v>
      </c>
      <c r="C2248" s="7" t="s">
        <v>7</v>
      </c>
      <c r="D2248" s="7" t="s">
        <v>31</v>
      </c>
      <c r="E2248" s="7" t="s">
        <v>10</v>
      </c>
      <c r="F2248" s="8">
        <v>2.0</v>
      </c>
      <c r="G2248" s="9">
        <v>1.0</v>
      </c>
    </row>
    <row r="2249" ht="14.25" hidden="1" customHeight="1">
      <c r="B2249" s="7" t="s">
        <v>18</v>
      </c>
      <c r="C2249" s="7" t="s">
        <v>7</v>
      </c>
      <c r="D2249" s="7" t="s">
        <v>31</v>
      </c>
      <c r="E2249" s="7" t="s">
        <v>31</v>
      </c>
      <c r="F2249" s="8">
        <v>2.0</v>
      </c>
      <c r="G2249" s="9">
        <v>1.0</v>
      </c>
    </row>
    <row r="2250" ht="14.25" hidden="1" customHeight="1">
      <c r="B2250" s="7" t="s">
        <v>18</v>
      </c>
      <c r="C2250" s="7" t="s">
        <v>7</v>
      </c>
      <c r="D2250" s="7" t="s">
        <v>31</v>
      </c>
      <c r="E2250" s="7" t="s">
        <v>8</v>
      </c>
      <c r="F2250" s="8">
        <v>2.0</v>
      </c>
      <c r="G2250" s="9">
        <v>1.0</v>
      </c>
    </row>
    <row r="2251" ht="14.25" hidden="1" customHeight="1">
      <c r="B2251" s="7" t="s">
        <v>18</v>
      </c>
      <c r="C2251" s="7" t="s">
        <v>7</v>
      </c>
      <c r="D2251" s="7" t="s">
        <v>8</v>
      </c>
      <c r="E2251" s="7" t="s">
        <v>25</v>
      </c>
      <c r="F2251" s="8">
        <v>2.0</v>
      </c>
      <c r="G2251" s="9">
        <v>1.0</v>
      </c>
    </row>
    <row r="2252" ht="14.25" hidden="1" customHeight="1">
      <c r="B2252" s="7" t="s">
        <v>18</v>
      </c>
      <c r="C2252" s="7" t="s">
        <v>30</v>
      </c>
      <c r="D2252" s="7" t="s">
        <v>8</v>
      </c>
      <c r="E2252" s="7" t="s">
        <v>35</v>
      </c>
      <c r="F2252" s="8">
        <v>2.0</v>
      </c>
      <c r="G2252" s="9">
        <v>1.0</v>
      </c>
    </row>
    <row r="2253" ht="14.25" hidden="1" customHeight="1">
      <c r="B2253" s="7" t="s">
        <v>18</v>
      </c>
      <c r="C2253" s="7" t="s">
        <v>7</v>
      </c>
      <c r="D2253" s="7" t="s">
        <v>8</v>
      </c>
      <c r="E2253" s="7" t="s">
        <v>9</v>
      </c>
      <c r="F2253" s="8">
        <v>2.0</v>
      </c>
      <c r="G2253" s="9">
        <v>1.0</v>
      </c>
    </row>
    <row r="2254" ht="14.25" hidden="1" customHeight="1">
      <c r="B2254" s="7" t="s">
        <v>18</v>
      </c>
      <c r="C2254" s="7" t="s">
        <v>7</v>
      </c>
      <c r="D2254" s="7" t="s">
        <v>8</v>
      </c>
      <c r="E2254" s="7" t="s">
        <v>9</v>
      </c>
      <c r="F2254" s="8">
        <v>2.0</v>
      </c>
      <c r="G2254" s="9">
        <v>1.0</v>
      </c>
    </row>
    <row r="2255" ht="14.25" hidden="1" customHeight="1">
      <c r="B2255" s="7" t="s">
        <v>18</v>
      </c>
      <c r="C2255" s="7" t="s">
        <v>29</v>
      </c>
      <c r="D2255" s="7" t="s">
        <v>8</v>
      </c>
      <c r="E2255" s="7" t="s">
        <v>10</v>
      </c>
      <c r="F2255" s="8">
        <v>2.0</v>
      </c>
      <c r="G2255" s="9">
        <v>2.0</v>
      </c>
    </row>
    <row r="2256" ht="14.25" hidden="1" customHeight="1">
      <c r="B2256" s="7" t="s">
        <v>18</v>
      </c>
      <c r="C2256" s="7" t="s">
        <v>29</v>
      </c>
      <c r="D2256" s="7" t="s">
        <v>25</v>
      </c>
      <c r="E2256" s="7" t="s">
        <v>33</v>
      </c>
      <c r="F2256" s="8">
        <v>1.0</v>
      </c>
      <c r="G2256" s="9">
        <v>1.0</v>
      </c>
    </row>
    <row r="2257" ht="14.25" hidden="1" customHeight="1">
      <c r="B2257" s="7" t="s">
        <v>18</v>
      </c>
      <c r="C2257" s="7" t="s">
        <v>29</v>
      </c>
      <c r="D2257" s="7" t="s">
        <v>25</v>
      </c>
      <c r="E2257" s="7" t="s">
        <v>31</v>
      </c>
      <c r="F2257" s="8">
        <v>1.0</v>
      </c>
      <c r="G2257" s="9">
        <v>1.0</v>
      </c>
    </row>
    <row r="2258" ht="14.25" hidden="1" customHeight="1">
      <c r="B2258" s="7" t="s">
        <v>18</v>
      </c>
      <c r="C2258" s="7" t="s">
        <v>29</v>
      </c>
      <c r="D2258" s="7" t="s">
        <v>25</v>
      </c>
      <c r="E2258" s="7" t="s">
        <v>8</v>
      </c>
      <c r="F2258" s="8">
        <v>1.0</v>
      </c>
      <c r="G2258" s="9">
        <v>1.0</v>
      </c>
    </row>
    <row r="2259" ht="14.25" hidden="1" customHeight="1">
      <c r="B2259" s="7" t="s">
        <v>18</v>
      </c>
      <c r="C2259" s="7" t="s">
        <v>29</v>
      </c>
      <c r="D2259" s="7" t="s">
        <v>25</v>
      </c>
      <c r="E2259" s="7" t="s">
        <v>8</v>
      </c>
      <c r="F2259" s="8">
        <v>1.0</v>
      </c>
      <c r="G2259" s="9">
        <v>1.0</v>
      </c>
    </row>
    <row r="2260" ht="14.25" hidden="1" customHeight="1">
      <c r="B2260" s="7" t="s">
        <v>18</v>
      </c>
      <c r="C2260" s="7" t="s">
        <v>29</v>
      </c>
      <c r="D2260" s="7" t="s">
        <v>33</v>
      </c>
      <c r="E2260" s="7" t="s">
        <v>24</v>
      </c>
      <c r="F2260" s="8">
        <v>1.0</v>
      </c>
      <c r="G2260" s="9">
        <v>1.0</v>
      </c>
    </row>
    <row r="2261" ht="14.25" hidden="1" customHeight="1">
      <c r="B2261" s="7" t="s">
        <v>18</v>
      </c>
      <c r="C2261" s="7" t="s">
        <v>29</v>
      </c>
      <c r="D2261" s="7" t="s">
        <v>28</v>
      </c>
      <c r="E2261" s="7" t="s">
        <v>35</v>
      </c>
      <c r="F2261" s="8">
        <v>1.0</v>
      </c>
      <c r="G2261" s="9">
        <v>1.0</v>
      </c>
    </row>
    <row r="2262" ht="14.25" hidden="1" customHeight="1">
      <c r="B2262" s="7" t="s">
        <v>18</v>
      </c>
      <c r="C2262" s="7" t="s">
        <v>29</v>
      </c>
      <c r="D2262" s="7" t="s">
        <v>28</v>
      </c>
      <c r="E2262" s="7" t="s">
        <v>32</v>
      </c>
      <c r="F2262" s="8">
        <v>1.0</v>
      </c>
      <c r="G2262" s="9">
        <v>1.0</v>
      </c>
    </row>
    <row r="2263" ht="14.25" hidden="1" customHeight="1">
      <c r="B2263" s="7" t="s">
        <v>18</v>
      </c>
      <c r="C2263" s="7" t="s">
        <v>29</v>
      </c>
      <c r="D2263" s="7" t="s">
        <v>28</v>
      </c>
      <c r="E2263" s="7" t="s">
        <v>8</v>
      </c>
      <c r="F2263" s="8">
        <v>1.0</v>
      </c>
      <c r="G2263" s="9">
        <v>1.0</v>
      </c>
    </row>
    <row r="2264" ht="14.25" hidden="1" customHeight="1">
      <c r="B2264" s="7" t="s">
        <v>18</v>
      </c>
      <c r="C2264" s="7" t="s">
        <v>29</v>
      </c>
      <c r="D2264" s="7" t="s">
        <v>11</v>
      </c>
      <c r="E2264" s="7" t="s">
        <v>8</v>
      </c>
      <c r="F2264" s="8">
        <v>1.0</v>
      </c>
      <c r="G2264" s="9">
        <v>1.0</v>
      </c>
    </row>
    <row r="2265" ht="14.25" hidden="1" customHeight="1">
      <c r="B2265" s="7" t="s">
        <v>18</v>
      </c>
      <c r="C2265" s="7" t="s">
        <v>29</v>
      </c>
      <c r="D2265" s="7" t="s">
        <v>11</v>
      </c>
      <c r="E2265" s="7" t="s">
        <v>8</v>
      </c>
      <c r="F2265" s="8">
        <v>1.0</v>
      </c>
      <c r="G2265" s="9">
        <v>1.0</v>
      </c>
    </row>
    <row r="2266" ht="14.25" hidden="1" customHeight="1">
      <c r="B2266" s="7" t="s">
        <v>18</v>
      </c>
      <c r="C2266" s="7" t="s">
        <v>29</v>
      </c>
      <c r="D2266" s="7" t="s">
        <v>35</v>
      </c>
      <c r="E2266" s="7" t="s">
        <v>28</v>
      </c>
      <c r="F2266" s="8">
        <v>1.0</v>
      </c>
      <c r="G2266" s="9">
        <v>1.0</v>
      </c>
    </row>
    <row r="2267" ht="14.25" hidden="1" customHeight="1">
      <c r="B2267" s="7" t="s">
        <v>18</v>
      </c>
      <c r="C2267" s="7" t="s">
        <v>29</v>
      </c>
      <c r="D2267" s="7" t="s">
        <v>9</v>
      </c>
      <c r="E2267" s="7" t="s">
        <v>32</v>
      </c>
      <c r="F2267" s="8">
        <v>1.0</v>
      </c>
      <c r="G2267" s="9">
        <v>1.0</v>
      </c>
    </row>
    <row r="2268" ht="14.25" hidden="1" customHeight="1">
      <c r="B2268" s="7" t="s">
        <v>18</v>
      </c>
      <c r="C2268" s="7" t="s">
        <v>29</v>
      </c>
      <c r="D2268" s="7" t="s">
        <v>9</v>
      </c>
      <c r="E2268" s="7" t="s">
        <v>31</v>
      </c>
      <c r="F2268" s="8">
        <v>1.0</v>
      </c>
      <c r="G2268" s="9">
        <v>1.0</v>
      </c>
    </row>
    <row r="2269" ht="14.25" hidden="1" customHeight="1">
      <c r="B2269" s="7" t="s">
        <v>18</v>
      </c>
      <c r="C2269" s="7" t="s">
        <v>29</v>
      </c>
      <c r="D2269" s="7" t="s">
        <v>24</v>
      </c>
      <c r="E2269" s="7" t="s">
        <v>33</v>
      </c>
      <c r="F2269" s="8">
        <v>1.0</v>
      </c>
      <c r="G2269" s="9">
        <v>1.0</v>
      </c>
    </row>
    <row r="2270" ht="14.25" hidden="1" customHeight="1">
      <c r="B2270" s="7" t="s">
        <v>18</v>
      </c>
      <c r="C2270" s="7" t="s">
        <v>29</v>
      </c>
      <c r="D2270" s="7" t="s">
        <v>10</v>
      </c>
      <c r="E2270" s="7" t="s">
        <v>33</v>
      </c>
      <c r="F2270" s="8">
        <v>1.0</v>
      </c>
      <c r="G2270" s="9">
        <v>1.0</v>
      </c>
    </row>
    <row r="2271" ht="14.25" hidden="1" customHeight="1">
      <c r="B2271" s="7" t="s">
        <v>18</v>
      </c>
      <c r="C2271" s="7" t="s">
        <v>29</v>
      </c>
      <c r="D2271" s="7" t="s">
        <v>10</v>
      </c>
      <c r="E2271" s="7" t="s">
        <v>9</v>
      </c>
      <c r="F2271" s="8">
        <v>1.0</v>
      </c>
      <c r="G2271" s="9">
        <v>1.0</v>
      </c>
    </row>
    <row r="2272" ht="14.25" hidden="1" customHeight="1">
      <c r="B2272" s="7" t="s">
        <v>18</v>
      </c>
      <c r="C2272" s="7" t="s">
        <v>36</v>
      </c>
      <c r="D2272" s="7" t="s">
        <v>10</v>
      </c>
      <c r="E2272" s="7" t="s">
        <v>24</v>
      </c>
      <c r="F2272" s="8">
        <v>1.0</v>
      </c>
      <c r="G2272" s="9">
        <v>1.0</v>
      </c>
    </row>
    <row r="2273" ht="14.25" hidden="1" customHeight="1">
      <c r="B2273" s="7" t="s">
        <v>18</v>
      </c>
      <c r="C2273" s="7" t="s">
        <v>29</v>
      </c>
      <c r="D2273" s="7" t="s">
        <v>10</v>
      </c>
      <c r="E2273" s="7" t="s">
        <v>31</v>
      </c>
      <c r="F2273" s="8">
        <v>1.0</v>
      </c>
      <c r="G2273" s="9">
        <v>1.0</v>
      </c>
    </row>
    <row r="2274" ht="14.25" hidden="1" customHeight="1">
      <c r="B2274" s="7" t="s">
        <v>18</v>
      </c>
      <c r="C2274" s="7" t="s">
        <v>29</v>
      </c>
      <c r="D2274" s="7" t="s">
        <v>10</v>
      </c>
      <c r="E2274" s="7" t="s">
        <v>31</v>
      </c>
      <c r="F2274" s="8">
        <v>1.0</v>
      </c>
      <c r="G2274" s="9">
        <v>1.0</v>
      </c>
    </row>
    <row r="2275" ht="14.25" hidden="1" customHeight="1">
      <c r="B2275" s="7" t="s">
        <v>18</v>
      </c>
      <c r="C2275" s="7" t="s">
        <v>36</v>
      </c>
      <c r="D2275" s="7" t="s">
        <v>10</v>
      </c>
      <c r="E2275" s="7" t="s">
        <v>31</v>
      </c>
      <c r="F2275" s="8">
        <v>1.0</v>
      </c>
      <c r="G2275" s="9">
        <v>1.0</v>
      </c>
    </row>
    <row r="2276" ht="14.25" hidden="1" customHeight="1">
      <c r="B2276" s="7" t="s">
        <v>18</v>
      </c>
      <c r="C2276" s="7" t="s">
        <v>29</v>
      </c>
      <c r="D2276" s="7" t="s">
        <v>10</v>
      </c>
      <c r="E2276" s="7" t="s">
        <v>8</v>
      </c>
      <c r="F2276" s="8">
        <v>1.0</v>
      </c>
      <c r="G2276" s="9">
        <v>1.0</v>
      </c>
    </row>
    <row r="2277" ht="14.25" hidden="1" customHeight="1">
      <c r="B2277" s="7" t="s">
        <v>18</v>
      </c>
      <c r="C2277" s="7" t="s">
        <v>29</v>
      </c>
      <c r="D2277" s="7" t="s">
        <v>32</v>
      </c>
      <c r="E2277" s="7" t="s">
        <v>25</v>
      </c>
      <c r="F2277" s="8">
        <v>1.0</v>
      </c>
      <c r="G2277" s="9">
        <v>1.0</v>
      </c>
    </row>
    <row r="2278" ht="14.25" hidden="1" customHeight="1">
      <c r="B2278" s="7" t="s">
        <v>18</v>
      </c>
      <c r="C2278" s="7" t="s">
        <v>29</v>
      </c>
      <c r="D2278" s="7" t="s">
        <v>31</v>
      </c>
      <c r="E2278" s="7" t="s">
        <v>33</v>
      </c>
      <c r="F2278" s="8">
        <v>1.0</v>
      </c>
      <c r="G2278" s="9">
        <v>1.0</v>
      </c>
    </row>
    <row r="2279" ht="14.25" hidden="1" customHeight="1">
      <c r="B2279" s="7" t="s">
        <v>18</v>
      </c>
      <c r="C2279" s="7" t="s">
        <v>29</v>
      </c>
      <c r="D2279" s="7" t="s">
        <v>31</v>
      </c>
      <c r="E2279" s="7" t="s">
        <v>35</v>
      </c>
      <c r="F2279" s="8">
        <v>1.0</v>
      </c>
      <c r="G2279" s="9">
        <v>1.0</v>
      </c>
    </row>
    <row r="2280" ht="14.25" hidden="1" customHeight="1">
      <c r="B2280" s="7" t="s">
        <v>18</v>
      </c>
      <c r="C2280" s="7" t="s">
        <v>36</v>
      </c>
      <c r="D2280" s="7" t="s">
        <v>31</v>
      </c>
      <c r="E2280" s="7" t="s">
        <v>9</v>
      </c>
      <c r="F2280" s="8">
        <v>1.0</v>
      </c>
      <c r="G2280" s="9">
        <v>1.0</v>
      </c>
    </row>
    <row r="2281" ht="14.25" hidden="1" customHeight="1">
      <c r="B2281" s="7" t="s">
        <v>18</v>
      </c>
      <c r="C2281" s="7" t="s">
        <v>36</v>
      </c>
      <c r="D2281" s="7" t="s">
        <v>8</v>
      </c>
      <c r="E2281" s="7" t="s">
        <v>9</v>
      </c>
      <c r="F2281" s="8">
        <v>1.0</v>
      </c>
      <c r="G2281" s="9">
        <v>1.0</v>
      </c>
    </row>
    <row r="2282" ht="14.25" hidden="1" customHeight="1">
      <c r="B2282" s="7" t="s">
        <v>18</v>
      </c>
      <c r="C2282" s="7" t="s">
        <v>29</v>
      </c>
      <c r="D2282" s="7" t="s">
        <v>8</v>
      </c>
      <c r="E2282" s="7" t="s">
        <v>10</v>
      </c>
      <c r="F2282" s="8">
        <v>1.0</v>
      </c>
      <c r="G2282" s="9">
        <v>1.0</v>
      </c>
    </row>
    <row r="2283" ht="14.25" hidden="1" customHeight="1">
      <c r="B2283" s="7" t="s">
        <v>17</v>
      </c>
      <c r="C2283" s="7" t="s">
        <v>7</v>
      </c>
      <c r="D2283" s="7" t="s">
        <v>25</v>
      </c>
      <c r="E2283" s="7" t="s">
        <v>8</v>
      </c>
      <c r="F2283" s="8">
        <v>5172.0</v>
      </c>
      <c r="G2283" s="9">
        <v>2586.0</v>
      </c>
    </row>
    <row r="2284" ht="14.25" hidden="1" customHeight="1">
      <c r="B2284" s="7" t="s">
        <v>17</v>
      </c>
      <c r="C2284" s="7" t="s">
        <v>7</v>
      </c>
      <c r="D2284" s="7" t="s">
        <v>8</v>
      </c>
      <c r="E2284" s="7" t="s">
        <v>9</v>
      </c>
      <c r="F2284" s="8">
        <v>4632.0</v>
      </c>
      <c r="G2284" s="9">
        <v>2316.0</v>
      </c>
    </row>
    <row r="2285" ht="14.25" hidden="1" customHeight="1">
      <c r="B2285" s="7" t="s">
        <v>17</v>
      </c>
      <c r="C2285" s="7" t="s">
        <v>7</v>
      </c>
      <c r="D2285" s="7" t="s">
        <v>25</v>
      </c>
      <c r="E2285" s="7" t="s">
        <v>8</v>
      </c>
      <c r="F2285" s="8">
        <v>3578.0</v>
      </c>
      <c r="G2285" s="9">
        <v>1789.0</v>
      </c>
    </row>
    <row r="2286" ht="14.25" hidden="1" customHeight="1">
      <c r="B2286" s="7" t="s">
        <v>17</v>
      </c>
      <c r="C2286" s="7" t="s">
        <v>29</v>
      </c>
      <c r="D2286" s="7" t="s">
        <v>11</v>
      </c>
      <c r="E2286" s="7" t="s">
        <v>10</v>
      </c>
      <c r="F2286" s="8">
        <v>3448.0</v>
      </c>
      <c r="G2286" s="9">
        <v>3448.0</v>
      </c>
    </row>
    <row r="2287" ht="14.25" hidden="1" customHeight="1">
      <c r="B2287" s="7" t="s">
        <v>17</v>
      </c>
      <c r="C2287" s="7" t="s">
        <v>7</v>
      </c>
      <c r="D2287" s="7" t="s">
        <v>8</v>
      </c>
      <c r="E2287" s="7" t="s">
        <v>24</v>
      </c>
      <c r="F2287" s="8">
        <v>2978.0</v>
      </c>
      <c r="G2287" s="9">
        <v>1489.0</v>
      </c>
    </row>
    <row r="2288" ht="14.25" hidden="1" customHeight="1">
      <c r="B2288" s="7" t="s">
        <v>17</v>
      </c>
      <c r="C2288" s="7" t="s">
        <v>7</v>
      </c>
      <c r="D2288" s="7" t="s">
        <v>8</v>
      </c>
      <c r="E2288" s="7" t="s">
        <v>25</v>
      </c>
      <c r="F2288" s="8">
        <v>2872.0</v>
      </c>
      <c r="G2288" s="9">
        <v>1436.0</v>
      </c>
    </row>
    <row r="2289" ht="14.25" hidden="1" customHeight="1">
      <c r="B2289" s="7" t="s">
        <v>17</v>
      </c>
      <c r="C2289" s="7" t="s">
        <v>7</v>
      </c>
      <c r="D2289" s="7" t="s">
        <v>8</v>
      </c>
      <c r="E2289" s="7" t="s">
        <v>28</v>
      </c>
      <c r="F2289" s="8">
        <v>2622.0</v>
      </c>
      <c r="G2289" s="9">
        <v>1311.0</v>
      </c>
    </row>
    <row r="2290" ht="14.25" hidden="1" customHeight="1">
      <c r="B2290" s="7" t="s">
        <v>17</v>
      </c>
      <c r="C2290" s="7" t="s">
        <v>7</v>
      </c>
      <c r="D2290" s="7" t="s">
        <v>9</v>
      </c>
      <c r="E2290" s="7" t="s">
        <v>25</v>
      </c>
      <c r="F2290" s="8">
        <v>2608.0</v>
      </c>
      <c r="G2290" s="9">
        <v>1304.0</v>
      </c>
    </row>
    <row r="2291" ht="14.25" hidden="1" customHeight="1">
      <c r="B2291" s="7" t="s">
        <v>17</v>
      </c>
      <c r="C2291" s="7" t="s">
        <v>7</v>
      </c>
      <c r="D2291" s="7" t="s">
        <v>10</v>
      </c>
      <c r="E2291" s="7" t="s">
        <v>11</v>
      </c>
      <c r="F2291" s="8">
        <v>2162.0</v>
      </c>
      <c r="G2291" s="9">
        <v>1081.0</v>
      </c>
    </row>
    <row r="2292" ht="14.25" hidden="1" customHeight="1">
      <c r="B2292" s="7" t="s">
        <v>17</v>
      </c>
      <c r="C2292" s="7" t="s">
        <v>7</v>
      </c>
      <c r="D2292" s="7" t="s">
        <v>31</v>
      </c>
      <c r="E2292" s="7" t="s">
        <v>9</v>
      </c>
      <c r="F2292" s="8">
        <v>1860.0</v>
      </c>
      <c r="G2292" s="9">
        <v>930.0</v>
      </c>
    </row>
    <row r="2293" ht="14.25" hidden="1" customHeight="1">
      <c r="B2293" s="7" t="s">
        <v>17</v>
      </c>
      <c r="C2293" s="7" t="s">
        <v>7</v>
      </c>
      <c r="D2293" s="7" t="s">
        <v>8</v>
      </c>
      <c r="E2293" s="7" t="s">
        <v>11</v>
      </c>
      <c r="F2293" s="8">
        <v>1850.0</v>
      </c>
      <c r="G2293" s="9">
        <v>925.0</v>
      </c>
    </row>
    <row r="2294" ht="14.25" hidden="1" customHeight="1">
      <c r="B2294" s="7" t="s">
        <v>17</v>
      </c>
      <c r="C2294" s="7" t="s">
        <v>7</v>
      </c>
      <c r="D2294" s="7" t="s">
        <v>28</v>
      </c>
      <c r="E2294" s="7" t="s">
        <v>25</v>
      </c>
      <c r="F2294" s="8">
        <v>1764.0</v>
      </c>
      <c r="G2294" s="9">
        <v>882.0</v>
      </c>
    </row>
    <row r="2295" ht="14.25" hidden="1" customHeight="1">
      <c r="B2295" s="7" t="s">
        <v>17</v>
      </c>
      <c r="C2295" s="7" t="s">
        <v>7</v>
      </c>
      <c r="D2295" s="7" t="s">
        <v>31</v>
      </c>
      <c r="E2295" s="7" t="s">
        <v>28</v>
      </c>
      <c r="F2295" s="8">
        <v>1718.0</v>
      </c>
      <c r="G2295" s="9">
        <v>859.0</v>
      </c>
    </row>
    <row r="2296" ht="14.25" hidden="1" customHeight="1">
      <c r="B2296" s="7" t="s">
        <v>17</v>
      </c>
      <c r="C2296" s="7" t="s">
        <v>7</v>
      </c>
      <c r="D2296" s="7" t="s">
        <v>31</v>
      </c>
      <c r="E2296" s="7" t="s">
        <v>25</v>
      </c>
      <c r="F2296" s="8">
        <v>1694.0</v>
      </c>
      <c r="G2296" s="9">
        <v>847.0</v>
      </c>
    </row>
    <row r="2297" ht="14.25" hidden="1" customHeight="1">
      <c r="B2297" s="7" t="s">
        <v>17</v>
      </c>
      <c r="C2297" s="7" t="s">
        <v>7</v>
      </c>
      <c r="D2297" s="7" t="s">
        <v>33</v>
      </c>
      <c r="E2297" s="7" t="s">
        <v>8</v>
      </c>
      <c r="F2297" s="8">
        <v>1534.0</v>
      </c>
      <c r="G2297" s="9">
        <v>767.0</v>
      </c>
    </row>
    <row r="2298" ht="14.25" hidden="1" customHeight="1">
      <c r="B2298" s="7" t="s">
        <v>17</v>
      </c>
      <c r="C2298" s="7" t="s">
        <v>7</v>
      </c>
      <c r="D2298" s="7" t="s">
        <v>31</v>
      </c>
      <c r="E2298" s="7" t="s">
        <v>9</v>
      </c>
      <c r="F2298" s="8">
        <v>1480.0</v>
      </c>
      <c r="G2298" s="9">
        <v>740.0</v>
      </c>
    </row>
    <row r="2299" ht="14.25" hidden="1" customHeight="1">
      <c r="B2299" s="7" t="s">
        <v>17</v>
      </c>
      <c r="C2299" s="7" t="s">
        <v>7</v>
      </c>
      <c r="D2299" s="7" t="s">
        <v>9</v>
      </c>
      <c r="E2299" s="7" t="s">
        <v>8</v>
      </c>
      <c r="F2299" s="8">
        <v>1448.0</v>
      </c>
      <c r="G2299" s="9">
        <v>724.0</v>
      </c>
    </row>
    <row r="2300" ht="14.25" hidden="1" customHeight="1">
      <c r="B2300" s="7" t="s">
        <v>17</v>
      </c>
      <c r="C2300" s="7" t="s">
        <v>30</v>
      </c>
      <c r="D2300" s="7" t="s">
        <v>31</v>
      </c>
      <c r="E2300" s="7" t="s">
        <v>9</v>
      </c>
      <c r="F2300" s="8">
        <v>1164.0</v>
      </c>
      <c r="G2300" s="9">
        <v>582.0</v>
      </c>
    </row>
    <row r="2301" ht="14.25" hidden="1" customHeight="1">
      <c r="B2301" s="7" t="s">
        <v>17</v>
      </c>
      <c r="C2301" s="7" t="s">
        <v>29</v>
      </c>
      <c r="D2301" s="7" t="s">
        <v>31</v>
      </c>
      <c r="E2301" s="7" t="s">
        <v>28</v>
      </c>
      <c r="F2301" s="8">
        <v>1105.0</v>
      </c>
      <c r="G2301" s="9">
        <v>1105.0</v>
      </c>
    </row>
    <row r="2302" ht="14.25" hidden="1" customHeight="1">
      <c r="B2302" s="7" t="s">
        <v>17</v>
      </c>
      <c r="C2302" s="7" t="s">
        <v>30</v>
      </c>
      <c r="D2302" s="7" t="s">
        <v>31</v>
      </c>
      <c r="E2302" s="7" t="s">
        <v>25</v>
      </c>
      <c r="F2302" s="8">
        <v>1078.0</v>
      </c>
      <c r="G2302" s="9">
        <v>539.0</v>
      </c>
    </row>
    <row r="2303" ht="14.25" hidden="1" customHeight="1">
      <c r="B2303" s="7" t="s">
        <v>17</v>
      </c>
      <c r="C2303" s="7" t="s">
        <v>7</v>
      </c>
      <c r="D2303" s="7" t="s">
        <v>33</v>
      </c>
      <c r="E2303" s="7" t="s">
        <v>8</v>
      </c>
      <c r="F2303" s="8">
        <v>1052.0</v>
      </c>
      <c r="G2303" s="9">
        <v>526.0</v>
      </c>
    </row>
    <row r="2304" ht="14.25" hidden="1" customHeight="1">
      <c r="B2304" s="7" t="s">
        <v>17</v>
      </c>
      <c r="C2304" s="7" t="s">
        <v>7</v>
      </c>
      <c r="D2304" s="7" t="s">
        <v>9</v>
      </c>
      <c r="E2304" s="7" t="s">
        <v>28</v>
      </c>
      <c r="F2304" s="8">
        <v>972.0</v>
      </c>
      <c r="G2304" s="9">
        <v>486.0</v>
      </c>
    </row>
    <row r="2305" ht="14.25" hidden="1" customHeight="1">
      <c r="B2305" s="7" t="s">
        <v>17</v>
      </c>
      <c r="C2305" s="7" t="s">
        <v>29</v>
      </c>
      <c r="D2305" s="7" t="s">
        <v>31</v>
      </c>
      <c r="E2305" s="7" t="s">
        <v>9</v>
      </c>
      <c r="F2305" s="8">
        <v>972.0</v>
      </c>
      <c r="G2305" s="9">
        <v>972.0</v>
      </c>
    </row>
    <row r="2306" ht="14.25" hidden="1" customHeight="1">
      <c r="B2306" s="7" t="s">
        <v>17</v>
      </c>
      <c r="C2306" s="7" t="s">
        <v>7</v>
      </c>
      <c r="D2306" s="7" t="s">
        <v>28</v>
      </c>
      <c r="E2306" s="7" t="s">
        <v>8</v>
      </c>
      <c r="F2306" s="8">
        <v>948.0</v>
      </c>
      <c r="G2306" s="9">
        <v>474.0</v>
      </c>
    </row>
    <row r="2307" ht="14.25" hidden="1" customHeight="1">
      <c r="B2307" s="7" t="s">
        <v>17</v>
      </c>
      <c r="C2307" s="7" t="s">
        <v>7</v>
      </c>
      <c r="D2307" s="7" t="s">
        <v>10</v>
      </c>
      <c r="E2307" s="7" t="s">
        <v>9</v>
      </c>
      <c r="F2307" s="8">
        <v>934.0</v>
      </c>
      <c r="G2307" s="9">
        <v>467.0</v>
      </c>
    </row>
    <row r="2308" ht="14.25" hidden="1" customHeight="1">
      <c r="B2308" s="7" t="s">
        <v>17</v>
      </c>
      <c r="C2308" s="7" t="s">
        <v>7</v>
      </c>
      <c r="D2308" s="7" t="s">
        <v>25</v>
      </c>
      <c r="E2308" s="7" t="s">
        <v>9</v>
      </c>
      <c r="F2308" s="8">
        <v>922.0</v>
      </c>
      <c r="G2308" s="9">
        <v>461.0</v>
      </c>
    </row>
    <row r="2309" ht="14.25" hidden="1" customHeight="1">
      <c r="B2309" s="7" t="s">
        <v>17</v>
      </c>
      <c r="C2309" s="7" t="s">
        <v>7</v>
      </c>
      <c r="D2309" s="7" t="s">
        <v>32</v>
      </c>
      <c r="E2309" s="7" t="s">
        <v>28</v>
      </c>
      <c r="F2309" s="8">
        <v>910.0</v>
      </c>
      <c r="G2309" s="9">
        <v>455.0</v>
      </c>
    </row>
    <row r="2310" ht="14.25" hidden="1" customHeight="1">
      <c r="B2310" s="7" t="s">
        <v>17</v>
      </c>
      <c r="C2310" s="7" t="s">
        <v>7</v>
      </c>
      <c r="D2310" s="7" t="s">
        <v>25</v>
      </c>
      <c r="E2310" s="7" t="s">
        <v>28</v>
      </c>
      <c r="F2310" s="8">
        <v>858.0</v>
      </c>
      <c r="G2310" s="9">
        <v>429.0</v>
      </c>
    </row>
    <row r="2311" ht="14.25" hidden="1" customHeight="1">
      <c r="B2311" s="7" t="s">
        <v>17</v>
      </c>
      <c r="C2311" s="7" t="s">
        <v>7</v>
      </c>
      <c r="D2311" s="7" t="s">
        <v>8</v>
      </c>
      <c r="E2311" s="7" t="s">
        <v>33</v>
      </c>
      <c r="F2311" s="8">
        <v>814.0</v>
      </c>
      <c r="G2311" s="9">
        <v>407.0</v>
      </c>
    </row>
    <row r="2312" ht="14.25" hidden="1" customHeight="1">
      <c r="B2312" s="7" t="s">
        <v>17</v>
      </c>
      <c r="C2312" s="7" t="s">
        <v>7</v>
      </c>
      <c r="D2312" s="7" t="s">
        <v>28</v>
      </c>
      <c r="E2312" s="7" t="s">
        <v>25</v>
      </c>
      <c r="F2312" s="8">
        <v>808.0</v>
      </c>
      <c r="G2312" s="9">
        <v>404.0</v>
      </c>
    </row>
    <row r="2313" ht="14.25" hidden="1" customHeight="1">
      <c r="B2313" s="7" t="s">
        <v>17</v>
      </c>
      <c r="C2313" s="7" t="s">
        <v>29</v>
      </c>
      <c r="D2313" s="7" t="s">
        <v>32</v>
      </c>
      <c r="E2313" s="7" t="s">
        <v>28</v>
      </c>
      <c r="F2313" s="8">
        <v>782.0</v>
      </c>
      <c r="G2313" s="9">
        <v>782.0</v>
      </c>
    </row>
    <row r="2314" ht="14.25" hidden="1" customHeight="1">
      <c r="B2314" s="7" t="s">
        <v>17</v>
      </c>
      <c r="C2314" s="7" t="s">
        <v>7</v>
      </c>
      <c r="D2314" s="7" t="s">
        <v>31</v>
      </c>
      <c r="E2314" s="7" t="s">
        <v>28</v>
      </c>
      <c r="F2314" s="8">
        <v>776.0</v>
      </c>
      <c r="G2314" s="9">
        <v>388.0</v>
      </c>
    </row>
    <row r="2315" ht="14.25" hidden="1" customHeight="1">
      <c r="B2315" s="7" t="s">
        <v>17</v>
      </c>
      <c r="C2315" s="7" t="s">
        <v>7</v>
      </c>
      <c r="D2315" s="7" t="s">
        <v>31</v>
      </c>
      <c r="E2315" s="7" t="s">
        <v>25</v>
      </c>
      <c r="F2315" s="8">
        <v>748.0</v>
      </c>
      <c r="G2315" s="9">
        <v>374.0</v>
      </c>
    </row>
    <row r="2316" ht="14.25" hidden="1" customHeight="1">
      <c r="B2316" s="7" t="s">
        <v>17</v>
      </c>
      <c r="C2316" s="7" t="s">
        <v>7</v>
      </c>
      <c r="D2316" s="7" t="s">
        <v>9</v>
      </c>
      <c r="E2316" s="7" t="s">
        <v>25</v>
      </c>
      <c r="F2316" s="8">
        <v>718.0</v>
      </c>
      <c r="G2316" s="9">
        <v>359.0</v>
      </c>
    </row>
    <row r="2317" ht="14.25" hidden="1" customHeight="1">
      <c r="B2317" s="7" t="s">
        <v>17</v>
      </c>
      <c r="C2317" s="7" t="s">
        <v>7</v>
      </c>
      <c r="D2317" s="7" t="s">
        <v>33</v>
      </c>
      <c r="E2317" s="7" t="s">
        <v>25</v>
      </c>
      <c r="F2317" s="8">
        <v>672.0</v>
      </c>
      <c r="G2317" s="9">
        <v>336.0</v>
      </c>
    </row>
    <row r="2318" ht="14.25" hidden="1" customHeight="1">
      <c r="B2318" s="7" t="s">
        <v>17</v>
      </c>
      <c r="C2318" s="7" t="s">
        <v>29</v>
      </c>
      <c r="D2318" s="7" t="s">
        <v>33</v>
      </c>
      <c r="E2318" s="7" t="s">
        <v>8</v>
      </c>
      <c r="F2318" s="8">
        <v>671.0</v>
      </c>
      <c r="G2318" s="9">
        <v>671.0</v>
      </c>
    </row>
    <row r="2319" ht="14.25" hidden="1" customHeight="1">
      <c r="B2319" s="7" t="s">
        <v>17</v>
      </c>
      <c r="C2319" s="7" t="s">
        <v>7</v>
      </c>
      <c r="D2319" s="7" t="s">
        <v>25</v>
      </c>
      <c r="E2319" s="7" t="s">
        <v>31</v>
      </c>
      <c r="F2319" s="8">
        <v>668.0</v>
      </c>
      <c r="G2319" s="9">
        <v>334.0</v>
      </c>
    </row>
    <row r="2320" ht="14.25" hidden="1" customHeight="1">
      <c r="B2320" s="7" t="s">
        <v>17</v>
      </c>
      <c r="C2320" s="7" t="s">
        <v>7</v>
      </c>
      <c r="D2320" s="7" t="s">
        <v>8</v>
      </c>
      <c r="E2320" s="7" t="s">
        <v>28</v>
      </c>
      <c r="F2320" s="8">
        <v>666.0</v>
      </c>
      <c r="G2320" s="9">
        <v>333.0</v>
      </c>
    </row>
    <row r="2321" ht="14.25" hidden="1" customHeight="1">
      <c r="B2321" s="7" t="s">
        <v>17</v>
      </c>
      <c r="C2321" s="7" t="s">
        <v>29</v>
      </c>
      <c r="D2321" s="7" t="s">
        <v>10</v>
      </c>
      <c r="E2321" s="7" t="s">
        <v>11</v>
      </c>
      <c r="F2321" s="8">
        <v>651.0</v>
      </c>
      <c r="G2321" s="9">
        <v>651.0</v>
      </c>
    </row>
    <row r="2322" ht="14.25" hidden="1" customHeight="1">
      <c r="B2322" s="7" t="s">
        <v>17</v>
      </c>
      <c r="C2322" s="7" t="s">
        <v>7</v>
      </c>
      <c r="D2322" s="7" t="s">
        <v>25</v>
      </c>
      <c r="E2322" s="7" t="s">
        <v>10</v>
      </c>
      <c r="F2322" s="8">
        <v>644.0</v>
      </c>
      <c r="G2322" s="9">
        <v>322.0</v>
      </c>
    </row>
    <row r="2323" ht="14.25" hidden="1" customHeight="1">
      <c r="B2323" s="7" t="s">
        <v>17</v>
      </c>
      <c r="C2323" s="7" t="s">
        <v>7</v>
      </c>
      <c r="D2323" s="7" t="s">
        <v>10</v>
      </c>
      <c r="E2323" s="7" t="s">
        <v>25</v>
      </c>
      <c r="F2323" s="8">
        <v>642.0</v>
      </c>
      <c r="G2323" s="9">
        <v>321.0</v>
      </c>
    </row>
    <row r="2324" ht="14.25" hidden="1" customHeight="1">
      <c r="B2324" s="7" t="s">
        <v>17</v>
      </c>
      <c r="C2324" s="7" t="s">
        <v>7</v>
      </c>
      <c r="D2324" s="7" t="s">
        <v>9</v>
      </c>
      <c r="E2324" s="7" t="s">
        <v>8</v>
      </c>
      <c r="F2324" s="8">
        <v>624.0</v>
      </c>
      <c r="G2324" s="9">
        <v>312.0</v>
      </c>
    </row>
    <row r="2325" ht="14.25" hidden="1" customHeight="1">
      <c r="B2325" s="7" t="s">
        <v>17</v>
      </c>
      <c r="C2325" s="7" t="s">
        <v>7</v>
      </c>
      <c r="D2325" s="7" t="s">
        <v>11</v>
      </c>
      <c r="E2325" s="7" t="s">
        <v>10</v>
      </c>
      <c r="F2325" s="8">
        <v>614.0</v>
      </c>
      <c r="G2325" s="9">
        <v>307.0</v>
      </c>
    </row>
    <row r="2326" ht="14.25" hidden="1" customHeight="1">
      <c r="B2326" s="7" t="s">
        <v>17</v>
      </c>
      <c r="C2326" s="7" t="s">
        <v>7</v>
      </c>
      <c r="D2326" s="7" t="s">
        <v>32</v>
      </c>
      <c r="E2326" s="7" t="s">
        <v>9</v>
      </c>
      <c r="F2326" s="8">
        <v>594.0</v>
      </c>
      <c r="G2326" s="9">
        <v>297.0</v>
      </c>
    </row>
    <row r="2327" ht="14.25" hidden="1" customHeight="1">
      <c r="B2327" s="7" t="s">
        <v>17</v>
      </c>
      <c r="C2327" s="7" t="s">
        <v>7</v>
      </c>
      <c r="D2327" s="7" t="s">
        <v>10</v>
      </c>
      <c r="E2327" s="7" t="s">
        <v>33</v>
      </c>
      <c r="F2327" s="8">
        <v>586.0</v>
      </c>
      <c r="G2327" s="9">
        <v>293.0</v>
      </c>
    </row>
    <row r="2328" ht="14.25" hidden="1" customHeight="1">
      <c r="B2328" s="7" t="s">
        <v>17</v>
      </c>
      <c r="C2328" s="7" t="s">
        <v>7</v>
      </c>
      <c r="D2328" s="7" t="s">
        <v>25</v>
      </c>
      <c r="E2328" s="7" t="s">
        <v>33</v>
      </c>
      <c r="F2328" s="8">
        <v>544.0</v>
      </c>
      <c r="G2328" s="9">
        <v>272.0</v>
      </c>
    </row>
    <row r="2329" ht="14.25" customHeight="1">
      <c r="B2329" s="7" t="s">
        <v>17</v>
      </c>
      <c r="C2329" s="7" t="s">
        <v>7</v>
      </c>
      <c r="D2329" s="7" t="s">
        <v>8</v>
      </c>
      <c r="E2329" s="7" t="s">
        <v>31</v>
      </c>
      <c r="F2329" s="8">
        <v>534.0</v>
      </c>
      <c r="G2329" s="9">
        <v>267.0</v>
      </c>
    </row>
    <row r="2330" ht="14.25" hidden="1" customHeight="1">
      <c r="B2330" s="7" t="s">
        <v>17</v>
      </c>
      <c r="C2330" s="7" t="s">
        <v>29</v>
      </c>
      <c r="D2330" s="7" t="s">
        <v>8</v>
      </c>
      <c r="E2330" s="7" t="s">
        <v>24</v>
      </c>
      <c r="F2330" s="8">
        <v>525.0</v>
      </c>
      <c r="G2330" s="9">
        <v>525.0</v>
      </c>
    </row>
    <row r="2331" ht="14.25" hidden="1" customHeight="1">
      <c r="B2331" s="7" t="s">
        <v>17</v>
      </c>
      <c r="C2331" s="7" t="s">
        <v>7</v>
      </c>
      <c r="D2331" s="7" t="s">
        <v>28</v>
      </c>
      <c r="E2331" s="7" t="s">
        <v>8</v>
      </c>
      <c r="F2331" s="8">
        <v>514.0</v>
      </c>
      <c r="G2331" s="9">
        <v>257.0</v>
      </c>
    </row>
    <row r="2332" ht="14.25" hidden="1" customHeight="1">
      <c r="B2332" s="7" t="s">
        <v>17</v>
      </c>
      <c r="C2332" s="7" t="s">
        <v>29</v>
      </c>
      <c r="D2332" s="7" t="s">
        <v>8</v>
      </c>
      <c r="E2332" s="7" t="s">
        <v>11</v>
      </c>
      <c r="F2332" s="8">
        <v>514.0</v>
      </c>
      <c r="G2332" s="9">
        <v>514.0</v>
      </c>
    </row>
    <row r="2333" ht="14.25" hidden="1" customHeight="1">
      <c r="B2333" s="7" t="s">
        <v>17</v>
      </c>
      <c r="C2333" s="7" t="s">
        <v>7</v>
      </c>
      <c r="D2333" s="7" t="s">
        <v>25</v>
      </c>
      <c r="E2333" s="7" t="s">
        <v>10</v>
      </c>
      <c r="F2333" s="8">
        <v>508.0</v>
      </c>
      <c r="G2333" s="9">
        <v>254.0</v>
      </c>
    </row>
    <row r="2334" ht="14.25" hidden="1" customHeight="1">
      <c r="B2334" s="7" t="s">
        <v>17</v>
      </c>
      <c r="C2334" s="7" t="s">
        <v>7</v>
      </c>
      <c r="D2334" s="7" t="s">
        <v>8</v>
      </c>
      <c r="E2334" s="7" t="s">
        <v>10</v>
      </c>
      <c r="F2334" s="8">
        <v>508.0</v>
      </c>
      <c r="G2334" s="9">
        <v>254.0</v>
      </c>
    </row>
    <row r="2335" ht="14.25" hidden="1" customHeight="1">
      <c r="B2335" s="7" t="s">
        <v>17</v>
      </c>
      <c r="C2335" s="7" t="s">
        <v>29</v>
      </c>
      <c r="D2335" s="7" t="s">
        <v>28</v>
      </c>
      <c r="E2335" s="7" t="s">
        <v>8</v>
      </c>
      <c r="F2335" s="8">
        <v>502.0</v>
      </c>
      <c r="G2335" s="9">
        <v>502.0</v>
      </c>
    </row>
    <row r="2336" ht="14.25" hidden="1" customHeight="1">
      <c r="B2336" s="7" t="s">
        <v>17</v>
      </c>
      <c r="C2336" s="7" t="s">
        <v>29</v>
      </c>
      <c r="D2336" s="7" t="s">
        <v>9</v>
      </c>
      <c r="E2336" s="7" t="s">
        <v>8</v>
      </c>
      <c r="F2336" s="8">
        <v>491.0</v>
      </c>
      <c r="G2336" s="9">
        <v>491.0</v>
      </c>
    </row>
    <row r="2337" ht="14.25" hidden="1" customHeight="1">
      <c r="B2337" s="7" t="s">
        <v>17</v>
      </c>
      <c r="C2337" s="7" t="s">
        <v>29</v>
      </c>
      <c r="D2337" s="7" t="s">
        <v>32</v>
      </c>
      <c r="E2337" s="7" t="s">
        <v>9</v>
      </c>
      <c r="F2337" s="8">
        <v>488.0</v>
      </c>
      <c r="G2337" s="9">
        <v>488.0</v>
      </c>
    </row>
    <row r="2338" ht="14.25" hidden="1" customHeight="1">
      <c r="B2338" s="7" t="s">
        <v>17</v>
      </c>
      <c r="C2338" s="7" t="s">
        <v>29</v>
      </c>
      <c r="D2338" s="7" t="s">
        <v>8</v>
      </c>
      <c r="E2338" s="7" t="s">
        <v>9</v>
      </c>
      <c r="F2338" s="8">
        <v>477.0</v>
      </c>
      <c r="G2338" s="9">
        <v>477.0</v>
      </c>
    </row>
    <row r="2339" ht="14.25" hidden="1" customHeight="1">
      <c r="B2339" s="7" t="s">
        <v>17</v>
      </c>
      <c r="C2339" s="7" t="s">
        <v>29</v>
      </c>
      <c r="D2339" s="7" t="s">
        <v>8</v>
      </c>
      <c r="E2339" s="7" t="s">
        <v>28</v>
      </c>
      <c r="F2339" s="8">
        <v>468.0</v>
      </c>
      <c r="G2339" s="9">
        <v>468.0</v>
      </c>
    </row>
    <row r="2340" ht="14.25" hidden="1" customHeight="1">
      <c r="B2340" s="7" t="s">
        <v>17</v>
      </c>
      <c r="C2340" s="7" t="s">
        <v>7</v>
      </c>
      <c r="D2340" s="7" t="s">
        <v>10</v>
      </c>
      <c r="E2340" s="7" t="s">
        <v>8</v>
      </c>
      <c r="F2340" s="8">
        <v>462.0</v>
      </c>
      <c r="G2340" s="9">
        <v>231.0</v>
      </c>
    </row>
    <row r="2341" ht="14.25" hidden="1" customHeight="1">
      <c r="B2341" s="7" t="s">
        <v>17</v>
      </c>
      <c r="C2341" s="7" t="s">
        <v>29</v>
      </c>
      <c r="D2341" s="7" t="s">
        <v>32</v>
      </c>
      <c r="E2341" s="7" t="s">
        <v>33</v>
      </c>
      <c r="F2341" s="8">
        <v>462.0</v>
      </c>
      <c r="G2341" s="9">
        <v>462.0</v>
      </c>
    </row>
    <row r="2342" ht="14.25" customHeight="1">
      <c r="B2342" s="7" t="s">
        <v>17</v>
      </c>
      <c r="C2342" s="7" t="s">
        <v>7</v>
      </c>
      <c r="D2342" s="7" t="s">
        <v>8</v>
      </c>
      <c r="E2342" s="7" t="s">
        <v>31</v>
      </c>
      <c r="F2342" s="8">
        <v>460.0</v>
      </c>
      <c r="G2342" s="9">
        <v>230.0</v>
      </c>
    </row>
    <row r="2343" ht="14.25" hidden="1" customHeight="1">
      <c r="B2343" s="7" t="s">
        <v>17</v>
      </c>
      <c r="C2343" s="7" t="s">
        <v>29</v>
      </c>
      <c r="D2343" s="7" t="s">
        <v>11</v>
      </c>
      <c r="E2343" s="7" t="s">
        <v>8</v>
      </c>
      <c r="F2343" s="8">
        <v>456.0</v>
      </c>
      <c r="G2343" s="9">
        <v>456.0</v>
      </c>
    </row>
    <row r="2344" ht="14.25" hidden="1" customHeight="1">
      <c r="B2344" s="7" t="s">
        <v>17</v>
      </c>
      <c r="C2344" s="7" t="s">
        <v>7</v>
      </c>
      <c r="D2344" s="7" t="s">
        <v>8</v>
      </c>
      <c r="E2344" s="7" t="s">
        <v>25</v>
      </c>
      <c r="F2344" s="8">
        <v>446.0</v>
      </c>
      <c r="G2344" s="9">
        <v>223.0</v>
      </c>
    </row>
    <row r="2345" ht="14.25" hidden="1" customHeight="1">
      <c r="B2345" s="7" t="s">
        <v>17</v>
      </c>
      <c r="C2345" s="7" t="s">
        <v>30</v>
      </c>
      <c r="D2345" s="7" t="s">
        <v>8</v>
      </c>
      <c r="E2345" s="7" t="s">
        <v>25</v>
      </c>
      <c r="F2345" s="8">
        <v>438.0</v>
      </c>
      <c r="G2345" s="9">
        <v>219.0</v>
      </c>
    </row>
    <row r="2346" ht="14.25" hidden="1" customHeight="1">
      <c r="B2346" s="7" t="s">
        <v>17</v>
      </c>
      <c r="C2346" s="7" t="s">
        <v>7</v>
      </c>
      <c r="D2346" s="7" t="s">
        <v>11</v>
      </c>
      <c r="E2346" s="7" t="s">
        <v>8</v>
      </c>
      <c r="F2346" s="8">
        <v>436.0</v>
      </c>
      <c r="G2346" s="9">
        <v>218.0</v>
      </c>
    </row>
    <row r="2347" ht="14.25" hidden="1" customHeight="1">
      <c r="B2347" s="7" t="s">
        <v>17</v>
      </c>
      <c r="C2347" s="7" t="s">
        <v>7</v>
      </c>
      <c r="D2347" s="7" t="s">
        <v>31</v>
      </c>
      <c r="E2347" s="7" t="s">
        <v>24</v>
      </c>
      <c r="F2347" s="8">
        <v>424.0</v>
      </c>
      <c r="G2347" s="9">
        <v>212.0</v>
      </c>
    </row>
    <row r="2348" ht="14.25" hidden="1" customHeight="1">
      <c r="B2348" s="7" t="s">
        <v>17</v>
      </c>
      <c r="C2348" s="7" t="s">
        <v>29</v>
      </c>
      <c r="D2348" s="7" t="s">
        <v>11</v>
      </c>
      <c r="E2348" s="7" t="s">
        <v>8</v>
      </c>
      <c r="F2348" s="8">
        <v>422.0</v>
      </c>
      <c r="G2348" s="9">
        <v>422.0</v>
      </c>
    </row>
    <row r="2349" ht="14.25" hidden="1" customHeight="1">
      <c r="B2349" s="7" t="s">
        <v>17</v>
      </c>
      <c r="C2349" s="7" t="s">
        <v>7</v>
      </c>
      <c r="D2349" s="7" t="s">
        <v>32</v>
      </c>
      <c r="E2349" s="7" t="s">
        <v>33</v>
      </c>
      <c r="F2349" s="8">
        <v>420.0</v>
      </c>
      <c r="G2349" s="9">
        <v>210.0</v>
      </c>
    </row>
    <row r="2350" ht="14.25" customHeight="1">
      <c r="B2350" s="7" t="s">
        <v>17</v>
      </c>
      <c r="C2350" s="7" t="s">
        <v>30</v>
      </c>
      <c r="D2350" s="7" t="s">
        <v>8</v>
      </c>
      <c r="E2350" s="7" t="s">
        <v>31</v>
      </c>
      <c r="F2350" s="8">
        <v>414.0</v>
      </c>
      <c r="G2350" s="9">
        <v>207.0</v>
      </c>
    </row>
    <row r="2351" ht="14.25" hidden="1" customHeight="1">
      <c r="B2351" s="7" t="s">
        <v>17</v>
      </c>
      <c r="C2351" s="7" t="s">
        <v>7</v>
      </c>
      <c r="D2351" s="7" t="s">
        <v>28</v>
      </c>
      <c r="E2351" s="7" t="s">
        <v>9</v>
      </c>
      <c r="F2351" s="8">
        <v>406.0</v>
      </c>
      <c r="G2351" s="9">
        <v>203.0</v>
      </c>
    </row>
    <row r="2352" ht="14.25" hidden="1" customHeight="1">
      <c r="B2352" s="7" t="s">
        <v>17</v>
      </c>
      <c r="C2352" s="7" t="s">
        <v>29</v>
      </c>
      <c r="D2352" s="7" t="s">
        <v>31</v>
      </c>
      <c r="E2352" s="7" t="s">
        <v>33</v>
      </c>
      <c r="F2352" s="8">
        <v>398.0</v>
      </c>
      <c r="G2352" s="9">
        <v>398.0</v>
      </c>
    </row>
    <row r="2353" ht="14.25" hidden="1" customHeight="1">
      <c r="B2353" s="7" t="s">
        <v>17</v>
      </c>
      <c r="C2353" s="7" t="s">
        <v>30</v>
      </c>
      <c r="D2353" s="7" t="s">
        <v>8</v>
      </c>
      <c r="E2353" s="7" t="s">
        <v>9</v>
      </c>
      <c r="F2353" s="8">
        <v>390.0</v>
      </c>
      <c r="G2353" s="9">
        <v>195.0</v>
      </c>
    </row>
    <row r="2354" ht="14.25" hidden="1" customHeight="1">
      <c r="B2354" s="7" t="s">
        <v>17</v>
      </c>
      <c r="C2354" s="7" t="s">
        <v>30</v>
      </c>
      <c r="D2354" s="7" t="s">
        <v>31</v>
      </c>
      <c r="E2354" s="7" t="s">
        <v>28</v>
      </c>
      <c r="F2354" s="8">
        <v>388.0</v>
      </c>
      <c r="G2354" s="9">
        <v>194.0</v>
      </c>
    </row>
    <row r="2355" ht="14.25" hidden="1" customHeight="1">
      <c r="B2355" s="7" t="s">
        <v>17</v>
      </c>
      <c r="C2355" s="7" t="s">
        <v>7</v>
      </c>
      <c r="D2355" s="7" t="s">
        <v>31</v>
      </c>
      <c r="E2355" s="7" t="s">
        <v>33</v>
      </c>
      <c r="F2355" s="8">
        <v>384.0</v>
      </c>
      <c r="G2355" s="9">
        <v>192.0</v>
      </c>
    </row>
    <row r="2356" ht="14.25" hidden="1" customHeight="1">
      <c r="B2356" s="7" t="s">
        <v>17</v>
      </c>
      <c r="C2356" s="7" t="s">
        <v>30</v>
      </c>
      <c r="D2356" s="7" t="s">
        <v>8</v>
      </c>
      <c r="E2356" s="7" t="s">
        <v>24</v>
      </c>
      <c r="F2356" s="8">
        <v>374.0</v>
      </c>
      <c r="G2356" s="9">
        <v>187.0</v>
      </c>
    </row>
    <row r="2357" ht="14.25" hidden="1" customHeight="1">
      <c r="B2357" s="7" t="s">
        <v>17</v>
      </c>
      <c r="C2357" s="7" t="s">
        <v>7</v>
      </c>
      <c r="D2357" s="7" t="s">
        <v>9</v>
      </c>
      <c r="E2357" s="7" t="s">
        <v>31</v>
      </c>
      <c r="F2357" s="8">
        <v>358.0</v>
      </c>
      <c r="G2357" s="9">
        <v>179.0</v>
      </c>
    </row>
    <row r="2358" ht="14.25" hidden="1" customHeight="1">
      <c r="B2358" s="7" t="s">
        <v>17</v>
      </c>
      <c r="C2358" s="7" t="s">
        <v>7</v>
      </c>
      <c r="D2358" s="7" t="s">
        <v>32</v>
      </c>
      <c r="E2358" s="7" t="s">
        <v>25</v>
      </c>
      <c r="F2358" s="8">
        <v>356.0</v>
      </c>
      <c r="G2358" s="9">
        <v>178.0</v>
      </c>
    </row>
    <row r="2359" ht="14.25" hidden="1" customHeight="1">
      <c r="B2359" s="7" t="s">
        <v>17</v>
      </c>
      <c r="C2359" s="7" t="s">
        <v>7</v>
      </c>
      <c r="D2359" s="7" t="s">
        <v>8</v>
      </c>
      <c r="E2359" s="7" t="s">
        <v>10</v>
      </c>
      <c r="F2359" s="8">
        <v>344.0</v>
      </c>
      <c r="G2359" s="9">
        <v>172.0</v>
      </c>
    </row>
    <row r="2360" ht="14.25" hidden="1" customHeight="1">
      <c r="B2360" s="7" t="s">
        <v>17</v>
      </c>
      <c r="C2360" s="7" t="s">
        <v>7</v>
      </c>
      <c r="D2360" s="7" t="s">
        <v>33</v>
      </c>
      <c r="E2360" s="7" t="s">
        <v>25</v>
      </c>
      <c r="F2360" s="8">
        <v>340.0</v>
      </c>
      <c r="G2360" s="9">
        <v>170.0</v>
      </c>
    </row>
    <row r="2361" ht="14.25" hidden="1" customHeight="1">
      <c r="B2361" s="7" t="s">
        <v>17</v>
      </c>
      <c r="C2361" s="7" t="s">
        <v>7</v>
      </c>
      <c r="D2361" s="7" t="s">
        <v>28</v>
      </c>
      <c r="E2361" s="7" t="s">
        <v>31</v>
      </c>
      <c r="F2361" s="8">
        <v>338.0</v>
      </c>
      <c r="G2361" s="9">
        <v>169.0</v>
      </c>
    </row>
    <row r="2362" ht="14.25" hidden="1" customHeight="1">
      <c r="B2362" s="7" t="s">
        <v>17</v>
      </c>
      <c r="C2362" s="7" t="s">
        <v>29</v>
      </c>
      <c r="D2362" s="7" t="s">
        <v>34</v>
      </c>
      <c r="E2362" s="7" t="s">
        <v>28</v>
      </c>
      <c r="F2362" s="8">
        <v>335.0</v>
      </c>
      <c r="G2362" s="9">
        <v>335.0</v>
      </c>
    </row>
    <row r="2363" ht="14.25" hidden="1" customHeight="1">
      <c r="B2363" s="7" t="s">
        <v>17</v>
      </c>
      <c r="C2363" s="7" t="s">
        <v>29</v>
      </c>
      <c r="D2363" s="7" t="s">
        <v>28</v>
      </c>
      <c r="E2363" s="7" t="s">
        <v>8</v>
      </c>
      <c r="F2363" s="8">
        <v>322.0</v>
      </c>
      <c r="G2363" s="9">
        <v>322.0</v>
      </c>
    </row>
    <row r="2364" ht="14.25" hidden="1" customHeight="1">
      <c r="B2364" s="7" t="s">
        <v>17</v>
      </c>
      <c r="C2364" s="7" t="s">
        <v>7</v>
      </c>
      <c r="D2364" s="7" t="s">
        <v>32</v>
      </c>
      <c r="E2364" s="7" t="s">
        <v>25</v>
      </c>
      <c r="F2364" s="8">
        <v>306.0</v>
      </c>
      <c r="G2364" s="9">
        <v>153.0</v>
      </c>
    </row>
    <row r="2365" ht="14.25" hidden="1" customHeight="1">
      <c r="B2365" s="7" t="s">
        <v>17</v>
      </c>
      <c r="C2365" s="7" t="s">
        <v>7</v>
      </c>
      <c r="D2365" s="7" t="s">
        <v>32</v>
      </c>
      <c r="E2365" s="7" t="s">
        <v>8</v>
      </c>
      <c r="F2365" s="8">
        <v>296.0</v>
      </c>
      <c r="G2365" s="9">
        <v>148.0</v>
      </c>
    </row>
    <row r="2366" ht="14.25" hidden="1" customHeight="1">
      <c r="B2366" s="7" t="s">
        <v>17</v>
      </c>
      <c r="C2366" s="7" t="s">
        <v>7</v>
      </c>
      <c r="D2366" s="7" t="s">
        <v>34</v>
      </c>
      <c r="E2366" s="7" t="s">
        <v>28</v>
      </c>
      <c r="F2366" s="8">
        <v>294.0</v>
      </c>
      <c r="G2366" s="9">
        <v>147.0</v>
      </c>
    </row>
    <row r="2367" ht="14.25" hidden="1" customHeight="1">
      <c r="B2367" s="7" t="s">
        <v>17</v>
      </c>
      <c r="C2367" s="7" t="s">
        <v>30</v>
      </c>
      <c r="D2367" s="7" t="s">
        <v>9</v>
      </c>
      <c r="E2367" s="7" t="s">
        <v>25</v>
      </c>
      <c r="F2367" s="8">
        <v>266.0</v>
      </c>
      <c r="G2367" s="9">
        <v>133.0</v>
      </c>
    </row>
    <row r="2368" ht="14.25" hidden="1" customHeight="1">
      <c r="B2368" s="7" t="s">
        <v>17</v>
      </c>
      <c r="C2368" s="7" t="s">
        <v>29</v>
      </c>
      <c r="D2368" s="7" t="s">
        <v>25</v>
      </c>
      <c r="E2368" s="7" t="s">
        <v>8</v>
      </c>
      <c r="F2368" s="8">
        <v>261.0</v>
      </c>
      <c r="G2368" s="9">
        <v>261.0</v>
      </c>
    </row>
    <row r="2369" ht="14.25" hidden="1" customHeight="1">
      <c r="B2369" s="7" t="s">
        <v>17</v>
      </c>
      <c r="C2369" s="7" t="s">
        <v>29</v>
      </c>
      <c r="D2369" s="7" t="s">
        <v>33</v>
      </c>
      <c r="E2369" s="7" t="s">
        <v>8</v>
      </c>
      <c r="F2369" s="8">
        <v>261.0</v>
      </c>
      <c r="G2369" s="9">
        <v>261.0</v>
      </c>
    </row>
    <row r="2370" ht="14.25" customHeight="1">
      <c r="B2370" s="7" t="s">
        <v>17</v>
      </c>
      <c r="C2370" s="7" t="s">
        <v>7</v>
      </c>
      <c r="D2370" s="7" t="s">
        <v>8</v>
      </c>
      <c r="E2370" s="7" t="s">
        <v>31</v>
      </c>
      <c r="F2370" s="8">
        <v>256.0</v>
      </c>
      <c r="G2370" s="9">
        <v>128.0</v>
      </c>
    </row>
    <row r="2371" ht="14.25" hidden="1" customHeight="1">
      <c r="B2371" s="7" t="s">
        <v>17</v>
      </c>
      <c r="C2371" s="7" t="s">
        <v>7</v>
      </c>
      <c r="D2371" s="7" t="s">
        <v>9</v>
      </c>
      <c r="E2371" s="7" t="s">
        <v>28</v>
      </c>
      <c r="F2371" s="8">
        <v>248.0</v>
      </c>
      <c r="G2371" s="9">
        <v>124.0</v>
      </c>
    </row>
    <row r="2372" ht="14.25" hidden="1" customHeight="1">
      <c r="B2372" s="7" t="s">
        <v>17</v>
      </c>
      <c r="C2372" s="7" t="s">
        <v>29</v>
      </c>
      <c r="D2372" s="7" t="s">
        <v>9</v>
      </c>
      <c r="E2372" s="7" t="s">
        <v>33</v>
      </c>
      <c r="F2372" s="8">
        <v>245.0</v>
      </c>
      <c r="G2372" s="9">
        <v>245.0</v>
      </c>
    </row>
    <row r="2373" ht="14.25" hidden="1" customHeight="1">
      <c r="B2373" s="7" t="s">
        <v>17</v>
      </c>
      <c r="C2373" s="7" t="s">
        <v>29</v>
      </c>
      <c r="D2373" s="7" t="s">
        <v>8</v>
      </c>
      <c r="E2373" s="7" t="s">
        <v>25</v>
      </c>
      <c r="F2373" s="8">
        <v>240.0</v>
      </c>
      <c r="G2373" s="9">
        <v>240.0</v>
      </c>
    </row>
    <row r="2374" ht="14.25" hidden="1" customHeight="1">
      <c r="B2374" s="7" t="s">
        <v>17</v>
      </c>
      <c r="C2374" s="7" t="s">
        <v>30</v>
      </c>
      <c r="D2374" s="7" t="s">
        <v>8</v>
      </c>
      <c r="E2374" s="7" t="s">
        <v>28</v>
      </c>
      <c r="F2374" s="8">
        <v>232.0</v>
      </c>
      <c r="G2374" s="9">
        <v>116.0</v>
      </c>
    </row>
    <row r="2375" ht="14.25" hidden="1" customHeight="1">
      <c r="B2375" s="7" t="s">
        <v>17</v>
      </c>
      <c r="C2375" s="7" t="s">
        <v>7</v>
      </c>
      <c r="D2375" s="7" t="s">
        <v>32</v>
      </c>
      <c r="E2375" s="7" t="s">
        <v>28</v>
      </c>
      <c r="F2375" s="8">
        <v>218.0</v>
      </c>
      <c r="G2375" s="9">
        <v>109.0</v>
      </c>
    </row>
    <row r="2376" ht="14.25" hidden="1" customHeight="1">
      <c r="B2376" s="7" t="s">
        <v>17</v>
      </c>
      <c r="C2376" s="7" t="s">
        <v>29</v>
      </c>
      <c r="D2376" s="7" t="s">
        <v>9</v>
      </c>
      <c r="E2376" s="7" t="s">
        <v>8</v>
      </c>
      <c r="F2376" s="8">
        <v>205.0</v>
      </c>
      <c r="G2376" s="9">
        <v>205.0</v>
      </c>
    </row>
    <row r="2377" ht="14.25" hidden="1" customHeight="1">
      <c r="B2377" s="7" t="s">
        <v>17</v>
      </c>
      <c r="C2377" s="7" t="s">
        <v>29</v>
      </c>
      <c r="D2377" s="7" t="s">
        <v>28</v>
      </c>
      <c r="E2377" s="7" t="s">
        <v>31</v>
      </c>
      <c r="F2377" s="8">
        <v>203.0</v>
      </c>
      <c r="G2377" s="9">
        <v>203.0</v>
      </c>
    </row>
    <row r="2378" ht="14.25" hidden="1" customHeight="1">
      <c r="B2378" s="7" t="s">
        <v>17</v>
      </c>
      <c r="C2378" s="7" t="s">
        <v>7</v>
      </c>
      <c r="D2378" s="7" t="s">
        <v>33</v>
      </c>
      <c r="E2378" s="7" t="s">
        <v>9</v>
      </c>
      <c r="F2378" s="8">
        <v>194.0</v>
      </c>
      <c r="G2378" s="9">
        <v>97.0</v>
      </c>
    </row>
    <row r="2379" ht="14.25" hidden="1" customHeight="1">
      <c r="B2379" s="7" t="s">
        <v>17</v>
      </c>
      <c r="C2379" s="7" t="s">
        <v>30</v>
      </c>
      <c r="D2379" s="7" t="s">
        <v>31</v>
      </c>
      <c r="E2379" s="7" t="s">
        <v>33</v>
      </c>
      <c r="F2379" s="8">
        <v>194.0</v>
      </c>
      <c r="G2379" s="9">
        <v>97.0</v>
      </c>
    </row>
    <row r="2380" ht="14.25" hidden="1" customHeight="1">
      <c r="B2380" s="7" t="s">
        <v>17</v>
      </c>
      <c r="C2380" s="7" t="s">
        <v>30</v>
      </c>
      <c r="D2380" s="7" t="s">
        <v>31</v>
      </c>
      <c r="E2380" s="7" t="s">
        <v>10</v>
      </c>
      <c r="F2380" s="8">
        <v>194.0</v>
      </c>
      <c r="G2380" s="9">
        <v>97.0</v>
      </c>
    </row>
    <row r="2381" ht="14.25" hidden="1" customHeight="1">
      <c r="B2381" s="7" t="s">
        <v>17</v>
      </c>
      <c r="C2381" s="7" t="s">
        <v>29</v>
      </c>
      <c r="D2381" s="7" t="s">
        <v>9</v>
      </c>
      <c r="E2381" s="7" t="s">
        <v>28</v>
      </c>
      <c r="F2381" s="8">
        <v>189.0</v>
      </c>
      <c r="G2381" s="9">
        <v>189.0</v>
      </c>
    </row>
    <row r="2382" ht="14.25" hidden="1" customHeight="1">
      <c r="B2382" s="7" t="s">
        <v>17</v>
      </c>
      <c r="C2382" s="7" t="s">
        <v>7</v>
      </c>
      <c r="D2382" s="7" t="s">
        <v>9</v>
      </c>
      <c r="E2382" s="7" t="s">
        <v>32</v>
      </c>
      <c r="F2382" s="8">
        <v>188.0</v>
      </c>
      <c r="G2382" s="9">
        <v>94.0</v>
      </c>
    </row>
    <row r="2383" ht="14.25" hidden="1" customHeight="1">
      <c r="B2383" s="7" t="s">
        <v>17</v>
      </c>
      <c r="C2383" s="7" t="s">
        <v>29</v>
      </c>
      <c r="D2383" s="7" t="s">
        <v>8</v>
      </c>
      <c r="E2383" s="7" t="s">
        <v>10</v>
      </c>
      <c r="F2383" s="8">
        <v>187.0</v>
      </c>
      <c r="G2383" s="9">
        <v>187.0</v>
      </c>
    </row>
    <row r="2384" ht="14.25" hidden="1" customHeight="1">
      <c r="B2384" s="7" t="s">
        <v>17</v>
      </c>
      <c r="C2384" s="7" t="s">
        <v>29</v>
      </c>
      <c r="D2384" s="7" t="s">
        <v>33</v>
      </c>
      <c r="E2384" s="7" t="s">
        <v>8</v>
      </c>
      <c r="F2384" s="8">
        <v>186.0</v>
      </c>
      <c r="G2384" s="9">
        <v>186.0</v>
      </c>
    </row>
    <row r="2385" ht="14.25" hidden="1" customHeight="1">
      <c r="B2385" s="7" t="s">
        <v>17</v>
      </c>
      <c r="C2385" s="7" t="s">
        <v>7</v>
      </c>
      <c r="D2385" s="7" t="s">
        <v>11</v>
      </c>
      <c r="E2385" s="7" t="s">
        <v>8</v>
      </c>
      <c r="F2385" s="8">
        <v>180.0</v>
      </c>
      <c r="G2385" s="9">
        <v>90.0</v>
      </c>
    </row>
    <row r="2386" ht="14.25" hidden="1" customHeight="1">
      <c r="B2386" s="7" t="s">
        <v>17</v>
      </c>
      <c r="C2386" s="7" t="s">
        <v>7</v>
      </c>
      <c r="D2386" s="7" t="s">
        <v>33</v>
      </c>
      <c r="E2386" s="7" t="s">
        <v>28</v>
      </c>
      <c r="F2386" s="8">
        <v>178.0</v>
      </c>
      <c r="G2386" s="9">
        <v>89.0</v>
      </c>
    </row>
    <row r="2387" ht="14.25" hidden="1" customHeight="1">
      <c r="B2387" s="7" t="s">
        <v>17</v>
      </c>
      <c r="C2387" s="7" t="s">
        <v>7</v>
      </c>
      <c r="D2387" s="7" t="s">
        <v>25</v>
      </c>
      <c r="E2387" s="7" t="s">
        <v>31</v>
      </c>
      <c r="F2387" s="8">
        <v>170.0</v>
      </c>
      <c r="G2387" s="9">
        <v>85.0</v>
      </c>
    </row>
    <row r="2388" ht="14.25" hidden="1" customHeight="1">
      <c r="B2388" s="7" t="s">
        <v>17</v>
      </c>
      <c r="C2388" s="7" t="s">
        <v>29</v>
      </c>
      <c r="D2388" s="7" t="s">
        <v>8</v>
      </c>
      <c r="E2388" s="7" t="s">
        <v>33</v>
      </c>
      <c r="F2388" s="8">
        <v>170.0</v>
      </c>
      <c r="G2388" s="9">
        <v>170.0</v>
      </c>
    </row>
    <row r="2389" ht="14.25" hidden="1" customHeight="1">
      <c r="B2389" s="7" t="s">
        <v>17</v>
      </c>
      <c r="C2389" s="7" t="s">
        <v>29</v>
      </c>
      <c r="D2389" s="7" t="s">
        <v>28</v>
      </c>
      <c r="E2389" s="7" t="s">
        <v>25</v>
      </c>
      <c r="F2389" s="8">
        <v>169.0</v>
      </c>
      <c r="G2389" s="9">
        <v>169.0</v>
      </c>
    </row>
    <row r="2390" ht="14.25" hidden="1" customHeight="1">
      <c r="B2390" s="7" t="s">
        <v>17</v>
      </c>
      <c r="C2390" s="7" t="s">
        <v>29</v>
      </c>
      <c r="D2390" s="7" t="s">
        <v>10</v>
      </c>
      <c r="E2390" s="7" t="s">
        <v>25</v>
      </c>
      <c r="F2390" s="8">
        <v>169.0</v>
      </c>
      <c r="G2390" s="9">
        <v>169.0</v>
      </c>
    </row>
    <row r="2391" ht="14.25" hidden="1" customHeight="1">
      <c r="B2391" s="7" t="s">
        <v>17</v>
      </c>
      <c r="C2391" s="7" t="s">
        <v>7</v>
      </c>
      <c r="D2391" s="7" t="s">
        <v>32</v>
      </c>
      <c r="E2391" s="7" t="s">
        <v>8</v>
      </c>
      <c r="F2391" s="8">
        <v>168.0</v>
      </c>
      <c r="G2391" s="9">
        <v>84.0</v>
      </c>
    </row>
    <row r="2392" ht="14.25" hidden="1" customHeight="1">
      <c r="B2392" s="7" t="s">
        <v>17</v>
      </c>
      <c r="C2392" s="7" t="s">
        <v>30</v>
      </c>
      <c r="D2392" s="7" t="s">
        <v>9</v>
      </c>
      <c r="E2392" s="7" t="s">
        <v>28</v>
      </c>
      <c r="F2392" s="8">
        <v>166.0</v>
      </c>
      <c r="G2392" s="9">
        <v>83.0</v>
      </c>
    </row>
    <row r="2393" ht="14.25" hidden="1" customHeight="1">
      <c r="B2393" s="7" t="s">
        <v>17</v>
      </c>
      <c r="C2393" s="7" t="s">
        <v>7</v>
      </c>
      <c r="D2393" s="7" t="s">
        <v>8</v>
      </c>
      <c r="E2393" s="7" t="s">
        <v>35</v>
      </c>
      <c r="F2393" s="8">
        <v>164.0</v>
      </c>
      <c r="G2393" s="9">
        <v>82.0</v>
      </c>
    </row>
    <row r="2394" ht="14.25" hidden="1" customHeight="1">
      <c r="B2394" s="7" t="s">
        <v>17</v>
      </c>
      <c r="C2394" s="7" t="s">
        <v>29</v>
      </c>
      <c r="D2394" s="7" t="s">
        <v>31</v>
      </c>
      <c r="E2394" s="7" t="s">
        <v>9</v>
      </c>
      <c r="F2394" s="8">
        <v>159.0</v>
      </c>
      <c r="G2394" s="9">
        <v>159.0</v>
      </c>
    </row>
    <row r="2395" ht="14.25" hidden="1" customHeight="1">
      <c r="B2395" s="7" t="s">
        <v>17</v>
      </c>
      <c r="C2395" s="7" t="s">
        <v>30</v>
      </c>
      <c r="D2395" s="7" t="s">
        <v>8</v>
      </c>
      <c r="E2395" s="7" t="s">
        <v>10</v>
      </c>
      <c r="F2395" s="8">
        <v>156.0</v>
      </c>
      <c r="G2395" s="9">
        <v>78.0</v>
      </c>
    </row>
    <row r="2396" ht="14.25" hidden="1" customHeight="1">
      <c r="B2396" s="7" t="s">
        <v>17</v>
      </c>
      <c r="C2396" s="7" t="s">
        <v>7</v>
      </c>
      <c r="D2396" s="7" t="s">
        <v>33</v>
      </c>
      <c r="E2396" s="7" t="s">
        <v>28</v>
      </c>
      <c r="F2396" s="8">
        <v>152.0</v>
      </c>
      <c r="G2396" s="9">
        <v>76.0</v>
      </c>
    </row>
    <row r="2397" ht="14.25" hidden="1" customHeight="1">
      <c r="B2397" s="7" t="s">
        <v>17</v>
      </c>
      <c r="C2397" s="7" t="s">
        <v>7</v>
      </c>
      <c r="D2397" s="7" t="s">
        <v>10</v>
      </c>
      <c r="E2397" s="7" t="s">
        <v>28</v>
      </c>
      <c r="F2397" s="8">
        <v>148.0</v>
      </c>
      <c r="G2397" s="9">
        <v>74.0</v>
      </c>
    </row>
    <row r="2398" ht="14.25" hidden="1" customHeight="1">
      <c r="B2398" s="7" t="s">
        <v>17</v>
      </c>
      <c r="C2398" s="7" t="s">
        <v>7</v>
      </c>
      <c r="D2398" s="7" t="s">
        <v>25</v>
      </c>
      <c r="E2398" s="7" t="s">
        <v>32</v>
      </c>
      <c r="F2398" s="8">
        <v>146.0</v>
      </c>
      <c r="G2398" s="9">
        <v>73.0</v>
      </c>
    </row>
    <row r="2399" ht="14.25" hidden="1" customHeight="1">
      <c r="B2399" s="7" t="s">
        <v>17</v>
      </c>
      <c r="C2399" s="7" t="s">
        <v>30</v>
      </c>
      <c r="D2399" s="7" t="s">
        <v>33</v>
      </c>
      <c r="E2399" s="7" t="s">
        <v>28</v>
      </c>
      <c r="F2399" s="8">
        <v>140.0</v>
      </c>
      <c r="G2399" s="9">
        <v>70.0</v>
      </c>
    </row>
    <row r="2400" ht="14.25" hidden="1" customHeight="1">
      <c r="B2400" s="7" t="s">
        <v>17</v>
      </c>
      <c r="C2400" s="7" t="s">
        <v>7</v>
      </c>
      <c r="D2400" s="7" t="s">
        <v>31</v>
      </c>
      <c r="E2400" s="7" t="s">
        <v>31</v>
      </c>
      <c r="F2400" s="8">
        <v>140.0</v>
      </c>
      <c r="G2400" s="9">
        <v>70.0</v>
      </c>
    </row>
    <row r="2401" ht="14.25" hidden="1" customHeight="1">
      <c r="B2401" s="7" t="s">
        <v>17</v>
      </c>
      <c r="C2401" s="7" t="s">
        <v>29</v>
      </c>
      <c r="D2401" s="7" t="s">
        <v>34</v>
      </c>
      <c r="E2401" s="7" t="s">
        <v>8</v>
      </c>
      <c r="F2401" s="8">
        <v>133.0</v>
      </c>
      <c r="G2401" s="9">
        <v>133.0</v>
      </c>
    </row>
    <row r="2402" ht="14.25" hidden="1" customHeight="1">
      <c r="B2402" s="7" t="s">
        <v>17</v>
      </c>
      <c r="C2402" s="7" t="s">
        <v>7</v>
      </c>
      <c r="D2402" s="7" t="s">
        <v>10</v>
      </c>
      <c r="E2402" s="7" t="s">
        <v>25</v>
      </c>
      <c r="F2402" s="8">
        <v>130.0</v>
      </c>
      <c r="G2402" s="9">
        <v>65.0</v>
      </c>
    </row>
    <row r="2403" ht="14.25" hidden="1" customHeight="1">
      <c r="B2403" s="7" t="s">
        <v>17</v>
      </c>
      <c r="C2403" s="7" t="s">
        <v>7</v>
      </c>
      <c r="D2403" s="7" t="s">
        <v>31</v>
      </c>
      <c r="E2403" s="7" t="s">
        <v>10</v>
      </c>
      <c r="F2403" s="8">
        <v>128.0</v>
      </c>
      <c r="G2403" s="9">
        <v>64.0</v>
      </c>
    </row>
    <row r="2404" ht="14.25" hidden="1" customHeight="1">
      <c r="B2404" s="7" t="s">
        <v>17</v>
      </c>
      <c r="C2404" s="7" t="s">
        <v>7</v>
      </c>
      <c r="D2404" s="7" t="s">
        <v>31</v>
      </c>
      <c r="E2404" s="7" t="s">
        <v>31</v>
      </c>
      <c r="F2404" s="8">
        <v>128.0</v>
      </c>
      <c r="G2404" s="9">
        <v>64.0</v>
      </c>
    </row>
    <row r="2405" ht="14.25" hidden="1" customHeight="1">
      <c r="B2405" s="7" t="s">
        <v>17</v>
      </c>
      <c r="C2405" s="7" t="s">
        <v>29</v>
      </c>
      <c r="D2405" s="7" t="s">
        <v>32</v>
      </c>
      <c r="E2405" s="7" t="s">
        <v>35</v>
      </c>
      <c r="F2405" s="8">
        <v>119.0</v>
      </c>
      <c r="G2405" s="9">
        <v>119.0</v>
      </c>
    </row>
    <row r="2406" ht="14.25" hidden="1" customHeight="1">
      <c r="B2406" s="7" t="s">
        <v>17</v>
      </c>
      <c r="C2406" s="7" t="s">
        <v>7</v>
      </c>
      <c r="D2406" s="7" t="s">
        <v>11</v>
      </c>
      <c r="E2406" s="7" t="s">
        <v>25</v>
      </c>
      <c r="F2406" s="8">
        <v>118.0</v>
      </c>
      <c r="G2406" s="9">
        <v>59.0</v>
      </c>
    </row>
    <row r="2407" ht="14.25" hidden="1" customHeight="1">
      <c r="B2407" s="7" t="s">
        <v>17</v>
      </c>
      <c r="C2407" s="7" t="s">
        <v>29</v>
      </c>
      <c r="D2407" s="7" t="s">
        <v>9</v>
      </c>
      <c r="E2407" s="7" t="s">
        <v>25</v>
      </c>
      <c r="F2407" s="8">
        <v>117.0</v>
      </c>
      <c r="G2407" s="9">
        <v>117.0</v>
      </c>
    </row>
    <row r="2408" ht="14.25" hidden="1" customHeight="1">
      <c r="B2408" s="7" t="s">
        <v>17</v>
      </c>
      <c r="C2408" s="7" t="s">
        <v>29</v>
      </c>
      <c r="D2408" s="7" t="s">
        <v>25</v>
      </c>
      <c r="E2408" s="7" t="s">
        <v>10</v>
      </c>
      <c r="F2408" s="8">
        <v>116.0</v>
      </c>
      <c r="G2408" s="9">
        <v>116.0</v>
      </c>
    </row>
    <row r="2409" ht="14.25" hidden="1" customHeight="1">
      <c r="B2409" s="7" t="s">
        <v>17</v>
      </c>
      <c r="C2409" s="7" t="s">
        <v>29</v>
      </c>
      <c r="D2409" s="7" t="s">
        <v>31</v>
      </c>
      <c r="E2409" s="7" t="s">
        <v>10</v>
      </c>
      <c r="F2409" s="8">
        <v>116.0</v>
      </c>
      <c r="G2409" s="9">
        <v>116.0</v>
      </c>
    </row>
    <row r="2410" ht="14.25" hidden="1" customHeight="1">
      <c r="B2410" s="7" t="s">
        <v>17</v>
      </c>
      <c r="C2410" s="7" t="s">
        <v>7</v>
      </c>
      <c r="D2410" s="7" t="s">
        <v>28</v>
      </c>
      <c r="E2410" s="7" t="s">
        <v>8</v>
      </c>
      <c r="F2410" s="8">
        <v>114.0</v>
      </c>
      <c r="G2410" s="9">
        <v>57.0</v>
      </c>
    </row>
    <row r="2411" ht="14.25" hidden="1" customHeight="1">
      <c r="B2411" s="7" t="s">
        <v>17</v>
      </c>
      <c r="C2411" s="7" t="s">
        <v>7</v>
      </c>
      <c r="D2411" s="7" t="s">
        <v>9</v>
      </c>
      <c r="E2411" s="7" t="s">
        <v>33</v>
      </c>
      <c r="F2411" s="8">
        <v>114.0</v>
      </c>
      <c r="G2411" s="9">
        <v>57.0</v>
      </c>
    </row>
    <row r="2412" ht="14.25" hidden="1" customHeight="1">
      <c r="B2412" s="7" t="s">
        <v>17</v>
      </c>
      <c r="C2412" s="7" t="s">
        <v>29</v>
      </c>
      <c r="D2412" s="7" t="s">
        <v>28</v>
      </c>
      <c r="E2412" s="7" t="s">
        <v>10</v>
      </c>
      <c r="F2412" s="8">
        <v>113.0</v>
      </c>
      <c r="G2412" s="9">
        <v>113.0</v>
      </c>
    </row>
    <row r="2413" ht="14.25" hidden="1" customHeight="1">
      <c r="B2413" s="7" t="s">
        <v>17</v>
      </c>
      <c r="C2413" s="7" t="s">
        <v>29</v>
      </c>
      <c r="D2413" s="7" t="s">
        <v>10</v>
      </c>
      <c r="E2413" s="7" t="s">
        <v>25</v>
      </c>
      <c r="F2413" s="8">
        <v>112.0</v>
      </c>
      <c r="G2413" s="9">
        <v>112.0</v>
      </c>
    </row>
    <row r="2414" ht="14.25" hidden="1" customHeight="1">
      <c r="B2414" s="7" t="s">
        <v>17</v>
      </c>
      <c r="C2414" s="7" t="s">
        <v>7</v>
      </c>
      <c r="D2414" s="7" t="s">
        <v>25</v>
      </c>
      <c r="E2414" s="7" t="s">
        <v>8</v>
      </c>
      <c r="F2414" s="8">
        <v>106.0</v>
      </c>
      <c r="G2414" s="9">
        <v>106.0</v>
      </c>
    </row>
    <row r="2415" ht="14.25" hidden="1" customHeight="1">
      <c r="B2415" s="7" t="s">
        <v>17</v>
      </c>
      <c r="C2415" s="7" t="s">
        <v>7</v>
      </c>
      <c r="D2415" s="7" t="s">
        <v>8</v>
      </c>
      <c r="E2415" s="7" t="s">
        <v>9</v>
      </c>
      <c r="F2415" s="8">
        <v>106.0</v>
      </c>
      <c r="G2415" s="9">
        <v>53.0</v>
      </c>
    </row>
    <row r="2416" ht="14.25" hidden="1" customHeight="1">
      <c r="B2416" s="7" t="s">
        <v>17</v>
      </c>
      <c r="C2416" s="7" t="s">
        <v>29</v>
      </c>
      <c r="D2416" s="7" t="s">
        <v>8</v>
      </c>
      <c r="E2416" s="7" t="s">
        <v>25</v>
      </c>
      <c r="F2416" s="8">
        <v>105.0</v>
      </c>
      <c r="G2416" s="9">
        <v>105.0</v>
      </c>
    </row>
    <row r="2417" ht="14.25" hidden="1" customHeight="1">
      <c r="B2417" s="7" t="s">
        <v>17</v>
      </c>
      <c r="C2417" s="7" t="s">
        <v>29</v>
      </c>
      <c r="D2417" s="7" t="s">
        <v>25</v>
      </c>
      <c r="E2417" s="7" t="s">
        <v>28</v>
      </c>
      <c r="F2417" s="8">
        <v>104.0</v>
      </c>
      <c r="G2417" s="9">
        <v>104.0</v>
      </c>
    </row>
    <row r="2418" ht="14.25" hidden="1" customHeight="1">
      <c r="B2418" s="7" t="s">
        <v>17</v>
      </c>
      <c r="C2418" s="7" t="s">
        <v>7</v>
      </c>
      <c r="D2418" s="7" t="s">
        <v>10</v>
      </c>
      <c r="E2418" s="7" t="s">
        <v>8</v>
      </c>
      <c r="F2418" s="8">
        <v>104.0</v>
      </c>
      <c r="G2418" s="9">
        <v>52.0</v>
      </c>
    </row>
    <row r="2419" ht="14.25" hidden="1" customHeight="1">
      <c r="B2419" s="7" t="s">
        <v>17</v>
      </c>
      <c r="C2419" s="7" t="s">
        <v>30</v>
      </c>
      <c r="D2419" s="7" t="s">
        <v>33</v>
      </c>
      <c r="E2419" s="7" t="s">
        <v>9</v>
      </c>
      <c r="F2419" s="8">
        <v>102.0</v>
      </c>
      <c r="G2419" s="9">
        <v>51.0</v>
      </c>
    </row>
    <row r="2420" ht="14.25" hidden="1" customHeight="1">
      <c r="B2420" s="7" t="s">
        <v>17</v>
      </c>
      <c r="C2420" s="7" t="s">
        <v>30</v>
      </c>
      <c r="D2420" s="7" t="s">
        <v>33</v>
      </c>
      <c r="E2420" s="7" t="s">
        <v>8</v>
      </c>
      <c r="F2420" s="8">
        <v>100.0</v>
      </c>
      <c r="G2420" s="9">
        <v>50.0</v>
      </c>
    </row>
    <row r="2421" ht="14.25" hidden="1" customHeight="1">
      <c r="B2421" s="7" t="s">
        <v>17</v>
      </c>
      <c r="C2421" s="7" t="s">
        <v>7</v>
      </c>
      <c r="D2421" s="7" t="s">
        <v>31</v>
      </c>
      <c r="E2421" s="7" t="s">
        <v>28</v>
      </c>
      <c r="F2421" s="8">
        <v>98.0</v>
      </c>
      <c r="G2421" s="9">
        <v>49.0</v>
      </c>
    </row>
    <row r="2422" ht="14.25" hidden="1" customHeight="1">
      <c r="B2422" s="7" t="s">
        <v>17</v>
      </c>
      <c r="C2422" s="7" t="s">
        <v>29</v>
      </c>
      <c r="D2422" s="7" t="s">
        <v>28</v>
      </c>
      <c r="E2422" s="7" t="s">
        <v>25</v>
      </c>
      <c r="F2422" s="8">
        <v>95.0</v>
      </c>
      <c r="G2422" s="9">
        <v>95.0</v>
      </c>
    </row>
    <row r="2423" ht="14.25" hidden="1" customHeight="1">
      <c r="B2423" s="7" t="s">
        <v>17</v>
      </c>
      <c r="C2423" s="7" t="s">
        <v>7</v>
      </c>
      <c r="D2423" s="7" t="s">
        <v>10</v>
      </c>
      <c r="E2423" s="7" t="s">
        <v>9</v>
      </c>
      <c r="F2423" s="8">
        <v>94.0</v>
      </c>
      <c r="G2423" s="9">
        <v>47.0</v>
      </c>
    </row>
    <row r="2424" ht="14.25" hidden="1" customHeight="1">
      <c r="B2424" s="7" t="s">
        <v>17</v>
      </c>
      <c r="C2424" s="7" t="s">
        <v>7</v>
      </c>
      <c r="D2424" s="7" t="s">
        <v>31</v>
      </c>
      <c r="E2424" s="7" t="s">
        <v>35</v>
      </c>
      <c r="F2424" s="8">
        <v>94.0</v>
      </c>
      <c r="G2424" s="9">
        <v>47.0</v>
      </c>
    </row>
    <row r="2425" ht="14.25" hidden="1" customHeight="1">
      <c r="B2425" s="7" t="s">
        <v>17</v>
      </c>
      <c r="C2425" s="7" t="s">
        <v>29</v>
      </c>
      <c r="D2425" s="7" t="s">
        <v>9</v>
      </c>
      <c r="E2425" s="7" t="s">
        <v>25</v>
      </c>
      <c r="F2425" s="8">
        <v>93.0</v>
      </c>
      <c r="G2425" s="9">
        <v>93.0</v>
      </c>
    </row>
    <row r="2426" ht="14.25" hidden="1" customHeight="1">
      <c r="B2426" s="7" t="s">
        <v>17</v>
      </c>
      <c r="C2426" s="7" t="s">
        <v>29</v>
      </c>
      <c r="D2426" s="7" t="s">
        <v>31</v>
      </c>
      <c r="E2426" s="7" t="s">
        <v>25</v>
      </c>
      <c r="F2426" s="8">
        <v>92.0</v>
      </c>
      <c r="G2426" s="9">
        <v>92.0</v>
      </c>
    </row>
    <row r="2427" ht="14.25" hidden="1" customHeight="1">
      <c r="B2427" s="7" t="s">
        <v>17</v>
      </c>
      <c r="C2427" s="7" t="s">
        <v>7</v>
      </c>
      <c r="D2427" s="7" t="s">
        <v>33</v>
      </c>
      <c r="E2427" s="7" t="s">
        <v>31</v>
      </c>
      <c r="F2427" s="8">
        <v>90.0</v>
      </c>
      <c r="G2427" s="9">
        <v>45.0</v>
      </c>
    </row>
    <row r="2428" ht="14.25" hidden="1" customHeight="1">
      <c r="B2428" s="7" t="s">
        <v>17</v>
      </c>
      <c r="C2428" s="7" t="s">
        <v>29</v>
      </c>
      <c r="D2428" s="7" t="s">
        <v>8</v>
      </c>
      <c r="E2428" s="7" t="s">
        <v>10</v>
      </c>
      <c r="F2428" s="8">
        <v>83.0</v>
      </c>
      <c r="G2428" s="9">
        <v>83.0</v>
      </c>
    </row>
    <row r="2429" ht="14.25" hidden="1" customHeight="1">
      <c r="B2429" s="7" t="s">
        <v>17</v>
      </c>
      <c r="C2429" s="7" t="s">
        <v>29</v>
      </c>
      <c r="D2429" s="7" t="s">
        <v>31</v>
      </c>
      <c r="E2429" s="7" t="s">
        <v>24</v>
      </c>
      <c r="F2429" s="8">
        <v>81.0</v>
      </c>
      <c r="G2429" s="9">
        <v>81.0</v>
      </c>
    </row>
    <row r="2430" ht="14.25" hidden="1" customHeight="1">
      <c r="B2430" s="7" t="s">
        <v>17</v>
      </c>
      <c r="C2430" s="7" t="s">
        <v>7</v>
      </c>
      <c r="D2430" s="7" t="s">
        <v>33</v>
      </c>
      <c r="E2430" s="7" t="s">
        <v>31</v>
      </c>
      <c r="F2430" s="8">
        <v>80.0</v>
      </c>
      <c r="G2430" s="9">
        <v>40.0</v>
      </c>
    </row>
    <row r="2431" ht="14.25" hidden="1" customHeight="1">
      <c r="B2431" s="7" t="s">
        <v>17</v>
      </c>
      <c r="C2431" s="7" t="s">
        <v>29</v>
      </c>
      <c r="D2431" s="7" t="s">
        <v>33</v>
      </c>
      <c r="E2431" s="7" t="s">
        <v>8</v>
      </c>
      <c r="F2431" s="8">
        <v>80.0</v>
      </c>
      <c r="G2431" s="9">
        <v>80.0</v>
      </c>
    </row>
    <row r="2432" ht="14.25" hidden="1" customHeight="1">
      <c r="B2432" s="7" t="s">
        <v>17</v>
      </c>
      <c r="C2432" s="7" t="s">
        <v>30</v>
      </c>
      <c r="D2432" s="7" t="s">
        <v>10</v>
      </c>
      <c r="E2432" s="7" t="s">
        <v>8</v>
      </c>
      <c r="F2432" s="8">
        <v>80.0</v>
      </c>
      <c r="G2432" s="9">
        <v>40.0</v>
      </c>
    </row>
    <row r="2433" ht="14.25" hidden="1" customHeight="1">
      <c r="B2433" s="7" t="s">
        <v>17</v>
      </c>
      <c r="C2433" s="7" t="s">
        <v>7</v>
      </c>
      <c r="D2433" s="7" t="s">
        <v>11</v>
      </c>
      <c r="E2433" s="7" t="s">
        <v>25</v>
      </c>
      <c r="F2433" s="8">
        <v>78.0</v>
      </c>
      <c r="G2433" s="9">
        <v>39.0</v>
      </c>
    </row>
    <row r="2434" ht="14.25" hidden="1" customHeight="1">
      <c r="B2434" s="7" t="s">
        <v>17</v>
      </c>
      <c r="C2434" s="7" t="s">
        <v>29</v>
      </c>
      <c r="D2434" s="7" t="s">
        <v>32</v>
      </c>
      <c r="E2434" s="7" t="s">
        <v>8</v>
      </c>
      <c r="F2434" s="8">
        <v>78.0</v>
      </c>
      <c r="G2434" s="9">
        <v>78.0</v>
      </c>
    </row>
    <row r="2435" ht="14.25" customHeight="1">
      <c r="B2435" s="7" t="s">
        <v>17</v>
      </c>
      <c r="C2435" s="7" t="s">
        <v>29</v>
      </c>
      <c r="D2435" s="7" t="s">
        <v>8</v>
      </c>
      <c r="E2435" s="7" t="s">
        <v>31</v>
      </c>
      <c r="F2435" s="8">
        <v>77.0</v>
      </c>
      <c r="G2435" s="9">
        <v>77.0</v>
      </c>
    </row>
    <row r="2436" ht="14.25" hidden="1" customHeight="1">
      <c r="B2436" s="7" t="s">
        <v>17</v>
      </c>
      <c r="C2436" s="7" t="s">
        <v>30</v>
      </c>
      <c r="D2436" s="7" t="s">
        <v>9</v>
      </c>
      <c r="E2436" s="7" t="s">
        <v>35</v>
      </c>
      <c r="F2436" s="8">
        <v>74.0</v>
      </c>
      <c r="G2436" s="9">
        <v>37.0</v>
      </c>
    </row>
    <row r="2437" ht="14.25" hidden="1" customHeight="1">
      <c r="B2437" s="7" t="s">
        <v>17</v>
      </c>
      <c r="C2437" s="7" t="s">
        <v>7</v>
      </c>
      <c r="D2437" s="7" t="s">
        <v>8</v>
      </c>
      <c r="E2437" s="7" t="s">
        <v>35</v>
      </c>
      <c r="F2437" s="8">
        <v>74.0</v>
      </c>
      <c r="G2437" s="9">
        <v>37.0</v>
      </c>
    </row>
    <row r="2438" ht="14.25" hidden="1" customHeight="1">
      <c r="B2438" s="7" t="s">
        <v>17</v>
      </c>
      <c r="C2438" s="7" t="s">
        <v>29</v>
      </c>
      <c r="D2438" s="7" t="s">
        <v>10</v>
      </c>
      <c r="E2438" s="7" t="s">
        <v>9</v>
      </c>
      <c r="F2438" s="8">
        <v>73.0</v>
      </c>
      <c r="G2438" s="9">
        <v>73.0</v>
      </c>
    </row>
    <row r="2439" ht="14.25" hidden="1" customHeight="1">
      <c r="B2439" s="7" t="s">
        <v>17</v>
      </c>
      <c r="C2439" s="7" t="s">
        <v>29</v>
      </c>
      <c r="D2439" s="7" t="s">
        <v>31</v>
      </c>
      <c r="E2439" s="7" t="s">
        <v>8</v>
      </c>
      <c r="F2439" s="8">
        <v>73.0</v>
      </c>
      <c r="G2439" s="9">
        <v>73.0</v>
      </c>
    </row>
    <row r="2440" ht="14.25" hidden="1" customHeight="1">
      <c r="B2440" s="7" t="s">
        <v>17</v>
      </c>
      <c r="C2440" s="7" t="s">
        <v>7</v>
      </c>
      <c r="D2440" s="7" t="s">
        <v>9</v>
      </c>
      <c r="E2440" s="7" t="s">
        <v>35</v>
      </c>
      <c r="F2440" s="8">
        <v>72.0</v>
      </c>
      <c r="G2440" s="9">
        <v>36.0</v>
      </c>
    </row>
    <row r="2441" ht="14.25" hidden="1" customHeight="1">
      <c r="B2441" s="7" t="s">
        <v>17</v>
      </c>
      <c r="C2441" s="7" t="s">
        <v>29</v>
      </c>
      <c r="D2441" s="7" t="s">
        <v>31</v>
      </c>
      <c r="E2441" s="7" t="s">
        <v>25</v>
      </c>
      <c r="F2441" s="8">
        <v>72.0</v>
      </c>
      <c r="G2441" s="9">
        <v>72.0</v>
      </c>
    </row>
    <row r="2442" ht="14.25" hidden="1" customHeight="1">
      <c r="B2442" s="7" t="s">
        <v>17</v>
      </c>
      <c r="C2442" s="7" t="s">
        <v>7</v>
      </c>
      <c r="D2442" s="7" t="s">
        <v>25</v>
      </c>
      <c r="E2442" s="7" t="s">
        <v>28</v>
      </c>
      <c r="F2442" s="8">
        <v>70.0</v>
      </c>
      <c r="G2442" s="9">
        <v>35.0</v>
      </c>
    </row>
    <row r="2443" ht="14.25" hidden="1" customHeight="1">
      <c r="B2443" s="7" t="s">
        <v>17</v>
      </c>
      <c r="C2443" s="7" t="s">
        <v>7</v>
      </c>
      <c r="D2443" s="7" t="s">
        <v>10</v>
      </c>
      <c r="E2443" s="7" t="s">
        <v>33</v>
      </c>
      <c r="F2443" s="8">
        <v>70.0</v>
      </c>
      <c r="G2443" s="9">
        <v>35.0</v>
      </c>
    </row>
    <row r="2444" ht="14.25" hidden="1" customHeight="1">
      <c r="B2444" s="7" t="s">
        <v>17</v>
      </c>
      <c r="C2444" s="7" t="s">
        <v>7</v>
      </c>
      <c r="D2444" s="7" t="s">
        <v>28</v>
      </c>
      <c r="E2444" s="7" t="s">
        <v>31</v>
      </c>
      <c r="F2444" s="8">
        <v>68.0</v>
      </c>
      <c r="G2444" s="9">
        <v>34.0</v>
      </c>
    </row>
    <row r="2445" ht="14.25" hidden="1" customHeight="1">
      <c r="B2445" s="7" t="s">
        <v>17</v>
      </c>
      <c r="C2445" s="7" t="s">
        <v>29</v>
      </c>
      <c r="D2445" s="7" t="s">
        <v>8</v>
      </c>
      <c r="E2445" s="7" t="s">
        <v>28</v>
      </c>
      <c r="F2445" s="8">
        <v>68.0</v>
      </c>
      <c r="G2445" s="9">
        <v>68.0</v>
      </c>
    </row>
    <row r="2446" ht="14.25" hidden="1" customHeight="1">
      <c r="B2446" s="7" t="s">
        <v>17</v>
      </c>
      <c r="C2446" s="7" t="s">
        <v>7</v>
      </c>
      <c r="D2446" s="7" t="s">
        <v>10</v>
      </c>
      <c r="E2446" s="7" t="s">
        <v>31</v>
      </c>
      <c r="F2446" s="8">
        <v>66.0</v>
      </c>
      <c r="G2446" s="9">
        <v>33.0</v>
      </c>
    </row>
    <row r="2447" ht="14.25" hidden="1" customHeight="1">
      <c r="B2447" s="7" t="s">
        <v>17</v>
      </c>
      <c r="C2447" s="7" t="s">
        <v>7</v>
      </c>
      <c r="D2447" s="7" t="s">
        <v>10</v>
      </c>
      <c r="E2447" s="7" t="s">
        <v>31</v>
      </c>
      <c r="F2447" s="8">
        <v>66.0</v>
      </c>
      <c r="G2447" s="9">
        <v>33.0</v>
      </c>
    </row>
    <row r="2448" ht="14.25" hidden="1" customHeight="1">
      <c r="B2448" s="7" t="s">
        <v>17</v>
      </c>
      <c r="C2448" s="7" t="s">
        <v>7</v>
      </c>
      <c r="D2448" s="7" t="s">
        <v>31</v>
      </c>
      <c r="E2448" s="7" t="s">
        <v>35</v>
      </c>
      <c r="F2448" s="8">
        <v>64.0</v>
      </c>
      <c r="G2448" s="9">
        <v>32.0</v>
      </c>
    </row>
    <row r="2449" ht="14.25" customHeight="1">
      <c r="B2449" s="7" t="s">
        <v>17</v>
      </c>
      <c r="C2449" s="7" t="s">
        <v>29</v>
      </c>
      <c r="D2449" s="7" t="s">
        <v>8</v>
      </c>
      <c r="E2449" s="7" t="s">
        <v>31</v>
      </c>
      <c r="F2449" s="8">
        <v>64.0</v>
      </c>
      <c r="G2449" s="9">
        <v>64.0</v>
      </c>
    </row>
    <row r="2450" ht="14.25" hidden="1" customHeight="1">
      <c r="B2450" s="7" t="s">
        <v>17</v>
      </c>
      <c r="C2450" s="7" t="s">
        <v>29</v>
      </c>
      <c r="D2450" s="7" t="s">
        <v>25</v>
      </c>
      <c r="E2450" s="7" t="s">
        <v>8</v>
      </c>
      <c r="F2450" s="8">
        <v>61.0</v>
      </c>
      <c r="G2450" s="9">
        <v>61.0</v>
      </c>
    </row>
    <row r="2451" ht="14.25" hidden="1" customHeight="1">
      <c r="B2451" s="7" t="s">
        <v>17</v>
      </c>
      <c r="C2451" s="7" t="s">
        <v>30</v>
      </c>
      <c r="D2451" s="7" t="s">
        <v>33</v>
      </c>
      <c r="E2451" s="7" t="s">
        <v>25</v>
      </c>
      <c r="F2451" s="8">
        <v>56.0</v>
      </c>
      <c r="G2451" s="9">
        <v>28.0</v>
      </c>
    </row>
    <row r="2452" ht="14.25" hidden="1" customHeight="1">
      <c r="B2452" s="7" t="s">
        <v>17</v>
      </c>
      <c r="C2452" s="7" t="s">
        <v>29</v>
      </c>
      <c r="D2452" s="7" t="s">
        <v>8</v>
      </c>
      <c r="E2452" s="7" t="s">
        <v>33</v>
      </c>
      <c r="F2452" s="8">
        <v>53.0</v>
      </c>
      <c r="G2452" s="9">
        <v>53.0</v>
      </c>
    </row>
    <row r="2453" ht="14.25" hidden="1" customHeight="1">
      <c r="B2453" s="7" t="s">
        <v>17</v>
      </c>
      <c r="C2453" s="7" t="s">
        <v>29</v>
      </c>
      <c r="D2453" s="7" t="s">
        <v>28</v>
      </c>
      <c r="E2453" s="7" t="s">
        <v>31</v>
      </c>
      <c r="F2453" s="8">
        <v>52.0</v>
      </c>
      <c r="G2453" s="9">
        <v>52.0</v>
      </c>
    </row>
    <row r="2454" ht="14.25" hidden="1" customHeight="1">
      <c r="B2454" s="7" t="s">
        <v>17</v>
      </c>
      <c r="C2454" s="7" t="s">
        <v>29</v>
      </c>
      <c r="D2454" s="7" t="s">
        <v>11</v>
      </c>
      <c r="E2454" s="7" t="s">
        <v>8</v>
      </c>
      <c r="F2454" s="8">
        <v>51.0</v>
      </c>
      <c r="G2454" s="9">
        <v>51.0</v>
      </c>
    </row>
    <row r="2455" ht="14.25" customHeight="1">
      <c r="B2455" s="7" t="s">
        <v>17</v>
      </c>
      <c r="C2455" s="7" t="s">
        <v>7</v>
      </c>
      <c r="D2455" s="7" t="s">
        <v>8</v>
      </c>
      <c r="E2455" s="7" t="s">
        <v>31</v>
      </c>
      <c r="F2455" s="8">
        <v>50.0</v>
      </c>
      <c r="G2455" s="9">
        <v>25.0</v>
      </c>
    </row>
    <row r="2456" ht="14.25" hidden="1" customHeight="1">
      <c r="B2456" s="7" t="s">
        <v>17</v>
      </c>
      <c r="C2456" s="7" t="s">
        <v>29</v>
      </c>
      <c r="D2456" s="7" t="s">
        <v>11</v>
      </c>
      <c r="E2456" s="7" t="s">
        <v>25</v>
      </c>
      <c r="F2456" s="8">
        <v>49.0</v>
      </c>
      <c r="G2456" s="9">
        <v>49.0</v>
      </c>
    </row>
    <row r="2457" ht="14.25" hidden="1" customHeight="1">
      <c r="B2457" s="7" t="s">
        <v>17</v>
      </c>
      <c r="C2457" s="7" t="s">
        <v>7</v>
      </c>
      <c r="D2457" s="7" t="s">
        <v>25</v>
      </c>
      <c r="E2457" s="7" t="s">
        <v>33</v>
      </c>
      <c r="F2457" s="8">
        <v>48.0</v>
      </c>
      <c r="G2457" s="9">
        <v>24.0</v>
      </c>
    </row>
    <row r="2458" ht="14.25" hidden="1" customHeight="1">
      <c r="B2458" s="7" t="s">
        <v>17</v>
      </c>
      <c r="C2458" s="7" t="s">
        <v>29</v>
      </c>
      <c r="D2458" s="7" t="s">
        <v>33</v>
      </c>
      <c r="E2458" s="7" t="s">
        <v>9</v>
      </c>
      <c r="F2458" s="8">
        <v>48.0</v>
      </c>
      <c r="G2458" s="9">
        <v>48.0</v>
      </c>
    </row>
    <row r="2459" ht="14.25" hidden="1" customHeight="1">
      <c r="B2459" s="7" t="s">
        <v>17</v>
      </c>
      <c r="C2459" s="7" t="s">
        <v>7</v>
      </c>
      <c r="D2459" s="7" t="s">
        <v>28</v>
      </c>
      <c r="E2459" s="7" t="s">
        <v>10</v>
      </c>
      <c r="F2459" s="8">
        <v>48.0</v>
      </c>
      <c r="G2459" s="9">
        <v>24.0</v>
      </c>
    </row>
    <row r="2460" ht="14.25" hidden="1" customHeight="1">
      <c r="B2460" s="7" t="s">
        <v>17</v>
      </c>
      <c r="C2460" s="7" t="s">
        <v>7</v>
      </c>
      <c r="D2460" s="7" t="s">
        <v>9</v>
      </c>
      <c r="E2460" s="7" t="s">
        <v>35</v>
      </c>
      <c r="F2460" s="8">
        <v>48.0</v>
      </c>
      <c r="G2460" s="9">
        <v>24.0</v>
      </c>
    </row>
    <row r="2461" ht="14.25" hidden="1" customHeight="1">
      <c r="B2461" s="7" t="s">
        <v>17</v>
      </c>
      <c r="C2461" s="7" t="s">
        <v>29</v>
      </c>
      <c r="D2461" s="7" t="s">
        <v>10</v>
      </c>
      <c r="E2461" s="7" t="s">
        <v>8</v>
      </c>
      <c r="F2461" s="8">
        <v>45.0</v>
      </c>
      <c r="G2461" s="9">
        <v>45.0</v>
      </c>
    </row>
    <row r="2462" ht="14.25" hidden="1" customHeight="1">
      <c r="B2462" s="7" t="s">
        <v>17</v>
      </c>
      <c r="C2462" s="7" t="s">
        <v>29</v>
      </c>
      <c r="D2462" s="7" t="s">
        <v>8</v>
      </c>
      <c r="E2462" s="7" t="s">
        <v>28</v>
      </c>
      <c r="F2462" s="8">
        <v>44.0</v>
      </c>
      <c r="G2462" s="9">
        <v>44.0</v>
      </c>
    </row>
    <row r="2463" ht="14.25" hidden="1" customHeight="1">
      <c r="B2463" s="7" t="s">
        <v>17</v>
      </c>
      <c r="C2463" s="7" t="s">
        <v>7</v>
      </c>
      <c r="D2463" s="7" t="s">
        <v>33</v>
      </c>
      <c r="E2463" s="7" t="s">
        <v>8</v>
      </c>
      <c r="F2463" s="8">
        <v>42.0</v>
      </c>
      <c r="G2463" s="9">
        <v>21.0</v>
      </c>
    </row>
    <row r="2464" ht="14.25" hidden="1" customHeight="1">
      <c r="B2464" s="7" t="s">
        <v>17</v>
      </c>
      <c r="C2464" s="7" t="s">
        <v>29</v>
      </c>
      <c r="D2464" s="7" t="s">
        <v>31</v>
      </c>
      <c r="E2464" s="7" t="s">
        <v>28</v>
      </c>
      <c r="F2464" s="8">
        <v>42.0</v>
      </c>
      <c r="G2464" s="9">
        <v>42.0</v>
      </c>
    </row>
    <row r="2465" ht="14.25" hidden="1" customHeight="1">
      <c r="B2465" s="7" t="s">
        <v>17</v>
      </c>
      <c r="C2465" s="7" t="s">
        <v>7</v>
      </c>
      <c r="D2465" s="7" t="s">
        <v>8</v>
      </c>
      <c r="E2465" s="7" t="s">
        <v>9</v>
      </c>
      <c r="F2465" s="8">
        <v>42.0</v>
      </c>
      <c r="G2465" s="9">
        <v>21.0</v>
      </c>
    </row>
    <row r="2466" ht="14.25" customHeight="1">
      <c r="B2466" s="7" t="s">
        <v>17</v>
      </c>
      <c r="C2466" s="7" t="s">
        <v>7</v>
      </c>
      <c r="D2466" s="7" t="s">
        <v>8</v>
      </c>
      <c r="E2466" s="7" t="s">
        <v>31</v>
      </c>
      <c r="F2466" s="8">
        <v>42.0</v>
      </c>
      <c r="G2466" s="9">
        <v>21.0</v>
      </c>
    </row>
    <row r="2467" ht="14.25" hidden="1" customHeight="1">
      <c r="B2467" s="7" t="s">
        <v>17</v>
      </c>
      <c r="C2467" s="7" t="s">
        <v>7</v>
      </c>
      <c r="D2467" s="7" t="s">
        <v>32</v>
      </c>
      <c r="E2467" s="7" t="s">
        <v>28</v>
      </c>
      <c r="F2467" s="8">
        <v>40.0</v>
      </c>
      <c r="G2467" s="9">
        <v>20.0</v>
      </c>
    </row>
    <row r="2468" ht="14.25" hidden="1" customHeight="1">
      <c r="B2468" s="7" t="s">
        <v>17</v>
      </c>
      <c r="C2468" s="7" t="s">
        <v>7</v>
      </c>
      <c r="D2468" s="7" t="s">
        <v>31</v>
      </c>
      <c r="E2468" s="7" t="s">
        <v>25</v>
      </c>
      <c r="F2468" s="8">
        <v>40.0</v>
      </c>
      <c r="G2468" s="9">
        <v>40.0</v>
      </c>
    </row>
    <row r="2469" ht="14.25" hidden="1" customHeight="1">
      <c r="B2469" s="7" t="s">
        <v>17</v>
      </c>
      <c r="C2469" s="7" t="s">
        <v>30</v>
      </c>
      <c r="D2469" s="7" t="s">
        <v>8</v>
      </c>
      <c r="E2469" s="7" t="s">
        <v>33</v>
      </c>
      <c r="F2469" s="8">
        <v>40.0</v>
      </c>
      <c r="G2469" s="9">
        <v>20.0</v>
      </c>
    </row>
    <row r="2470" ht="14.25" hidden="1" customHeight="1">
      <c r="B2470" s="7" t="s">
        <v>17</v>
      </c>
      <c r="C2470" s="7" t="s">
        <v>7</v>
      </c>
      <c r="D2470" s="7" t="s">
        <v>33</v>
      </c>
      <c r="E2470" s="7" t="s">
        <v>31</v>
      </c>
      <c r="F2470" s="8">
        <v>38.0</v>
      </c>
      <c r="G2470" s="9">
        <v>19.0</v>
      </c>
    </row>
    <row r="2471" ht="14.25" hidden="1" customHeight="1">
      <c r="B2471" s="7" t="s">
        <v>17</v>
      </c>
      <c r="C2471" s="7" t="s">
        <v>7</v>
      </c>
      <c r="D2471" s="7" t="s">
        <v>9</v>
      </c>
      <c r="E2471" s="7" t="s">
        <v>31</v>
      </c>
      <c r="F2471" s="8">
        <v>38.0</v>
      </c>
      <c r="G2471" s="9">
        <v>19.0</v>
      </c>
    </row>
    <row r="2472" ht="14.25" hidden="1" customHeight="1">
      <c r="B2472" s="7" t="s">
        <v>17</v>
      </c>
      <c r="C2472" s="7" t="s">
        <v>29</v>
      </c>
      <c r="D2472" s="7" t="s">
        <v>9</v>
      </c>
      <c r="E2472" s="7" t="s">
        <v>8</v>
      </c>
      <c r="F2472" s="8">
        <v>38.0</v>
      </c>
      <c r="G2472" s="9">
        <v>38.0</v>
      </c>
    </row>
    <row r="2473" ht="14.25" hidden="1" customHeight="1">
      <c r="B2473" s="7" t="s">
        <v>17</v>
      </c>
      <c r="C2473" s="7" t="s">
        <v>29</v>
      </c>
      <c r="D2473" s="7" t="s">
        <v>10</v>
      </c>
      <c r="E2473" s="7" t="s">
        <v>33</v>
      </c>
      <c r="F2473" s="8">
        <v>38.0</v>
      </c>
      <c r="G2473" s="9">
        <v>38.0</v>
      </c>
    </row>
    <row r="2474" ht="14.25" hidden="1" customHeight="1">
      <c r="B2474" s="7" t="s">
        <v>17</v>
      </c>
      <c r="C2474" s="7" t="s">
        <v>29</v>
      </c>
      <c r="D2474" s="7" t="s">
        <v>33</v>
      </c>
      <c r="E2474" s="7" t="s">
        <v>28</v>
      </c>
      <c r="F2474" s="8">
        <v>37.0</v>
      </c>
      <c r="G2474" s="9">
        <v>37.0</v>
      </c>
    </row>
    <row r="2475" ht="14.25" hidden="1" customHeight="1">
      <c r="B2475" s="7" t="s">
        <v>17</v>
      </c>
      <c r="C2475" s="7" t="s">
        <v>7</v>
      </c>
      <c r="D2475" s="7" t="s">
        <v>33</v>
      </c>
      <c r="E2475" s="7" t="s">
        <v>32</v>
      </c>
      <c r="F2475" s="8">
        <v>36.0</v>
      </c>
      <c r="G2475" s="9">
        <v>18.0</v>
      </c>
    </row>
    <row r="2476" ht="14.25" hidden="1" customHeight="1">
      <c r="B2476" s="7" t="s">
        <v>17</v>
      </c>
      <c r="C2476" s="7" t="s">
        <v>7</v>
      </c>
      <c r="D2476" s="7" t="s">
        <v>28</v>
      </c>
      <c r="E2476" s="7" t="s">
        <v>32</v>
      </c>
      <c r="F2476" s="8">
        <v>36.0</v>
      </c>
      <c r="G2476" s="9">
        <v>18.0</v>
      </c>
    </row>
    <row r="2477" ht="14.25" hidden="1" customHeight="1">
      <c r="B2477" s="7" t="s">
        <v>17</v>
      </c>
      <c r="C2477" s="7" t="s">
        <v>7</v>
      </c>
      <c r="D2477" s="7" t="s">
        <v>34</v>
      </c>
      <c r="E2477" s="7" t="s">
        <v>8</v>
      </c>
      <c r="F2477" s="8">
        <v>36.0</v>
      </c>
      <c r="G2477" s="9">
        <v>18.0</v>
      </c>
    </row>
    <row r="2478" ht="14.25" hidden="1" customHeight="1">
      <c r="B2478" s="7" t="s">
        <v>17</v>
      </c>
      <c r="C2478" s="7" t="s">
        <v>7</v>
      </c>
      <c r="D2478" s="7" t="s">
        <v>32</v>
      </c>
      <c r="E2478" s="7" t="s">
        <v>25</v>
      </c>
      <c r="F2478" s="8">
        <v>36.0</v>
      </c>
      <c r="G2478" s="9">
        <v>18.0</v>
      </c>
    </row>
    <row r="2479" ht="14.25" hidden="1" customHeight="1">
      <c r="B2479" s="7" t="s">
        <v>17</v>
      </c>
      <c r="C2479" s="7" t="s">
        <v>7</v>
      </c>
      <c r="D2479" s="7" t="s">
        <v>8</v>
      </c>
      <c r="E2479" s="7" t="s">
        <v>25</v>
      </c>
      <c r="F2479" s="8">
        <v>36.0</v>
      </c>
      <c r="G2479" s="9">
        <v>18.0</v>
      </c>
    </row>
    <row r="2480" ht="14.25" hidden="1" customHeight="1">
      <c r="B2480" s="7" t="s">
        <v>17</v>
      </c>
      <c r="C2480" s="7" t="s">
        <v>29</v>
      </c>
      <c r="D2480" s="7" t="s">
        <v>28</v>
      </c>
      <c r="E2480" s="7" t="s">
        <v>33</v>
      </c>
      <c r="F2480" s="8">
        <v>35.0</v>
      </c>
      <c r="G2480" s="9">
        <v>35.0</v>
      </c>
    </row>
    <row r="2481" ht="14.25" hidden="1" customHeight="1">
      <c r="B2481" s="7" t="s">
        <v>17</v>
      </c>
      <c r="C2481" s="7" t="s">
        <v>29</v>
      </c>
      <c r="D2481" s="7" t="s">
        <v>31</v>
      </c>
      <c r="E2481" s="7" t="s">
        <v>31</v>
      </c>
      <c r="F2481" s="8">
        <v>35.0</v>
      </c>
      <c r="G2481" s="9">
        <v>35.0</v>
      </c>
    </row>
    <row r="2482" ht="14.25" hidden="1" customHeight="1">
      <c r="B2482" s="7" t="s">
        <v>17</v>
      </c>
      <c r="C2482" s="7" t="s">
        <v>7</v>
      </c>
      <c r="D2482" s="7" t="s">
        <v>9</v>
      </c>
      <c r="E2482" s="7" t="s">
        <v>10</v>
      </c>
      <c r="F2482" s="8">
        <v>34.0</v>
      </c>
      <c r="G2482" s="9">
        <v>17.0</v>
      </c>
    </row>
    <row r="2483" ht="14.25" hidden="1" customHeight="1">
      <c r="B2483" s="7" t="s">
        <v>17</v>
      </c>
      <c r="C2483" s="7" t="s">
        <v>7</v>
      </c>
      <c r="D2483" s="7" t="s">
        <v>8</v>
      </c>
      <c r="E2483" s="7" t="s">
        <v>25</v>
      </c>
      <c r="F2483" s="8">
        <v>34.0</v>
      </c>
      <c r="G2483" s="9">
        <v>34.0</v>
      </c>
    </row>
    <row r="2484" ht="14.25" hidden="1" customHeight="1">
      <c r="B2484" s="7" t="s">
        <v>17</v>
      </c>
      <c r="C2484" s="7" t="s">
        <v>7</v>
      </c>
      <c r="D2484" s="7" t="s">
        <v>8</v>
      </c>
      <c r="E2484" s="7" t="s">
        <v>28</v>
      </c>
      <c r="F2484" s="8">
        <v>34.0</v>
      </c>
      <c r="G2484" s="9">
        <v>17.0</v>
      </c>
    </row>
    <row r="2485" ht="14.25" hidden="1" customHeight="1">
      <c r="B2485" s="7" t="s">
        <v>17</v>
      </c>
      <c r="C2485" s="7" t="s">
        <v>29</v>
      </c>
      <c r="D2485" s="7" t="s">
        <v>25</v>
      </c>
      <c r="E2485" s="7" t="s">
        <v>33</v>
      </c>
      <c r="F2485" s="8">
        <v>33.0</v>
      </c>
      <c r="G2485" s="9">
        <v>33.0</v>
      </c>
    </row>
    <row r="2486" ht="14.25" hidden="1" customHeight="1">
      <c r="B2486" s="7" t="s">
        <v>17</v>
      </c>
      <c r="C2486" s="7" t="s">
        <v>7</v>
      </c>
      <c r="D2486" s="7" t="s">
        <v>32</v>
      </c>
      <c r="E2486" s="7" t="s">
        <v>9</v>
      </c>
      <c r="F2486" s="8">
        <v>32.0</v>
      </c>
      <c r="G2486" s="9">
        <v>16.0</v>
      </c>
    </row>
    <row r="2487" ht="14.25" hidden="1" customHeight="1">
      <c r="B2487" s="7" t="s">
        <v>17</v>
      </c>
      <c r="C2487" s="7" t="s">
        <v>7</v>
      </c>
      <c r="D2487" s="7" t="s">
        <v>8</v>
      </c>
      <c r="E2487" s="7" t="s">
        <v>10</v>
      </c>
      <c r="F2487" s="8">
        <v>32.0</v>
      </c>
      <c r="G2487" s="9">
        <v>16.0</v>
      </c>
    </row>
    <row r="2488" ht="14.25" hidden="1" customHeight="1">
      <c r="B2488" s="7" t="s">
        <v>17</v>
      </c>
      <c r="C2488" s="7" t="s">
        <v>29</v>
      </c>
      <c r="D2488" s="7" t="s">
        <v>10</v>
      </c>
      <c r="E2488" s="7" t="s">
        <v>33</v>
      </c>
      <c r="F2488" s="8">
        <v>30.0</v>
      </c>
      <c r="G2488" s="9">
        <v>30.0</v>
      </c>
    </row>
    <row r="2489" ht="14.25" hidden="1" customHeight="1">
      <c r="B2489" s="7" t="s">
        <v>17</v>
      </c>
      <c r="C2489" s="7" t="s">
        <v>29</v>
      </c>
      <c r="D2489" s="7" t="s">
        <v>32</v>
      </c>
      <c r="E2489" s="7" t="s">
        <v>35</v>
      </c>
      <c r="F2489" s="8">
        <v>30.0</v>
      </c>
      <c r="G2489" s="9">
        <v>30.0</v>
      </c>
    </row>
    <row r="2490" ht="14.25" hidden="1" customHeight="1">
      <c r="B2490" s="7" t="s">
        <v>17</v>
      </c>
      <c r="C2490" s="7" t="s">
        <v>30</v>
      </c>
      <c r="D2490" s="7" t="s">
        <v>31</v>
      </c>
      <c r="E2490" s="7" t="s">
        <v>31</v>
      </c>
      <c r="F2490" s="8">
        <v>30.0</v>
      </c>
      <c r="G2490" s="9">
        <v>15.0</v>
      </c>
    </row>
    <row r="2491" ht="14.25" hidden="1" customHeight="1">
      <c r="B2491" s="7" t="s">
        <v>17</v>
      </c>
      <c r="C2491" s="7" t="s">
        <v>7</v>
      </c>
      <c r="D2491" s="7" t="s">
        <v>8</v>
      </c>
      <c r="E2491" s="7" t="s">
        <v>28</v>
      </c>
      <c r="F2491" s="8">
        <v>30.0</v>
      </c>
      <c r="G2491" s="9">
        <v>15.0</v>
      </c>
    </row>
    <row r="2492" ht="14.25" hidden="1" customHeight="1">
      <c r="B2492" s="7" t="s">
        <v>17</v>
      </c>
      <c r="C2492" s="7" t="s">
        <v>7</v>
      </c>
      <c r="D2492" s="7" t="s">
        <v>8</v>
      </c>
      <c r="E2492" s="7" t="s">
        <v>10</v>
      </c>
      <c r="F2492" s="8">
        <v>30.0</v>
      </c>
      <c r="G2492" s="9">
        <v>15.0</v>
      </c>
    </row>
    <row r="2493" ht="14.25" customHeight="1">
      <c r="B2493" s="7" t="s">
        <v>17</v>
      </c>
      <c r="C2493" s="7" t="s">
        <v>29</v>
      </c>
      <c r="D2493" s="7" t="s">
        <v>8</v>
      </c>
      <c r="E2493" s="7" t="s">
        <v>31</v>
      </c>
      <c r="F2493" s="8">
        <v>29.0</v>
      </c>
      <c r="G2493" s="9">
        <v>29.0</v>
      </c>
    </row>
    <row r="2494" ht="14.25" hidden="1" customHeight="1">
      <c r="B2494" s="7" t="s">
        <v>17</v>
      </c>
      <c r="C2494" s="7" t="s">
        <v>30</v>
      </c>
      <c r="D2494" s="7" t="s">
        <v>28</v>
      </c>
      <c r="E2494" s="7" t="s">
        <v>8</v>
      </c>
      <c r="F2494" s="8">
        <v>28.0</v>
      </c>
      <c r="G2494" s="9">
        <v>14.0</v>
      </c>
    </row>
    <row r="2495" ht="14.25" hidden="1" customHeight="1">
      <c r="B2495" s="7" t="s">
        <v>17</v>
      </c>
      <c r="C2495" s="7" t="s">
        <v>29</v>
      </c>
      <c r="D2495" s="7" t="s">
        <v>34</v>
      </c>
      <c r="E2495" s="7" t="s">
        <v>28</v>
      </c>
      <c r="F2495" s="8">
        <v>28.0</v>
      </c>
      <c r="G2495" s="9">
        <v>28.0</v>
      </c>
    </row>
    <row r="2496" ht="14.25" hidden="1" customHeight="1">
      <c r="B2496" s="7" t="s">
        <v>17</v>
      </c>
      <c r="C2496" s="7" t="s">
        <v>29</v>
      </c>
      <c r="D2496" s="7" t="s">
        <v>25</v>
      </c>
      <c r="E2496" s="7" t="s">
        <v>28</v>
      </c>
      <c r="F2496" s="8">
        <v>27.0</v>
      </c>
      <c r="G2496" s="9">
        <v>27.0</v>
      </c>
    </row>
    <row r="2497" ht="14.25" hidden="1" customHeight="1">
      <c r="B2497" s="7" t="s">
        <v>17</v>
      </c>
      <c r="C2497" s="7" t="s">
        <v>29</v>
      </c>
      <c r="D2497" s="7" t="s">
        <v>28</v>
      </c>
      <c r="E2497" s="7" t="s">
        <v>8</v>
      </c>
      <c r="F2497" s="8">
        <v>27.0</v>
      </c>
      <c r="G2497" s="9">
        <v>27.0</v>
      </c>
    </row>
    <row r="2498" ht="14.25" hidden="1" customHeight="1">
      <c r="B2498" s="7" t="s">
        <v>17</v>
      </c>
      <c r="C2498" s="7" t="s">
        <v>29</v>
      </c>
      <c r="D2498" s="7" t="s">
        <v>10</v>
      </c>
      <c r="E2498" s="7" t="s">
        <v>8</v>
      </c>
      <c r="F2498" s="8">
        <v>27.0</v>
      </c>
      <c r="G2498" s="9">
        <v>27.0</v>
      </c>
    </row>
    <row r="2499" ht="14.25" hidden="1" customHeight="1">
      <c r="B2499" s="7" t="s">
        <v>17</v>
      </c>
      <c r="C2499" s="7" t="s">
        <v>29</v>
      </c>
      <c r="D2499" s="7" t="s">
        <v>8</v>
      </c>
      <c r="E2499" s="7" t="s">
        <v>25</v>
      </c>
      <c r="F2499" s="8">
        <v>27.0</v>
      </c>
      <c r="G2499" s="9">
        <v>27.0</v>
      </c>
    </row>
    <row r="2500" ht="14.25" hidden="1" customHeight="1">
      <c r="B2500" s="7" t="s">
        <v>17</v>
      </c>
      <c r="C2500" s="7" t="s">
        <v>29</v>
      </c>
      <c r="D2500" s="7" t="s">
        <v>33</v>
      </c>
      <c r="E2500" s="7" t="s">
        <v>25</v>
      </c>
      <c r="F2500" s="8">
        <v>26.0</v>
      </c>
      <c r="G2500" s="9">
        <v>26.0</v>
      </c>
    </row>
    <row r="2501" ht="14.25" hidden="1" customHeight="1">
      <c r="B2501" s="7" t="s">
        <v>17</v>
      </c>
      <c r="C2501" s="7" t="s">
        <v>7</v>
      </c>
      <c r="D2501" s="7" t="s">
        <v>28</v>
      </c>
      <c r="E2501" s="7" t="s">
        <v>31</v>
      </c>
      <c r="F2501" s="8">
        <v>26.0</v>
      </c>
      <c r="G2501" s="9">
        <v>13.0</v>
      </c>
    </row>
    <row r="2502" ht="14.25" hidden="1" customHeight="1">
      <c r="B2502" s="7" t="s">
        <v>17</v>
      </c>
      <c r="C2502" s="7" t="s">
        <v>7</v>
      </c>
      <c r="D2502" s="7" t="s">
        <v>34</v>
      </c>
      <c r="E2502" s="7" t="s">
        <v>28</v>
      </c>
      <c r="F2502" s="8">
        <v>26.0</v>
      </c>
      <c r="G2502" s="9">
        <v>13.0</v>
      </c>
    </row>
    <row r="2503" ht="14.25" hidden="1" customHeight="1">
      <c r="B2503" s="7" t="s">
        <v>17</v>
      </c>
      <c r="C2503" s="7" t="s">
        <v>30</v>
      </c>
      <c r="D2503" s="7" t="s">
        <v>10</v>
      </c>
      <c r="E2503" s="7" t="s">
        <v>25</v>
      </c>
      <c r="F2503" s="8">
        <v>26.0</v>
      </c>
      <c r="G2503" s="9">
        <v>13.0</v>
      </c>
    </row>
    <row r="2504" ht="14.25" hidden="1" customHeight="1">
      <c r="B2504" s="7" t="s">
        <v>17</v>
      </c>
      <c r="C2504" s="7" t="s">
        <v>7</v>
      </c>
      <c r="D2504" s="7" t="s">
        <v>10</v>
      </c>
      <c r="E2504" s="7" t="s">
        <v>28</v>
      </c>
      <c r="F2504" s="8">
        <v>26.0</v>
      </c>
      <c r="G2504" s="9">
        <v>13.0</v>
      </c>
    </row>
    <row r="2505" ht="14.25" hidden="1" customHeight="1">
      <c r="B2505" s="7" t="s">
        <v>17</v>
      </c>
      <c r="C2505" s="7" t="s">
        <v>7</v>
      </c>
      <c r="D2505" s="7" t="s">
        <v>32</v>
      </c>
      <c r="E2505" s="7" t="s">
        <v>33</v>
      </c>
      <c r="F2505" s="8">
        <v>26.0</v>
      </c>
      <c r="G2505" s="9">
        <v>13.0</v>
      </c>
    </row>
    <row r="2506" ht="14.25" hidden="1" customHeight="1">
      <c r="B2506" s="7" t="s">
        <v>17</v>
      </c>
      <c r="C2506" s="7" t="s">
        <v>29</v>
      </c>
      <c r="D2506" s="7" t="s">
        <v>31</v>
      </c>
      <c r="E2506" s="7" t="s">
        <v>35</v>
      </c>
      <c r="F2506" s="8">
        <v>25.0</v>
      </c>
      <c r="G2506" s="9">
        <v>25.0</v>
      </c>
    </row>
    <row r="2507" ht="14.25" hidden="1" customHeight="1">
      <c r="B2507" s="7" t="s">
        <v>17</v>
      </c>
      <c r="C2507" s="7" t="s">
        <v>29</v>
      </c>
      <c r="D2507" s="7" t="s">
        <v>11</v>
      </c>
      <c r="E2507" s="7" t="s">
        <v>10</v>
      </c>
      <c r="F2507" s="8">
        <v>24.0</v>
      </c>
      <c r="G2507" s="9">
        <v>24.0</v>
      </c>
    </row>
    <row r="2508" ht="14.25" hidden="1" customHeight="1">
      <c r="B2508" s="7" t="s">
        <v>17</v>
      </c>
      <c r="C2508" s="7" t="s">
        <v>30</v>
      </c>
      <c r="D2508" s="7" t="s">
        <v>34</v>
      </c>
      <c r="E2508" s="7" t="s">
        <v>28</v>
      </c>
      <c r="F2508" s="8">
        <v>24.0</v>
      </c>
      <c r="G2508" s="9">
        <v>12.0</v>
      </c>
    </row>
    <row r="2509" ht="14.25" hidden="1" customHeight="1">
      <c r="B2509" s="7" t="s">
        <v>17</v>
      </c>
      <c r="C2509" s="7" t="s">
        <v>7</v>
      </c>
      <c r="D2509" s="7" t="s">
        <v>10</v>
      </c>
      <c r="E2509" s="7" t="s">
        <v>8</v>
      </c>
      <c r="F2509" s="8">
        <v>24.0</v>
      </c>
      <c r="G2509" s="9">
        <v>12.0</v>
      </c>
    </row>
    <row r="2510" ht="14.25" hidden="1" customHeight="1">
      <c r="B2510" s="7" t="s">
        <v>17</v>
      </c>
      <c r="C2510" s="7" t="s">
        <v>30</v>
      </c>
      <c r="D2510" s="7" t="s">
        <v>32</v>
      </c>
      <c r="E2510" s="7" t="s">
        <v>8</v>
      </c>
      <c r="F2510" s="8">
        <v>24.0</v>
      </c>
      <c r="G2510" s="9">
        <v>12.0</v>
      </c>
    </row>
    <row r="2511" ht="14.25" hidden="1" customHeight="1">
      <c r="B2511" s="7" t="s">
        <v>17</v>
      </c>
      <c r="C2511" s="7" t="s">
        <v>7</v>
      </c>
      <c r="D2511" s="7" t="s">
        <v>8</v>
      </c>
      <c r="E2511" s="7" t="s">
        <v>10</v>
      </c>
      <c r="F2511" s="8">
        <v>24.0</v>
      </c>
      <c r="G2511" s="9">
        <v>12.0</v>
      </c>
    </row>
    <row r="2512" ht="14.25" hidden="1" customHeight="1">
      <c r="B2512" s="7" t="s">
        <v>17</v>
      </c>
      <c r="C2512" s="7" t="s">
        <v>7</v>
      </c>
      <c r="D2512" s="7" t="s">
        <v>33</v>
      </c>
      <c r="E2512" s="7" t="s">
        <v>28</v>
      </c>
      <c r="F2512" s="8">
        <v>22.0</v>
      </c>
      <c r="G2512" s="9">
        <v>11.0</v>
      </c>
    </row>
    <row r="2513" ht="14.25" hidden="1" customHeight="1">
      <c r="B2513" s="7" t="s">
        <v>17</v>
      </c>
      <c r="C2513" s="7" t="s">
        <v>7</v>
      </c>
      <c r="D2513" s="7" t="s">
        <v>28</v>
      </c>
      <c r="E2513" s="7" t="s">
        <v>35</v>
      </c>
      <c r="F2513" s="8">
        <v>22.0</v>
      </c>
      <c r="G2513" s="9">
        <v>11.0</v>
      </c>
    </row>
    <row r="2514" ht="14.25" hidden="1" customHeight="1">
      <c r="B2514" s="7" t="s">
        <v>17</v>
      </c>
      <c r="C2514" s="7" t="s">
        <v>7</v>
      </c>
      <c r="D2514" s="7" t="s">
        <v>9</v>
      </c>
      <c r="E2514" s="7" t="s">
        <v>31</v>
      </c>
      <c r="F2514" s="8">
        <v>22.0</v>
      </c>
      <c r="G2514" s="9">
        <v>11.0</v>
      </c>
    </row>
    <row r="2515" ht="14.25" hidden="1" customHeight="1">
      <c r="B2515" s="7" t="s">
        <v>17</v>
      </c>
      <c r="C2515" s="7" t="s">
        <v>29</v>
      </c>
      <c r="D2515" s="7" t="s">
        <v>31</v>
      </c>
      <c r="E2515" s="7" t="s">
        <v>35</v>
      </c>
      <c r="F2515" s="8">
        <v>22.0</v>
      </c>
      <c r="G2515" s="9">
        <v>22.0</v>
      </c>
    </row>
    <row r="2516" ht="14.25" hidden="1" customHeight="1">
      <c r="B2516" s="7" t="s">
        <v>17</v>
      </c>
      <c r="C2516" s="7" t="s">
        <v>7</v>
      </c>
      <c r="D2516" s="7" t="s">
        <v>31</v>
      </c>
      <c r="E2516" s="7" t="s">
        <v>9</v>
      </c>
      <c r="F2516" s="8">
        <v>22.0</v>
      </c>
      <c r="G2516" s="9">
        <v>11.0</v>
      </c>
    </row>
    <row r="2517" ht="14.25" hidden="1" customHeight="1">
      <c r="B2517" s="7" t="s">
        <v>17</v>
      </c>
      <c r="C2517" s="7" t="s">
        <v>30</v>
      </c>
      <c r="D2517" s="7" t="s">
        <v>31</v>
      </c>
      <c r="E2517" s="7" t="s">
        <v>24</v>
      </c>
      <c r="F2517" s="8">
        <v>22.0</v>
      </c>
      <c r="G2517" s="9">
        <v>11.0</v>
      </c>
    </row>
    <row r="2518" ht="14.25" hidden="1" customHeight="1">
      <c r="B2518" s="7" t="s">
        <v>17</v>
      </c>
      <c r="C2518" s="7" t="s">
        <v>7</v>
      </c>
      <c r="D2518" s="7" t="s">
        <v>8</v>
      </c>
      <c r="E2518" s="7" t="s">
        <v>9</v>
      </c>
      <c r="F2518" s="8">
        <v>22.0</v>
      </c>
      <c r="G2518" s="9">
        <v>11.0</v>
      </c>
    </row>
    <row r="2519" ht="14.25" hidden="1" customHeight="1">
      <c r="B2519" s="7" t="s">
        <v>17</v>
      </c>
      <c r="C2519" s="7" t="s">
        <v>29</v>
      </c>
      <c r="D2519" s="7" t="s">
        <v>9</v>
      </c>
      <c r="E2519" s="7" t="s">
        <v>31</v>
      </c>
      <c r="F2519" s="8">
        <v>21.0</v>
      </c>
      <c r="G2519" s="9">
        <v>21.0</v>
      </c>
    </row>
    <row r="2520" ht="14.25" hidden="1" customHeight="1">
      <c r="B2520" s="7" t="s">
        <v>17</v>
      </c>
      <c r="C2520" s="7" t="s">
        <v>29</v>
      </c>
      <c r="D2520" s="7" t="s">
        <v>9</v>
      </c>
      <c r="E2520" s="7" t="s">
        <v>8</v>
      </c>
      <c r="F2520" s="8">
        <v>20.0</v>
      </c>
      <c r="G2520" s="9">
        <v>20.0</v>
      </c>
    </row>
    <row r="2521" ht="14.25" hidden="1" customHeight="1">
      <c r="B2521" s="7" t="s">
        <v>17</v>
      </c>
      <c r="C2521" s="7" t="s">
        <v>29</v>
      </c>
      <c r="D2521" s="7" t="s">
        <v>10</v>
      </c>
      <c r="E2521" s="7" t="s">
        <v>28</v>
      </c>
      <c r="F2521" s="8">
        <v>20.0</v>
      </c>
      <c r="G2521" s="9">
        <v>20.0</v>
      </c>
    </row>
    <row r="2522" ht="14.25" hidden="1" customHeight="1">
      <c r="B2522" s="7" t="s">
        <v>17</v>
      </c>
      <c r="C2522" s="7" t="s">
        <v>7</v>
      </c>
      <c r="D2522" s="7" t="s">
        <v>10</v>
      </c>
      <c r="E2522" s="7" t="s">
        <v>8</v>
      </c>
      <c r="F2522" s="8">
        <v>20.0</v>
      </c>
      <c r="G2522" s="9">
        <v>10.0</v>
      </c>
    </row>
    <row r="2523" ht="14.25" hidden="1" customHeight="1">
      <c r="B2523" s="7" t="s">
        <v>17</v>
      </c>
      <c r="C2523" s="7" t="s">
        <v>29</v>
      </c>
      <c r="D2523" s="7" t="s">
        <v>32</v>
      </c>
      <c r="E2523" s="7" t="s">
        <v>25</v>
      </c>
      <c r="F2523" s="8">
        <v>20.0</v>
      </c>
      <c r="G2523" s="9">
        <v>20.0</v>
      </c>
    </row>
    <row r="2524" ht="14.25" hidden="1" customHeight="1">
      <c r="B2524" s="7" t="s">
        <v>17</v>
      </c>
      <c r="C2524" s="7" t="s">
        <v>29</v>
      </c>
      <c r="D2524" s="7" t="s">
        <v>32</v>
      </c>
      <c r="E2524" s="7" t="s">
        <v>28</v>
      </c>
      <c r="F2524" s="8">
        <v>20.0</v>
      </c>
      <c r="G2524" s="9">
        <v>20.0</v>
      </c>
    </row>
    <row r="2525" ht="14.25" hidden="1" customHeight="1">
      <c r="B2525" s="7" t="s">
        <v>17</v>
      </c>
      <c r="C2525" s="7" t="s">
        <v>7</v>
      </c>
      <c r="D2525" s="7" t="s">
        <v>32</v>
      </c>
      <c r="E2525" s="7" t="s">
        <v>35</v>
      </c>
      <c r="F2525" s="8">
        <v>20.0</v>
      </c>
      <c r="G2525" s="9">
        <v>10.0</v>
      </c>
    </row>
    <row r="2526" ht="14.25" hidden="1" customHeight="1">
      <c r="B2526" s="7" t="s">
        <v>17</v>
      </c>
      <c r="C2526" s="7" t="s">
        <v>7</v>
      </c>
      <c r="D2526" s="7" t="s">
        <v>8</v>
      </c>
      <c r="E2526" s="7" t="s">
        <v>28</v>
      </c>
      <c r="F2526" s="8">
        <v>20.0</v>
      </c>
      <c r="G2526" s="9">
        <v>10.0</v>
      </c>
    </row>
    <row r="2527" ht="14.25" hidden="1" customHeight="1">
      <c r="B2527" s="7" t="s">
        <v>17</v>
      </c>
      <c r="C2527" s="7" t="s">
        <v>29</v>
      </c>
      <c r="D2527" s="7" t="s">
        <v>25</v>
      </c>
      <c r="E2527" s="7" t="s">
        <v>9</v>
      </c>
      <c r="F2527" s="8">
        <v>18.0</v>
      </c>
      <c r="G2527" s="9">
        <v>18.0</v>
      </c>
    </row>
    <row r="2528" ht="14.25" hidden="1" customHeight="1">
      <c r="B2528" s="7" t="s">
        <v>17</v>
      </c>
      <c r="C2528" s="7" t="s">
        <v>7</v>
      </c>
      <c r="D2528" s="7" t="s">
        <v>33</v>
      </c>
      <c r="E2528" s="7" t="s">
        <v>31</v>
      </c>
      <c r="F2528" s="8">
        <v>18.0</v>
      </c>
      <c r="G2528" s="9">
        <v>9.0</v>
      </c>
    </row>
    <row r="2529" ht="14.25" hidden="1" customHeight="1">
      <c r="B2529" s="7" t="s">
        <v>17</v>
      </c>
      <c r="C2529" s="7" t="s">
        <v>29</v>
      </c>
      <c r="D2529" s="7" t="s">
        <v>11</v>
      </c>
      <c r="E2529" s="7" t="s">
        <v>25</v>
      </c>
      <c r="F2529" s="8">
        <v>18.0</v>
      </c>
      <c r="G2529" s="9">
        <v>18.0</v>
      </c>
    </row>
    <row r="2530" ht="14.25" hidden="1" customHeight="1">
      <c r="B2530" s="7" t="s">
        <v>17</v>
      </c>
      <c r="C2530" s="7" t="s">
        <v>29</v>
      </c>
      <c r="D2530" s="7" t="s">
        <v>11</v>
      </c>
      <c r="E2530" s="7" t="s">
        <v>10</v>
      </c>
      <c r="F2530" s="8">
        <v>18.0</v>
      </c>
      <c r="G2530" s="9">
        <v>18.0</v>
      </c>
    </row>
    <row r="2531" ht="14.25" hidden="1" customHeight="1">
      <c r="B2531" s="7" t="s">
        <v>17</v>
      </c>
      <c r="C2531" s="7" t="s">
        <v>7</v>
      </c>
      <c r="D2531" s="7" t="s">
        <v>31</v>
      </c>
      <c r="E2531" s="7" t="s">
        <v>8</v>
      </c>
      <c r="F2531" s="8">
        <v>18.0</v>
      </c>
      <c r="G2531" s="9">
        <v>9.0</v>
      </c>
    </row>
    <row r="2532" ht="14.25" hidden="1" customHeight="1">
      <c r="B2532" s="7" t="s">
        <v>17</v>
      </c>
      <c r="C2532" s="7" t="s">
        <v>29</v>
      </c>
      <c r="D2532" s="7" t="s">
        <v>33</v>
      </c>
      <c r="E2532" s="7" t="s">
        <v>25</v>
      </c>
      <c r="F2532" s="8">
        <v>17.0</v>
      </c>
      <c r="G2532" s="9">
        <v>17.0</v>
      </c>
    </row>
    <row r="2533" ht="14.25" hidden="1" customHeight="1">
      <c r="B2533" s="7" t="s">
        <v>17</v>
      </c>
      <c r="C2533" s="7" t="s">
        <v>29</v>
      </c>
      <c r="D2533" s="7" t="s">
        <v>28</v>
      </c>
      <c r="E2533" s="7" t="s">
        <v>31</v>
      </c>
      <c r="F2533" s="8">
        <v>17.0</v>
      </c>
      <c r="G2533" s="9">
        <v>17.0</v>
      </c>
    </row>
    <row r="2534" ht="14.25" hidden="1" customHeight="1">
      <c r="B2534" s="7" t="s">
        <v>17</v>
      </c>
      <c r="C2534" s="7" t="s">
        <v>29</v>
      </c>
      <c r="D2534" s="7" t="s">
        <v>9</v>
      </c>
      <c r="E2534" s="7" t="s">
        <v>32</v>
      </c>
      <c r="F2534" s="8">
        <v>17.0</v>
      </c>
      <c r="G2534" s="9">
        <v>17.0</v>
      </c>
    </row>
    <row r="2535" ht="14.25" hidden="1" customHeight="1">
      <c r="B2535" s="7" t="s">
        <v>17</v>
      </c>
      <c r="C2535" s="7" t="s">
        <v>7</v>
      </c>
      <c r="D2535" s="7" t="s">
        <v>33</v>
      </c>
      <c r="E2535" s="7" t="s">
        <v>28</v>
      </c>
      <c r="F2535" s="8">
        <v>16.0</v>
      </c>
      <c r="G2535" s="9">
        <v>8.0</v>
      </c>
    </row>
    <row r="2536" ht="14.25" hidden="1" customHeight="1">
      <c r="B2536" s="7" t="s">
        <v>17</v>
      </c>
      <c r="C2536" s="7" t="s">
        <v>7</v>
      </c>
      <c r="D2536" s="7" t="s">
        <v>11</v>
      </c>
      <c r="E2536" s="7" t="s">
        <v>10</v>
      </c>
      <c r="F2536" s="8">
        <v>16.0</v>
      </c>
      <c r="G2536" s="9">
        <v>8.0</v>
      </c>
    </row>
    <row r="2537" ht="14.25" hidden="1" customHeight="1">
      <c r="B2537" s="7" t="s">
        <v>17</v>
      </c>
      <c r="C2537" s="7" t="s">
        <v>29</v>
      </c>
      <c r="D2537" s="7" t="s">
        <v>9</v>
      </c>
      <c r="E2537" s="7" t="s">
        <v>31</v>
      </c>
      <c r="F2537" s="8">
        <v>16.0</v>
      </c>
      <c r="G2537" s="9">
        <v>16.0</v>
      </c>
    </row>
    <row r="2538" ht="14.25" hidden="1" customHeight="1">
      <c r="B2538" s="7" t="s">
        <v>17</v>
      </c>
      <c r="C2538" s="7" t="s">
        <v>30</v>
      </c>
      <c r="D2538" s="7" t="s">
        <v>32</v>
      </c>
      <c r="E2538" s="7" t="s">
        <v>28</v>
      </c>
      <c r="F2538" s="8">
        <v>16.0</v>
      </c>
      <c r="G2538" s="9">
        <v>8.0</v>
      </c>
    </row>
    <row r="2539" ht="14.25" hidden="1" customHeight="1">
      <c r="B2539" s="7" t="s">
        <v>17</v>
      </c>
      <c r="C2539" s="7" t="s">
        <v>7</v>
      </c>
      <c r="D2539" s="7" t="s">
        <v>31</v>
      </c>
      <c r="E2539" s="7" t="s">
        <v>33</v>
      </c>
      <c r="F2539" s="8">
        <v>16.0</v>
      </c>
      <c r="G2539" s="9">
        <v>8.0</v>
      </c>
    </row>
    <row r="2540" ht="14.25" hidden="1" customHeight="1">
      <c r="B2540" s="7" t="s">
        <v>17</v>
      </c>
      <c r="C2540" s="7" t="s">
        <v>29</v>
      </c>
      <c r="D2540" s="7" t="s">
        <v>31</v>
      </c>
      <c r="E2540" s="7" t="s">
        <v>28</v>
      </c>
      <c r="F2540" s="8">
        <v>16.0</v>
      </c>
      <c r="G2540" s="9">
        <v>16.0</v>
      </c>
    </row>
    <row r="2541" ht="14.25" hidden="1" customHeight="1">
      <c r="B2541" s="7" t="s">
        <v>17</v>
      </c>
      <c r="C2541" s="7" t="s">
        <v>7</v>
      </c>
      <c r="D2541" s="7" t="s">
        <v>25</v>
      </c>
      <c r="E2541" s="7" t="s">
        <v>9</v>
      </c>
      <c r="F2541" s="8">
        <v>14.0</v>
      </c>
      <c r="G2541" s="9">
        <v>7.0</v>
      </c>
    </row>
    <row r="2542" ht="14.25" hidden="1" customHeight="1">
      <c r="B2542" s="7" t="s">
        <v>17</v>
      </c>
      <c r="C2542" s="7" t="s">
        <v>7</v>
      </c>
      <c r="D2542" s="7" t="s">
        <v>25</v>
      </c>
      <c r="E2542" s="7" t="s">
        <v>8</v>
      </c>
      <c r="F2542" s="8">
        <v>14.0</v>
      </c>
      <c r="G2542" s="9">
        <v>7.0</v>
      </c>
    </row>
    <row r="2543" ht="14.25" hidden="1" customHeight="1">
      <c r="B2543" s="7" t="s">
        <v>17</v>
      </c>
      <c r="C2543" s="7" t="s">
        <v>30</v>
      </c>
      <c r="D2543" s="7" t="s">
        <v>25</v>
      </c>
      <c r="E2543" s="7" t="s">
        <v>8</v>
      </c>
      <c r="F2543" s="8">
        <v>14.0</v>
      </c>
      <c r="G2543" s="9">
        <v>7.0</v>
      </c>
    </row>
    <row r="2544" ht="14.25" hidden="1" customHeight="1">
      <c r="B2544" s="7" t="s">
        <v>17</v>
      </c>
      <c r="C2544" s="7" t="s">
        <v>7</v>
      </c>
      <c r="D2544" s="7" t="s">
        <v>33</v>
      </c>
      <c r="E2544" s="7" t="s">
        <v>8</v>
      </c>
      <c r="F2544" s="8">
        <v>14.0</v>
      </c>
      <c r="G2544" s="9">
        <v>14.0</v>
      </c>
    </row>
    <row r="2545" ht="14.25" hidden="1" customHeight="1">
      <c r="B2545" s="7" t="s">
        <v>17</v>
      </c>
      <c r="C2545" s="7" t="s">
        <v>7</v>
      </c>
      <c r="D2545" s="7" t="s">
        <v>33</v>
      </c>
      <c r="E2545" s="7" t="s">
        <v>8</v>
      </c>
      <c r="F2545" s="8">
        <v>14.0</v>
      </c>
      <c r="G2545" s="9">
        <v>7.0</v>
      </c>
    </row>
    <row r="2546" ht="14.25" hidden="1" customHeight="1">
      <c r="B2546" s="7" t="s">
        <v>17</v>
      </c>
      <c r="C2546" s="7" t="s">
        <v>7</v>
      </c>
      <c r="D2546" s="7" t="s">
        <v>9</v>
      </c>
      <c r="E2546" s="7" t="s">
        <v>31</v>
      </c>
      <c r="F2546" s="8">
        <v>14.0</v>
      </c>
      <c r="G2546" s="9">
        <v>7.0</v>
      </c>
    </row>
    <row r="2547" ht="14.25" hidden="1" customHeight="1">
      <c r="B2547" s="7" t="s">
        <v>17</v>
      </c>
      <c r="C2547" s="7" t="s">
        <v>7</v>
      </c>
      <c r="D2547" s="7" t="s">
        <v>10</v>
      </c>
      <c r="E2547" s="7" t="s">
        <v>28</v>
      </c>
      <c r="F2547" s="8">
        <v>14.0</v>
      </c>
      <c r="G2547" s="9">
        <v>7.0</v>
      </c>
    </row>
    <row r="2548" ht="14.25" hidden="1" customHeight="1">
      <c r="B2548" s="7" t="s">
        <v>17</v>
      </c>
      <c r="C2548" s="7" t="s">
        <v>29</v>
      </c>
      <c r="D2548" s="7" t="s">
        <v>32</v>
      </c>
      <c r="E2548" s="7" t="s">
        <v>8</v>
      </c>
      <c r="F2548" s="8">
        <v>14.0</v>
      </c>
      <c r="G2548" s="9">
        <v>14.0</v>
      </c>
    </row>
    <row r="2549" ht="14.25" hidden="1" customHeight="1">
      <c r="B2549" s="7" t="s">
        <v>17</v>
      </c>
      <c r="C2549" s="7" t="s">
        <v>29</v>
      </c>
      <c r="D2549" s="7" t="s">
        <v>10</v>
      </c>
      <c r="E2549" s="7" t="s">
        <v>8</v>
      </c>
      <c r="F2549" s="8">
        <v>13.0</v>
      </c>
      <c r="G2549" s="9">
        <v>13.0</v>
      </c>
    </row>
    <row r="2550" ht="14.25" hidden="1" customHeight="1">
      <c r="B2550" s="7" t="s">
        <v>17</v>
      </c>
      <c r="C2550" s="7" t="s">
        <v>29</v>
      </c>
      <c r="D2550" s="7" t="s">
        <v>32</v>
      </c>
      <c r="E2550" s="7" t="s">
        <v>28</v>
      </c>
      <c r="F2550" s="8">
        <v>13.0</v>
      </c>
      <c r="G2550" s="9">
        <v>13.0</v>
      </c>
    </row>
    <row r="2551" ht="14.25" hidden="1" customHeight="1">
      <c r="B2551" s="7" t="s">
        <v>17</v>
      </c>
      <c r="C2551" s="7" t="s">
        <v>29</v>
      </c>
      <c r="D2551" s="7" t="s">
        <v>25</v>
      </c>
      <c r="E2551" s="7" t="s">
        <v>33</v>
      </c>
      <c r="F2551" s="8">
        <v>12.0</v>
      </c>
      <c r="G2551" s="9">
        <v>12.0</v>
      </c>
    </row>
    <row r="2552" ht="14.25" hidden="1" customHeight="1">
      <c r="B2552" s="7" t="s">
        <v>17</v>
      </c>
      <c r="C2552" s="7" t="s">
        <v>7</v>
      </c>
      <c r="D2552" s="7" t="s">
        <v>25</v>
      </c>
      <c r="E2552" s="7" t="s">
        <v>33</v>
      </c>
      <c r="F2552" s="8">
        <v>12.0</v>
      </c>
      <c r="G2552" s="9">
        <v>6.0</v>
      </c>
    </row>
    <row r="2553" ht="14.25" hidden="1" customHeight="1">
      <c r="B2553" s="7" t="s">
        <v>17</v>
      </c>
      <c r="C2553" s="7" t="s">
        <v>7</v>
      </c>
      <c r="D2553" s="7" t="s">
        <v>28</v>
      </c>
      <c r="E2553" s="7" t="s">
        <v>8</v>
      </c>
      <c r="F2553" s="8">
        <v>12.0</v>
      </c>
      <c r="G2553" s="9">
        <v>12.0</v>
      </c>
    </row>
    <row r="2554" ht="14.25" hidden="1" customHeight="1">
      <c r="B2554" s="7" t="s">
        <v>17</v>
      </c>
      <c r="C2554" s="7" t="s">
        <v>29</v>
      </c>
      <c r="D2554" s="7" t="s">
        <v>34</v>
      </c>
      <c r="E2554" s="7" t="s">
        <v>28</v>
      </c>
      <c r="F2554" s="8">
        <v>12.0</v>
      </c>
      <c r="G2554" s="9">
        <v>12.0</v>
      </c>
    </row>
    <row r="2555" ht="14.25" hidden="1" customHeight="1">
      <c r="B2555" s="7" t="s">
        <v>17</v>
      </c>
      <c r="C2555" s="7" t="s">
        <v>30</v>
      </c>
      <c r="D2555" s="7" t="s">
        <v>32</v>
      </c>
      <c r="E2555" s="7" t="s">
        <v>9</v>
      </c>
      <c r="F2555" s="8">
        <v>12.0</v>
      </c>
      <c r="G2555" s="9">
        <v>6.0</v>
      </c>
    </row>
    <row r="2556" ht="14.25" hidden="1" customHeight="1">
      <c r="B2556" s="7" t="s">
        <v>17</v>
      </c>
      <c r="C2556" s="7" t="s">
        <v>7</v>
      </c>
      <c r="D2556" s="7" t="s">
        <v>31</v>
      </c>
      <c r="E2556" s="7" t="s">
        <v>9</v>
      </c>
      <c r="F2556" s="8">
        <v>12.0</v>
      </c>
      <c r="G2556" s="9">
        <v>6.0</v>
      </c>
    </row>
    <row r="2557" ht="14.25" hidden="1" customHeight="1">
      <c r="B2557" s="7" t="s">
        <v>17</v>
      </c>
      <c r="C2557" s="7" t="s">
        <v>7</v>
      </c>
      <c r="D2557" s="7" t="s">
        <v>8</v>
      </c>
      <c r="E2557" s="7" t="s">
        <v>28</v>
      </c>
      <c r="F2557" s="8">
        <v>12.0</v>
      </c>
      <c r="G2557" s="9">
        <v>6.0</v>
      </c>
    </row>
    <row r="2558" ht="14.25" hidden="1" customHeight="1">
      <c r="B2558" s="7" t="s">
        <v>17</v>
      </c>
      <c r="C2558" s="7" t="s">
        <v>30</v>
      </c>
      <c r="D2558" s="7" t="s">
        <v>8</v>
      </c>
      <c r="E2558" s="7" t="s">
        <v>35</v>
      </c>
      <c r="F2558" s="8">
        <v>12.0</v>
      </c>
      <c r="G2558" s="9">
        <v>6.0</v>
      </c>
    </row>
    <row r="2559" ht="14.25" hidden="1" customHeight="1">
      <c r="B2559" s="7" t="s">
        <v>17</v>
      </c>
      <c r="C2559" s="7" t="s">
        <v>29</v>
      </c>
      <c r="D2559" s="7" t="s">
        <v>8</v>
      </c>
      <c r="E2559" s="7" t="s">
        <v>9</v>
      </c>
      <c r="F2559" s="8">
        <v>12.0</v>
      </c>
      <c r="G2559" s="9">
        <v>12.0</v>
      </c>
    </row>
    <row r="2560" ht="14.25" hidden="1" customHeight="1">
      <c r="B2560" s="7" t="s">
        <v>17</v>
      </c>
      <c r="C2560" s="7" t="s">
        <v>29</v>
      </c>
      <c r="D2560" s="7" t="s">
        <v>28</v>
      </c>
      <c r="E2560" s="7" t="s">
        <v>8</v>
      </c>
      <c r="F2560" s="8">
        <v>11.0</v>
      </c>
      <c r="G2560" s="9">
        <v>11.0</v>
      </c>
    </row>
    <row r="2561" ht="14.25" hidden="1" customHeight="1">
      <c r="B2561" s="7" t="s">
        <v>17</v>
      </c>
      <c r="C2561" s="7" t="s">
        <v>29</v>
      </c>
      <c r="D2561" s="7" t="s">
        <v>9</v>
      </c>
      <c r="E2561" s="7" t="s">
        <v>33</v>
      </c>
      <c r="F2561" s="8">
        <v>11.0</v>
      </c>
      <c r="G2561" s="9">
        <v>11.0</v>
      </c>
    </row>
    <row r="2562" ht="14.25" customHeight="1">
      <c r="B2562" s="7" t="s">
        <v>17</v>
      </c>
      <c r="C2562" s="7" t="s">
        <v>29</v>
      </c>
      <c r="D2562" s="7" t="s">
        <v>8</v>
      </c>
      <c r="E2562" s="7" t="s">
        <v>31</v>
      </c>
      <c r="F2562" s="8">
        <v>11.0</v>
      </c>
      <c r="G2562" s="9">
        <v>11.0</v>
      </c>
    </row>
    <row r="2563" ht="14.25" hidden="1" customHeight="1">
      <c r="B2563" s="7" t="s">
        <v>17</v>
      </c>
      <c r="C2563" s="7" t="s">
        <v>29</v>
      </c>
      <c r="D2563" s="7" t="s">
        <v>33</v>
      </c>
      <c r="E2563" s="7" t="s">
        <v>25</v>
      </c>
      <c r="F2563" s="8">
        <v>10.0</v>
      </c>
      <c r="G2563" s="9">
        <v>10.0</v>
      </c>
    </row>
    <row r="2564" ht="14.25" hidden="1" customHeight="1">
      <c r="B2564" s="7" t="s">
        <v>17</v>
      </c>
      <c r="C2564" s="7" t="s">
        <v>30</v>
      </c>
      <c r="D2564" s="7" t="s">
        <v>28</v>
      </c>
      <c r="E2564" s="7" t="s">
        <v>25</v>
      </c>
      <c r="F2564" s="8">
        <v>10.0</v>
      </c>
      <c r="G2564" s="9">
        <v>5.0</v>
      </c>
    </row>
    <row r="2565" ht="14.25" hidden="1" customHeight="1">
      <c r="B2565" s="7" t="s">
        <v>17</v>
      </c>
      <c r="C2565" s="7" t="s">
        <v>29</v>
      </c>
      <c r="D2565" s="7" t="s">
        <v>9</v>
      </c>
      <c r="E2565" s="7" t="s">
        <v>10</v>
      </c>
      <c r="F2565" s="8">
        <v>10.0</v>
      </c>
      <c r="G2565" s="9">
        <v>10.0</v>
      </c>
    </row>
    <row r="2566" ht="14.25" hidden="1" customHeight="1">
      <c r="B2566" s="7" t="s">
        <v>17</v>
      </c>
      <c r="C2566" s="7" t="s">
        <v>30</v>
      </c>
      <c r="D2566" s="7" t="s">
        <v>9</v>
      </c>
      <c r="E2566" s="7" t="s">
        <v>8</v>
      </c>
      <c r="F2566" s="8">
        <v>10.0</v>
      </c>
      <c r="G2566" s="9">
        <v>5.0</v>
      </c>
    </row>
    <row r="2567" ht="14.25" hidden="1" customHeight="1">
      <c r="B2567" s="7" t="s">
        <v>17</v>
      </c>
      <c r="C2567" s="7" t="s">
        <v>29</v>
      </c>
      <c r="D2567" s="7" t="s">
        <v>24</v>
      </c>
      <c r="E2567" s="7" t="s">
        <v>33</v>
      </c>
      <c r="F2567" s="8">
        <v>10.0</v>
      </c>
      <c r="G2567" s="9">
        <v>10.0</v>
      </c>
    </row>
    <row r="2568" ht="14.25" hidden="1" customHeight="1">
      <c r="B2568" s="7" t="s">
        <v>17</v>
      </c>
      <c r="C2568" s="7" t="s">
        <v>30</v>
      </c>
      <c r="D2568" s="7" t="s">
        <v>24</v>
      </c>
      <c r="E2568" s="7" t="s">
        <v>8</v>
      </c>
      <c r="F2568" s="8">
        <v>10.0</v>
      </c>
      <c r="G2568" s="9">
        <v>5.0</v>
      </c>
    </row>
    <row r="2569" ht="14.25" hidden="1" customHeight="1">
      <c r="B2569" s="7" t="s">
        <v>17</v>
      </c>
      <c r="C2569" s="7" t="s">
        <v>29</v>
      </c>
      <c r="D2569" s="7" t="s">
        <v>10</v>
      </c>
      <c r="E2569" s="7" t="s">
        <v>25</v>
      </c>
      <c r="F2569" s="8">
        <v>10.0</v>
      </c>
      <c r="G2569" s="9">
        <v>10.0</v>
      </c>
    </row>
    <row r="2570" ht="14.25" hidden="1" customHeight="1">
      <c r="B2570" s="7" t="s">
        <v>17</v>
      </c>
      <c r="C2570" s="7" t="s">
        <v>7</v>
      </c>
      <c r="D2570" s="7" t="s">
        <v>10</v>
      </c>
      <c r="E2570" s="7" t="s">
        <v>9</v>
      </c>
      <c r="F2570" s="8">
        <v>10.0</v>
      </c>
      <c r="G2570" s="9">
        <v>5.0</v>
      </c>
    </row>
    <row r="2571" ht="14.25" hidden="1" customHeight="1">
      <c r="B2571" s="7" t="s">
        <v>17</v>
      </c>
      <c r="C2571" s="7" t="s">
        <v>29</v>
      </c>
      <c r="D2571" s="7" t="s">
        <v>10</v>
      </c>
      <c r="E2571" s="7" t="s">
        <v>31</v>
      </c>
      <c r="F2571" s="8">
        <v>10.0</v>
      </c>
      <c r="G2571" s="9">
        <v>10.0</v>
      </c>
    </row>
    <row r="2572" ht="14.25" hidden="1" customHeight="1">
      <c r="B2572" s="7" t="s">
        <v>17</v>
      </c>
      <c r="C2572" s="7" t="s">
        <v>7</v>
      </c>
      <c r="D2572" s="7" t="s">
        <v>32</v>
      </c>
      <c r="E2572" s="7" t="s">
        <v>28</v>
      </c>
      <c r="F2572" s="8">
        <v>10.0</v>
      </c>
      <c r="G2572" s="9">
        <v>5.0</v>
      </c>
    </row>
    <row r="2573" ht="14.25" hidden="1" customHeight="1">
      <c r="B2573" s="7" t="s">
        <v>17</v>
      </c>
      <c r="C2573" s="7" t="s">
        <v>29</v>
      </c>
      <c r="D2573" s="7" t="s">
        <v>31</v>
      </c>
      <c r="E2573" s="7" t="s">
        <v>9</v>
      </c>
      <c r="F2573" s="8">
        <v>10.0</v>
      </c>
      <c r="G2573" s="9">
        <v>10.0</v>
      </c>
    </row>
    <row r="2574" ht="14.25" hidden="1" customHeight="1">
      <c r="B2574" s="7" t="s">
        <v>17</v>
      </c>
      <c r="C2574" s="7" t="s">
        <v>7</v>
      </c>
      <c r="D2574" s="7" t="s">
        <v>8</v>
      </c>
      <c r="E2574" s="7" t="s">
        <v>9</v>
      </c>
      <c r="F2574" s="8">
        <v>10.0</v>
      </c>
      <c r="G2574" s="9">
        <v>10.0</v>
      </c>
    </row>
    <row r="2575" ht="14.25" hidden="1" customHeight="1">
      <c r="B2575" s="7" t="s">
        <v>17</v>
      </c>
      <c r="C2575" s="7" t="s">
        <v>29</v>
      </c>
      <c r="D2575" s="7" t="s">
        <v>8</v>
      </c>
      <c r="E2575" s="7" t="s">
        <v>9</v>
      </c>
      <c r="F2575" s="8">
        <v>10.0</v>
      </c>
      <c r="G2575" s="9">
        <v>10.0</v>
      </c>
    </row>
    <row r="2576" ht="14.25" hidden="1" customHeight="1">
      <c r="B2576" s="7" t="s">
        <v>17</v>
      </c>
      <c r="C2576" s="7" t="s">
        <v>7</v>
      </c>
      <c r="D2576" s="7" t="s">
        <v>8</v>
      </c>
      <c r="E2576" s="7" t="s">
        <v>9</v>
      </c>
      <c r="F2576" s="8">
        <v>10.0</v>
      </c>
      <c r="G2576" s="9">
        <v>5.0</v>
      </c>
    </row>
    <row r="2577" ht="14.25" hidden="1" customHeight="1">
      <c r="B2577" s="7" t="s">
        <v>17</v>
      </c>
      <c r="C2577" s="7" t="s">
        <v>29</v>
      </c>
      <c r="D2577" s="7" t="s">
        <v>28</v>
      </c>
      <c r="E2577" s="7" t="s">
        <v>32</v>
      </c>
      <c r="F2577" s="8">
        <v>9.0</v>
      </c>
      <c r="G2577" s="9">
        <v>9.0</v>
      </c>
    </row>
    <row r="2578" ht="14.25" hidden="1" customHeight="1">
      <c r="B2578" s="7" t="s">
        <v>17</v>
      </c>
      <c r="C2578" s="7" t="s">
        <v>29</v>
      </c>
      <c r="D2578" s="7" t="s">
        <v>34</v>
      </c>
      <c r="E2578" s="7" t="s">
        <v>33</v>
      </c>
      <c r="F2578" s="8">
        <v>9.0</v>
      </c>
      <c r="G2578" s="9">
        <v>9.0</v>
      </c>
    </row>
    <row r="2579" ht="14.25" hidden="1" customHeight="1">
      <c r="B2579" s="7" t="s">
        <v>17</v>
      </c>
      <c r="C2579" s="7" t="s">
        <v>29</v>
      </c>
      <c r="D2579" s="7" t="s">
        <v>32</v>
      </c>
      <c r="E2579" s="7" t="s">
        <v>28</v>
      </c>
      <c r="F2579" s="8">
        <v>9.0</v>
      </c>
      <c r="G2579" s="9">
        <v>9.0</v>
      </c>
    </row>
    <row r="2580" ht="14.25" hidden="1" customHeight="1">
      <c r="B2580" s="7" t="s">
        <v>17</v>
      </c>
      <c r="C2580" s="7" t="s">
        <v>29</v>
      </c>
      <c r="D2580" s="7" t="s">
        <v>31</v>
      </c>
      <c r="E2580" s="7" t="s">
        <v>28</v>
      </c>
      <c r="F2580" s="8">
        <v>9.0</v>
      </c>
      <c r="G2580" s="9">
        <v>9.0</v>
      </c>
    </row>
    <row r="2581" ht="14.25" hidden="1" customHeight="1">
      <c r="B2581" s="7" t="s">
        <v>17</v>
      </c>
      <c r="C2581" s="7" t="s">
        <v>7</v>
      </c>
      <c r="D2581" s="7" t="s">
        <v>25</v>
      </c>
      <c r="E2581" s="7" t="s">
        <v>28</v>
      </c>
      <c r="F2581" s="8">
        <v>8.0</v>
      </c>
      <c r="G2581" s="9">
        <v>4.0</v>
      </c>
    </row>
    <row r="2582" ht="14.25" hidden="1" customHeight="1">
      <c r="B2582" s="7" t="s">
        <v>17</v>
      </c>
      <c r="C2582" s="7" t="s">
        <v>29</v>
      </c>
      <c r="D2582" s="7" t="s">
        <v>25</v>
      </c>
      <c r="E2582" s="7" t="s">
        <v>9</v>
      </c>
      <c r="F2582" s="8">
        <v>8.0</v>
      </c>
      <c r="G2582" s="9">
        <v>8.0</v>
      </c>
    </row>
    <row r="2583" ht="14.25" hidden="1" customHeight="1">
      <c r="B2583" s="7" t="s">
        <v>17</v>
      </c>
      <c r="C2583" s="7" t="s">
        <v>29</v>
      </c>
      <c r="D2583" s="7" t="s">
        <v>25</v>
      </c>
      <c r="E2583" s="7" t="s">
        <v>31</v>
      </c>
      <c r="F2583" s="8">
        <v>8.0</v>
      </c>
      <c r="G2583" s="9">
        <v>8.0</v>
      </c>
    </row>
    <row r="2584" ht="14.25" hidden="1" customHeight="1">
      <c r="B2584" s="7" t="s">
        <v>17</v>
      </c>
      <c r="C2584" s="7" t="s">
        <v>7</v>
      </c>
      <c r="D2584" s="7" t="s">
        <v>34</v>
      </c>
      <c r="E2584" s="7" t="s">
        <v>31</v>
      </c>
      <c r="F2584" s="8">
        <v>8.0</v>
      </c>
      <c r="G2584" s="9">
        <v>4.0</v>
      </c>
    </row>
    <row r="2585" ht="14.25" hidden="1" customHeight="1">
      <c r="B2585" s="7" t="s">
        <v>17</v>
      </c>
      <c r="C2585" s="7" t="s">
        <v>30</v>
      </c>
      <c r="D2585" s="7" t="s">
        <v>34</v>
      </c>
      <c r="E2585" s="7" t="s">
        <v>8</v>
      </c>
      <c r="F2585" s="8">
        <v>8.0</v>
      </c>
      <c r="G2585" s="9">
        <v>4.0</v>
      </c>
    </row>
    <row r="2586" ht="14.25" hidden="1" customHeight="1">
      <c r="B2586" s="7" t="s">
        <v>17</v>
      </c>
      <c r="C2586" s="7" t="s">
        <v>30</v>
      </c>
      <c r="D2586" s="7" t="s">
        <v>24</v>
      </c>
      <c r="E2586" s="7" t="s">
        <v>31</v>
      </c>
      <c r="F2586" s="8">
        <v>8.0</v>
      </c>
      <c r="G2586" s="9">
        <v>4.0</v>
      </c>
    </row>
    <row r="2587" ht="14.25" hidden="1" customHeight="1">
      <c r="B2587" s="7" t="s">
        <v>17</v>
      </c>
      <c r="C2587" s="7" t="s">
        <v>30</v>
      </c>
      <c r="D2587" s="7" t="s">
        <v>10</v>
      </c>
      <c r="E2587" s="7" t="s">
        <v>9</v>
      </c>
      <c r="F2587" s="8">
        <v>8.0</v>
      </c>
      <c r="G2587" s="9">
        <v>4.0</v>
      </c>
    </row>
    <row r="2588" ht="14.25" hidden="1" customHeight="1">
      <c r="B2588" s="7" t="s">
        <v>17</v>
      </c>
      <c r="C2588" s="7" t="s">
        <v>29</v>
      </c>
      <c r="D2588" s="7" t="s">
        <v>32</v>
      </c>
      <c r="E2588" s="7" t="s">
        <v>25</v>
      </c>
      <c r="F2588" s="8">
        <v>8.0</v>
      </c>
      <c r="G2588" s="9">
        <v>8.0</v>
      </c>
    </row>
    <row r="2589" ht="14.25" hidden="1" customHeight="1">
      <c r="B2589" s="7" t="s">
        <v>17</v>
      </c>
      <c r="C2589" s="7" t="s">
        <v>7</v>
      </c>
      <c r="D2589" s="7" t="s">
        <v>32</v>
      </c>
      <c r="E2589" s="7" t="s">
        <v>35</v>
      </c>
      <c r="F2589" s="8">
        <v>8.0</v>
      </c>
      <c r="G2589" s="9">
        <v>4.0</v>
      </c>
    </row>
    <row r="2590" ht="14.25" hidden="1" customHeight="1">
      <c r="B2590" s="7" t="s">
        <v>17</v>
      </c>
      <c r="C2590" s="7" t="s">
        <v>7</v>
      </c>
      <c r="D2590" s="7" t="s">
        <v>32</v>
      </c>
      <c r="E2590" s="7" t="s">
        <v>9</v>
      </c>
      <c r="F2590" s="8">
        <v>8.0</v>
      </c>
      <c r="G2590" s="9">
        <v>4.0</v>
      </c>
    </row>
    <row r="2591" ht="14.25" hidden="1" customHeight="1">
      <c r="B2591" s="7" t="s">
        <v>17</v>
      </c>
      <c r="C2591" s="7" t="s">
        <v>30</v>
      </c>
      <c r="D2591" s="7" t="s">
        <v>31</v>
      </c>
      <c r="E2591" s="7" t="s">
        <v>35</v>
      </c>
      <c r="F2591" s="8">
        <v>8.0</v>
      </c>
      <c r="G2591" s="9">
        <v>4.0</v>
      </c>
    </row>
    <row r="2592" ht="14.25" hidden="1" customHeight="1">
      <c r="B2592" s="7" t="s">
        <v>17</v>
      </c>
      <c r="C2592" s="7" t="s">
        <v>7</v>
      </c>
      <c r="D2592" s="7" t="s">
        <v>31</v>
      </c>
      <c r="E2592" s="7" t="s">
        <v>31</v>
      </c>
      <c r="F2592" s="8">
        <v>8.0</v>
      </c>
      <c r="G2592" s="9">
        <v>4.0</v>
      </c>
    </row>
    <row r="2593" ht="14.25" hidden="1" customHeight="1">
      <c r="B2593" s="7" t="s">
        <v>17</v>
      </c>
      <c r="C2593" s="7" t="s">
        <v>30</v>
      </c>
      <c r="D2593" s="7" t="s">
        <v>31</v>
      </c>
      <c r="E2593" s="7" t="s">
        <v>8</v>
      </c>
      <c r="F2593" s="8">
        <v>8.0</v>
      </c>
      <c r="G2593" s="9">
        <v>4.0</v>
      </c>
    </row>
    <row r="2594" ht="14.25" hidden="1" customHeight="1">
      <c r="B2594" s="7" t="s">
        <v>17</v>
      </c>
      <c r="C2594" s="7" t="s">
        <v>29</v>
      </c>
      <c r="D2594" s="7" t="s">
        <v>25</v>
      </c>
      <c r="E2594" s="7" t="s">
        <v>28</v>
      </c>
      <c r="F2594" s="8">
        <v>7.0</v>
      </c>
      <c r="G2594" s="9">
        <v>7.0</v>
      </c>
    </row>
    <row r="2595" ht="14.25" hidden="1" customHeight="1">
      <c r="B2595" s="7" t="s">
        <v>17</v>
      </c>
      <c r="C2595" s="7" t="s">
        <v>29</v>
      </c>
      <c r="D2595" s="7" t="s">
        <v>28</v>
      </c>
      <c r="E2595" s="7" t="s">
        <v>35</v>
      </c>
      <c r="F2595" s="8">
        <v>7.0</v>
      </c>
      <c r="G2595" s="9">
        <v>7.0</v>
      </c>
    </row>
    <row r="2596" ht="14.25" hidden="1" customHeight="1">
      <c r="B2596" s="7" t="s">
        <v>17</v>
      </c>
      <c r="C2596" s="7" t="s">
        <v>29</v>
      </c>
      <c r="D2596" s="7" t="s">
        <v>28</v>
      </c>
      <c r="E2596" s="7" t="s">
        <v>31</v>
      </c>
      <c r="F2596" s="8">
        <v>7.0</v>
      </c>
      <c r="G2596" s="9">
        <v>7.0</v>
      </c>
    </row>
    <row r="2597" ht="14.25" hidden="1" customHeight="1">
      <c r="B2597" s="7" t="s">
        <v>17</v>
      </c>
      <c r="C2597" s="7" t="s">
        <v>29</v>
      </c>
      <c r="D2597" s="7" t="s">
        <v>10</v>
      </c>
      <c r="E2597" s="7" t="s">
        <v>8</v>
      </c>
      <c r="F2597" s="8">
        <v>7.0</v>
      </c>
      <c r="G2597" s="9">
        <v>7.0</v>
      </c>
    </row>
    <row r="2598" ht="14.25" hidden="1" customHeight="1">
      <c r="B2598" s="7" t="s">
        <v>17</v>
      </c>
      <c r="C2598" s="7" t="s">
        <v>30</v>
      </c>
      <c r="D2598" s="7" t="s">
        <v>25</v>
      </c>
      <c r="E2598" s="7" t="s">
        <v>10</v>
      </c>
      <c r="F2598" s="8">
        <v>6.0</v>
      </c>
      <c r="G2598" s="9">
        <v>3.0</v>
      </c>
    </row>
    <row r="2599" ht="14.25" hidden="1" customHeight="1">
      <c r="B2599" s="7" t="s">
        <v>17</v>
      </c>
      <c r="C2599" s="7" t="s">
        <v>29</v>
      </c>
      <c r="D2599" s="7" t="s">
        <v>25</v>
      </c>
      <c r="E2599" s="7" t="s">
        <v>31</v>
      </c>
      <c r="F2599" s="8">
        <v>6.0</v>
      </c>
      <c r="G2599" s="9">
        <v>6.0</v>
      </c>
    </row>
    <row r="2600" ht="14.25" hidden="1" customHeight="1">
      <c r="B2600" s="7" t="s">
        <v>17</v>
      </c>
      <c r="C2600" s="7" t="s">
        <v>30</v>
      </c>
      <c r="D2600" s="7" t="s">
        <v>25</v>
      </c>
      <c r="E2600" s="7" t="s">
        <v>31</v>
      </c>
      <c r="F2600" s="8">
        <v>6.0</v>
      </c>
      <c r="G2600" s="9">
        <v>3.0</v>
      </c>
    </row>
    <row r="2601" ht="14.25" hidden="1" customHeight="1">
      <c r="B2601" s="7" t="s">
        <v>17</v>
      </c>
      <c r="C2601" s="7" t="s">
        <v>29</v>
      </c>
      <c r="D2601" s="7" t="s">
        <v>33</v>
      </c>
      <c r="E2601" s="7" t="s">
        <v>28</v>
      </c>
      <c r="F2601" s="8">
        <v>6.0</v>
      </c>
      <c r="G2601" s="9">
        <v>6.0</v>
      </c>
    </row>
    <row r="2602" ht="14.25" hidden="1" customHeight="1">
      <c r="B2602" s="7" t="s">
        <v>17</v>
      </c>
      <c r="C2602" s="7" t="s">
        <v>7</v>
      </c>
      <c r="D2602" s="7" t="s">
        <v>33</v>
      </c>
      <c r="E2602" s="7" t="s">
        <v>9</v>
      </c>
      <c r="F2602" s="8">
        <v>6.0</v>
      </c>
      <c r="G2602" s="9">
        <v>3.0</v>
      </c>
    </row>
    <row r="2603" ht="14.25" hidden="1" customHeight="1">
      <c r="B2603" s="7" t="s">
        <v>17</v>
      </c>
      <c r="C2603" s="7" t="s">
        <v>30</v>
      </c>
      <c r="D2603" s="7" t="s">
        <v>28</v>
      </c>
      <c r="E2603" s="7" t="s">
        <v>35</v>
      </c>
      <c r="F2603" s="8">
        <v>6.0</v>
      </c>
      <c r="G2603" s="9">
        <v>3.0</v>
      </c>
    </row>
    <row r="2604" ht="14.25" hidden="1" customHeight="1">
      <c r="B2604" s="7" t="s">
        <v>17</v>
      </c>
      <c r="C2604" s="7" t="s">
        <v>7</v>
      </c>
      <c r="D2604" s="7" t="s">
        <v>28</v>
      </c>
      <c r="E2604" s="7" t="s">
        <v>31</v>
      </c>
      <c r="F2604" s="8">
        <v>6.0</v>
      </c>
      <c r="G2604" s="9">
        <v>3.0</v>
      </c>
    </row>
    <row r="2605" ht="14.25" hidden="1" customHeight="1">
      <c r="B2605" s="7" t="s">
        <v>17</v>
      </c>
      <c r="C2605" s="7" t="s">
        <v>29</v>
      </c>
      <c r="D2605" s="7" t="s">
        <v>9</v>
      </c>
      <c r="E2605" s="7" t="s">
        <v>25</v>
      </c>
      <c r="F2605" s="8">
        <v>6.0</v>
      </c>
      <c r="G2605" s="9">
        <v>6.0</v>
      </c>
    </row>
    <row r="2606" ht="14.25" hidden="1" customHeight="1">
      <c r="B2606" s="7" t="s">
        <v>17</v>
      </c>
      <c r="C2606" s="7" t="s">
        <v>7</v>
      </c>
      <c r="D2606" s="7" t="s">
        <v>9</v>
      </c>
      <c r="E2606" s="7" t="s">
        <v>33</v>
      </c>
      <c r="F2606" s="8">
        <v>6.0</v>
      </c>
      <c r="G2606" s="9">
        <v>3.0</v>
      </c>
    </row>
    <row r="2607" ht="14.25" hidden="1" customHeight="1">
      <c r="B2607" s="7" t="s">
        <v>17</v>
      </c>
      <c r="C2607" s="7" t="s">
        <v>29</v>
      </c>
      <c r="D2607" s="7" t="s">
        <v>9</v>
      </c>
      <c r="E2607" s="7" t="s">
        <v>28</v>
      </c>
      <c r="F2607" s="8">
        <v>6.0</v>
      </c>
      <c r="G2607" s="9">
        <v>6.0</v>
      </c>
    </row>
    <row r="2608" ht="14.25" hidden="1" customHeight="1">
      <c r="B2608" s="7" t="s">
        <v>17</v>
      </c>
      <c r="C2608" s="7" t="s">
        <v>7</v>
      </c>
      <c r="D2608" s="7" t="s">
        <v>9</v>
      </c>
      <c r="E2608" s="7" t="s">
        <v>8</v>
      </c>
      <c r="F2608" s="8">
        <v>6.0</v>
      </c>
      <c r="G2608" s="9">
        <v>6.0</v>
      </c>
    </row>
    <row r="2609" ht="14.25" hidden="1" customHeight="1">
      <c r="B2609" s="7" t="s">
        <v>17</v>
      </c>
      <c r="C2609" s="7" t="s">
        <v>7</v>
      </c>
      <c r="D2609" s="7" t="s">
        <v>10</v>
      </c>
      <c r="E2609" s="7" t="s">
        <v>25</v>
      </c>
      <c r="F2609" s="8">
        <v>6.0</v>
      </c>
      <c r="G2609" s="9">
        <v>3.0</v>
      </c>
    </row>
    <row r="2610" ht="14.25" hidden="1" customHeight="1">
      <c r="B2610" s="7" t="s">
        <v>17</v>
      </c>
      <c r="C2610" s="7" t="s">
        <v>30</v>
      </c>
      <c r="D2610" s="7" t="s">
        <v>10</v>
      </c>
      <c r="E2610" s="7" t="s">
        <v>31</v>
      </c>
      <c r="F2610" s="8">
        <v>6.0</v>
      </c>
      <c r="G2610" s="9">
        <v>3.0</v>
      </c>
    </row>
    <row r="2611" ht="14.25" hidden="1" customHeight="1">
      <c r="B2611" s="7" t="s">
        <v>17</v>
      </c>
      <c r="C2611" s="7" t="s">
        <v>7</v>
      </c>
      <c r="D2611" s="7" t="s">
        <v>31</v>
      </c>
      <c r="E2611" s="7" t="s">
        <v>28</v>
      </c>
      <c r="F2611" s="8">
        <v>6.0</v>
      </c>
      <c r="G2611" s="9">
        <v>3.0</v>
      </c>
    </row>
    <row r="2612" ht="14.25" hidden="1" customHeight="1">
      <c r="B2612" s="7" t="s">
        <v>17</v>
      </c>
      <c r="C2612" s="7" t="s">
        <v>29</v>
      </c>
      <c r="D2612" s="7" t="s">
        <v>8</v>
      </c>
      <c r="E2612" s="7" t="s">
        <v>25</v>
      </c>
      <c r="F2612" s="8">
        <v>6.0</v>
      </c>
      <c r="G2612" s="9">
        <v>6.0</v>
      </c>
    </row>
    <row r="2613" ht="14.25" hidden="1" customHeight="1">
      <c r="B2613" s="7" t="s">
        <v>17</v>
      </c>
      <c r="C2613" s="7" t="s">
        <v>29</v>
      </c>
      <c r="D2613" s="7" t="s">
        <v>28</v>
      </c>
      <c r="E2613" s="7" t="s">
        <v>9</v>
      </c>
      <c r="F2613" s="8">
        <v>5.0</v>
      </c>
      <c r="G2613" s="9">
        <v>5.0</v>
      </c>
    </row>
    <row r="2614" ht="14.25" hidden="1" customHeight="1">
      <c r="B2614" s="7" t="s">
        <v>17</v>
      </c>
      <c r="C2614" s="7" t="s">
        <v>29</v>
      </c>
      <c r="D2614" s="7" t="s">
        <v>28</v>
      </c>
      <c r="E2614" s="7" t="s">
        <v>10</v>
      </c>
      <c r="F2614" s="8">
        <v>5.0</v>
      </c>
      <c r="G2614" s="9">
        <v>5.0</v>
      </c>
    </row>
    <row r="2615" ht="14.25" hidden="1" customHeight="1">
      <c r="B2615" s="7" t="s">
        <v>17</v>
      </c>
      <c r="C2615" s="7" t="s">
        <v>29</v>
      </c>
      <c r="D2615" s="7" t="s">
        <v>9</v>
      </c>
      <c r="E2615" s="7" t="s">
        <v>31</v>
      </c>
      <c r="F2615" s="8">
        <v>5.0</v>
      </c>
      <c r="G2615" s="9">
        <v>5.0</v>
      </c>
    </row>
    <row r="2616" ht="14.25" hidden="1" customHeight="1">
      <c r="B2616" s="7" t="s">
        <v>17</v>
      </c>
      <c r="C2616" s="7" t="s">
        <v>29</v>
      </c>
      <c r="D2616" s="7" t="s">
        <v>10</v>
      </c>
      <c r="E2616" s="7" t="s">
        <v>33</v>
      </c>
      <c r="F2616" s="8">
        <v>5.0</v>
      </c>
      <c r="G2616" s="9">
        <v>5.0</v>
      </c>
    </row>
    <row r="2617" ht="14.25" hidden="1" customHeight="1">
      <c r="B2617" s="7" t="s">
        <v>17</v>
      </c>
      <c r="C2617" s="7" t="s">
        <v>29</v>
      </c>
      <c r="D2617" s="7" t="s">
        <v>32</v>
      </c>
      <c r="E2617" s="7" t="s">
        <v>8</v>
      </c>
      <c r="F2617" s="8">
        <v>5.0</v>
      </c>
      <c r="G2617" s="9">
        <v>5.0</v>
      </c>
    </row>
    <row r="2618" ht="14.25" hidden="1" customHeight="1">
      <c r="B2618" s="7" t="s">
        <v>17</v>
      </c>
      <c r="C2618" s="7" t="s">
        <v>29</v>
      </c>
      <c r="D2618" s="7" t="s">
        <v>31</v>
      </c>
      <c r="E2618" s="7" t="s">
        <v>33</v>
      </c>
      <c r="F2618" s="8">
        <v>5.0</v>
      </c>
      <c r="G2618" s="9">
        <v>5.0</v>
      </c>
    </row>
    <row r="2619" ht="14.25" hidden="1" customHeight="1">
      <c r="B2619" s="7" t="s">
        <v>17</v>
      </c>
      <c r="C2619" s="7" t="s">
        <v>7</v>
      </c>
      <c r="D2619" s="7" t="s">
        <v>25</v>
      </c>
      <c r="E2619" s="7" t="s">
        <v>9</v>
      </c>
      <c r="F2619" s="8">
        <v>4.0</v>
      </c>
      <c r="G2619" s="9">
        <v>2.0</v>
      </c>
    </row>
    <row r="2620" ht="14.25" hidden="1" customHeight="1">
      <c r="B2620" s="7" t="s">
        <v>17</v>
      </c>
      <c r="C2620" s="7" t="s">
        <v>30</v>
      </c>
      <c r="D2620" s="7" t="s">
        <v>25</v>
      </c>
      <c r="E2620" s="7" t="s">
        <v>9</v>
      </c>
      <c r="F2620" s="8">
        <v>4.0</v>
      </c>
      <c r="G2620" s="9">
        <v>2.0</v>
      </c>
    </row>
    <row r="2621" ht="14.25" hidden="1" customHeight="1">
      <c r="B2621" s="7" t="s">
        <v>17</v>
      </c>
      <c r="C2621" s="7" t="s">
        <v>29</v>
      </c>
      <c r="D2621" s="7" t="s">
        <v>25</v>
      </c>
      <c r="E2621" s="7" t="s">
        <v>8</v>
      </c>
      <c r="F2621" s="8">
        <v>4.0</v>
      </c>
      <c r="G2621" s="9">
        <v>4.0</v>
      </c>
    </row>
    <row r="2622" ht="14.25" hidden="1" customHeight="1">
      <c r="B2622" s="7" t="s">
        <v>17</v>
      </c>
      <c r="C2622" s="7" t="s">
        <v>7</v>
      </c>
      <c r="D2622" s="7" t="s">
        <v>33</v>
      </c>
      <c r="E2622" s="7" t="s">
        <v>25</v>
      </c>
      <c r="F2622" s="8">
        <v>4.0</v>
      </c>
      <c r="G2622" s="9">
        <v>2.0</v>
      </c>
    </row>
    <row r="2623" ht="14.25" hidden="1" customHeight="1">
      <c r="B2623" s="7" t="s">
        <v>17</v>
      </c>
      <c r="C2623" s="7" t="s">
        <v>7</v>
      </c>
      <c r="D2623" s="7" t="s">
        <v>33</v>
      </c>
      <c r="E2623" s="7" t="s">
        <v>28</v>
      </c>
      <c r="F2623" s="8">
        <v>4.0</v>
      </c>
      <c r="G2623" s="9">
        <v>2.0</v>
      </c>
    </row>
    <row r="2624" ht="14.25" hidden="1" customHeight="1">
      <c r="B2624" s="7" t="s">
        <v>17</v>
      </c>
      <c r="C2624" s="7" t="s">
        <v>7</v>
      </c>
      <c r="D2624" s="7" t="s">
        <v>33</v>
      </c>
      <c r="E2624" s="7" t="s">
        <v>35</v>
      </c>
      <c r="F2624" s="8">
        <v>4.0</v>
      </c>
      <c r="G2624" s="9">
        <v>2.0</v>
      </c>
    </row>
    <row r="2625" ht="14.25" hidden="1" customHeight="1">
      <c r="B2625" s="7" t="s">
        <v>17</v>
      </c>
      <c r="C2625" s="7" t="s">
        <v>7</v>
      </c>
      <c r="D2625" s="7" t="s">
        <v>28</v>
      </c>
      <c r="E2625" s="7" t="s">
        <v>10</v>
      </c>
      <c r="F2625" s="8">
        <v>4.0</v>
      </c>
      <c r="G2625" s="9">
        <v>2.0</v>
      </c>
    </row>
    <row r="2626" ht="14.25" hidden="1" customHeight="1">
      <c r="B2626" s="7" t="s">
        <v>17</v>
      </c>
      <c r="C2626" s="7" t="s">
        <v>30</v>
      </c>
      <c r="D2626" s="7" t="s">
        <v>11</v>
      </c>
      <c r="E2626" s="7" t="s">
        <v>10</v>
      </c>
      <c r="F2626" s="8">
        <v>4.0</v>
      </c>
      <c r="G2626" s="9">
        <v>2.0</v>
      </c>
    </row>
    <row r="2627" ht="14.25" hidden="1" customHeight="1">
      <c r="B2627" s="7" t="s">
        <v>17</v>
      </c>
      <c r="C2627" s="7" t="s">
        <v>30</v>
      </c>
      <c r="D2627" s="7" t="s">
        <v>11</v>
      </c>
      <c r="E2627" s="7" t="s">
        <v>31</v>
      </c>
      <c r="F2627" s="8">
        <v>4.0</v>
      </c>
      <c r="G2627" s="9">
        <v>2.0</v>
      </c>
    </row>
    <row r="2628" ht="14.25" hidden="1" customHeight="1">
      <c r="B2628" s="7" t="s">
        <v>17</v>
      </c>
      <c r="C2628" s="7" t="s">
        <v>7</v>
      </c>
      <c r="D2628" s="7" t="s">
        <v>9</v>
      </c>
      <c r="E2628" s="7" t="s">
        <v>8</v>
      </c>
      <c r="F2628" s="8">
        <v>4.0</v>
      </c>
      <c r="G2628" s="9">
        <v>2.0</v>
      </c>
    </row>
    <row r="2629" ht="14.25" hidden="1" customHeight="1">
      <c r="B2629" s="7" t="s">
        <v>17</v>
      </c>
      <c r="C2629" s="7" t="s">
        <v>30</v>
      </c>
      <c r="D2629" s="7" t="s">
        <v>24</v>
      </c>
      <c r="E2629" s="7" t="s">
        <v>31</v>
      </c>
      <c r="F2629" s="8">
        <v>4.0</v>
      </c>
      <c r="G2629" s="9">
        <v>2.0</v>
      </c>
    </row>
    <row r="2630" ht="14.25" hidden="1" customHeight="1">
      <c r="B2630" s="7" t="s">
        <v>17</v>
      </c>
      <c r="C2630" s="7" t="s">
        <v>30</v>
      </c>
      <c r="D2630" s="7" t="s">
        <v>10</v>
      </c>
      <c r="E2630" s="7" t="s">
        <v>33</v>
      </c>
      <c r="F2630" s="8">
        <v>4.0</v>
      </c>
      <c r="G2630" s="9">
        <v>2.0</v>
      </c>
    </row>
    <row r="2631" ht="14.25" hidden="1" customHeight="1">
      <c r="B2631" s="7" t="s">
        <v>17</v>
      </c>
      <c r="C2631" s="7" t="s">
        <v>7</v>
      </c>
      <c r="D2631" s="7" t="s">
        <v>10</v>
      </c>
      <c r="E2631" s="7" t="s">
        <v>9</v>
      </c>
      <c r="F2631" s="8">
        <v>4.0</v>
      </c>
      <c r="G2631" s="9">
        <v>2.0</v>
      </c>
    </row>
    <row r="2632" ht="14.25" hidden="1" customHeight="1">
      <c r="B2632" s="7" t="s">
        <v>17</v>
      </c>
      <c r="C2632" s="7" t="s">
        <v>29</v>
      </c>
      <c r="D2632" s="7" t="s">
        <v>10</v>
      </c>
      <c r="E2632" s="7" t="s">
        <v>31</v>
      </c>
      <c r="F2632" s="8">
        <v>4.0</v>
      </c>
      <c r="G2632" s="9">
        <v>4.0</v>
      </c>
    </row>
    <row r="2633" ht="14.25" hidden="1" customHeight="1">
      <c r="B2633" s="7" t="s">
        <v>17</v>
      </c>
      <c r="C2633" s="7" t="s">
        <v>7</v>
      </c>
      <c r="D2633" s="7" t="s">
        <v>32</v>
      </c>
      <c r="E2633" s="7" t="s">
        <v>33</v>
      </c>
      <c r="F2633" s="8">
        <v>4.0</v>
      </c>
      <c r="G2633" s="9">
        <v>2.0</v>
      </c>
    </row>
    <row r="2634" ht="14.25" hidden="1" customHeight="1">
      <c r="B2634" s="7" t="s">
        <v>17</v>
      </c>
      <c r="C2634" s="7" t="s">
        <v>7</v>
      </c>
      <c r="D2634" s="7" t="s">
        <v>31</v>
      </c>
      <c r="E2634" s="7" t="s">
        <v>25</v>
      </c>
      <c r="F2634" s="8">
        <v>4.0</v>
      </c>
      <c r="G2634" s="9">
        <v>2.0</v>
      </c>
    </row>
    <row r="2635" ht="14.25" hidden="1" customHeight="1">
      <c r="B2635" s="7" t="s">
        <v>17</v>
      </c>
      <c r="C2635" s="7" t="s">
        <v>7</v>
      </c>
      <c r="D2635" s="7" t="s">
        <v>31</v>
      </c>
      <c r="E2635" s="7" t="s">
        <v>28</v>
      </c>
      <c r="F2635" s="8">
        <v>4.0</v>
      </c>
      <c r="G2635" s="9">
        <v>2.0</v>
      </c>
    </row>
    <row r="2636" ht="14.25" hidden="1" customHeight="1">
      <c r="B2636" s="7" t="s">
        <v>17</v>
      </c>
      <c r="C2636" s="7" t="s">
        <v>29</v>
      </c>
      <c r="D2636" s="7" t="s">
        <v>31</v>
      </c>
      <c r="E2636" s="7" t="s">
        <v>9</v>
      </c>
      <c r="F2636" s="8">
        <v>4.0</v>
      </c>
      <c r="G2636" s="9">
        <v>4.0</v>
      </c>
    </row>
    <row r="2637" ht="14.25" hidden="1" customHeight="1">
      <c r="B2637" s="7" t="s">
        <v>17</v>
      </c>
      <c r="C2637" s="7" t="s">
        <v>7</v>
      </c>
      <c r="D2637" s="7" t="s">
        <v>31</v>
      </c>
      <c r="E2637" s="7" t="s">
        <v>9</v>
      </c>
      <c r="F2637" s="8">
        <v>4.0</v>
      </c>
      <c r="G2637" s="9">
        <v>2.0</v>
      </c>
    </row>
    <row r="2638" ht="14.25" hidden="1" customHeight="1">
      <c r="B2638" s="7" t="s">
        <v>17</v>
      </c>
      <c r="C2638" s="7" t="s">
        <v>7</v>
      </c>
      <c r="D2638" s="7" t="s">
        <v>31</v>
      </c>
      <c r="E2638" s="7" t="s">
        <v>31</v>
      </c>
      <c r="F2638" s="8">
        <v>4.0</v>
      </c>
      <c r="G2638" s="9">
        <v>2.0</v>
      </c>
    </row>
    <row r="2639" ht="14.25" hidden="1" customHeight="1">
      <c r="B2639" s="7" t="s">
        <v>17</v>
      </c>
      <c r="C2639" s="7" t="s">
        <v>7</v>
      </c>
      <c r="D2639" s="7" t="s">
        <v>8</v>
      </c>
      <c r="E2639" s="7" t="s">
        <v>33</v>
      </c>
      <c r="F2639" s="8">
        <v>4.0</v>
      </c>
      <c r="G2639" s="9">
        <v>2.0</v>
      </c>
    </row>
    <row r="2640" ht="14.25" hidden="1" customHeight="1">
      <c r="B2640" s="7" t="s">
        <v>17</v>
      </c>
      <c r="C2640" s="7" t="s">
        <v>29</v>
      </c>
      <c r="D2640" s="7" t="s">
        <v>8</v>
      </c>
      <c r="E2640" s="7" t="s">
        <v>9</v>
      </c>
      <c r="F2640" s="8">
        <v>4.0</v>
      </c>
      <c r="G2640" s="9">
        <v>4.0</v>
      </c>
    </row>
    <row r="2641" ht="14.25" hidden="1" customHeight="1">
      <c r="B2641" s="7" t="s">
        <v>17</v>
      </c>
      <c r="C2641" s="7" t="s">
        <v>29</v>
      </c>
      <c r="D2641" s="7" t="s">
        <v>8</v>
      </c>
      <c r="E2641" s="7" t="s">
        <v>9</v>
      </c>
      <c r="F2641" s="8">
        <v>4.0</v>
      </c>
      <c r="G2641" s="9">
        <v>4.0</v>
      </c>
    </row>
    <row r="2642" ht="14.25" hidden="1" customHeight="1">
      <c r="B2642" s="7" t="s">
        <v>17</v>
      </c>
      <c r="C2642" s="7" t="s">
        <v>7</v>
      </c>
      <c r="D2642" s="7" t="s">
        <v>8</v>
      </c>
      <c r="E2642" s="7" t="s">
        <v>9</v>
      </c>
      <c r="F2642" s="8">
        <v>4.0</v>
      </c>
      <c r="G2642" s="9">
        <v>2.0</v>
      </c>
    </row>
    <row r="2643" ht="14.25" hidden="1" customHeight="1">
      <c r="B2643" s="7" t="s">
        <v>17</v>
      </c>
      <c r="C2643" s="7" t="s">
        <v>7</v>
      </c>
      <c r="D2643" s="7" t="s">
        <v>8</v>
      </c>
      <c r="E2643" s="7" t="s">
        <v>32</v>
      </c>
      <c r="F2643" s="8">
        <v>4.0</v>
      </c>
      <c r="G2643" s="9">
        <v>2.0</v>
      </c>
    </row>
    <row r="2644" ht="14.25" hidden="1" customHeight="1">
      <c r="B2644" s="7" t="s">
        <v>17</v>
      </c>
      <c r="C2644" s="7" t="s">
        <v>29</v>
      </c>
      <c r="D2644" s="7" t="s">
        <v>25</v>
      </c>
      <c r="E2644" s="7" t="s">
        <v>10</v>
      </c>
      <c r="F2644" s="8">
        <v>3.0</v>
      </c>
      <c r="G2644" s="9">
        <v>3.0</v>
      </c>
    </row>
    <row r="2645" ht="14.25" hidden="1" customHeight="1">
      <c r="B2645" s="7" t="s">
        <v>17</v>
      </c>
      <c r="C2645" s="7" t="s">
        <v>29</v>
      </c>
      <c r="D2645" s="7" t="s">
        <v>33</v>
      </c>
      <c r="E2645" s="7" t="s">
        <v>31</v>
      </c>
      <c r="F2645" s="8">
        <v>3.0</v>
      </c>
      <c r="G2645" s="9">
        <v>3.0</v>
      </c>
    </row>
    <row r="2646" ht="14.25" hidden="1" customHeight="1">
      <c r="B2646" s="7" t="s">
        <v>17</v>
      </c>
      <c r="C2646" s="7" t="s">
        <v>29</v>
      </c>
      <c r="D2646" s="7" t="s">
        <v>9</v>
      </c>
      <c r="E2646" s="7" t="s">
        <v>28</v>
      </c>
      <c r="F2646" s="8">
        <v>3.0</v>
      </c>
      <c r="G2646" s="9">
        <v>3.0</v>
      </c>
    </row>
    <row r="2647" ht="14.25" hidden="1" customHeight="1">
      <c r="B2647" s="7" t="s">
        <v>17</v>
      </c>
      <c r="C2647" s="7" t="s">
        <v>29</v>
      </c>
      <c r="D2647" s="7" t="s">
        <v>9</v>
      </c>
      <c r="E2647" s="7" t="s">
        <v>8</v>
      </c>
      <c r="F2647" s="8">
        <v>3.0</v>
      </c>
      <c r="G2647" s="9">
        <v>3.0</v>
      </c>
    </row>
    <row r="2648" ht="14.25" hidden="1" customHeight="1">
      <c r="B2648" s="7" t="s">
        <v>17</v>
      </c>
      <c r="C2648" s="7" t="s">
        <v>29</v>
      </c>
      <c r="D2648" s="7" t="s">
        <v>32</v>
      </c>
      <c r="E2648" s="7" t="s">
        <v>25</v>
      </c>
      <c r="F2648" s="8">
        <v>3.0</v>
      </c>
      <c r="G2648" s="9">
        <v>3.0</v>
      </c>
    </row>
    <row r="2649" ht="14.25" hidden="1" customHeight="1">
      <c r="B2649" s="7" t="s">
        <v>17</v>
      </c>
      <c r="C2649" s="7" t="s">
        <v>36</v>
      </c>
      <c r="D2649" s="7" t="s">
        <v>31</v>
      </c>
      <c r="E2649" s="7" t="s">
        <v>9</v>
      </c>
      <c r="F2649" s="8">
        <v>3.0</v>
      </c>
      <c r="G2649" s="9">
        <v>3.0</v>
      </c>
    </row>
    <row r="2650" ht="14.25" hidden="1" customHeight="1">
      <c r="B2650" s="7" t="s">
        <v>17</v>
      </c>
      <c r="C2650" s="7" t="s">
        <v>29</v>
      </c>
      <c r="D2650" s="7" t="s">
        <v>31</v>
      </c>
      <c r="E2650" s="7" t="s">
        <v>31</v>
      </c>
      <c r="F2650" s="8">
        <v>3.0</v>
      </c>
      <c r="G2650" s="9">
        <v>3.0</v>
      </c>
    </row>
    <row r="2651" ht="14.25" hidden="1" customHeight="1">
      <c r="B2651" s="7" t="s">
        <v>17</v>
      </c>
      <c r="C2651" s="7" t="s">
        <v>29</v>
      </c>
      <c r="D2651" s="7" t="s">
        <v>25</v>
      </c>
      <c r="E2651" s="7" t="s">
        <v>33</v>
      </c>
      <c r="F2651" s="8">
        <v>2.0</v>
      </c>
      <c r="G2651" s="9">
        <v>2.0</v>
      </c>
    </row>
    <row r="2652" ht="14.25" hidden="1" customHeight="1">
      <c r="B2652" s="7" t="s">
        <v>17</v>
      </c>
      <c r="C2652" s="7" t="s">
        <v>7</v>
      </c>
      <c r="D2652" s="7" t="s">
        <v>25</v>
      </c>
      <c r="E2652" s="7" t="s">
        <v>28</v>
      </c>
      <c r="F2652" s="8">
        <v>2.0</v>
      </c>
      <c r="G2652" s="9">
        <v>1.0</v>
      </c>
    </row>
    <row r="2653" ht="14.25" hidden="1" customHeight="1">
      <c r="B2653" s="7" t="s">
        <v>17</v>
      </c>
      <c r="C2653" s="7" t="s">
        <v>7</v>
      </c>
      <c r="D2653" s="7" t="s">
        <v>25</v>
      </c>
      <c r="E2653" s="7" t="s">
        <v>31</v>
      </c>
      <c r="F2653" s="8">
        <v>2.0</v>
      </c>
      <c r="G2653" s="9">
        <v>1.0</v>
      </c>
    </row>
    <row r="2654" ht="14.25" hidden="1" customHeight="1">
      <c r="B2654" s="7" t="s">
        <v>17</v>
      </c>
      <c r="C2654" s="7" t="s">
        <v>7</v>
      </c>
      <c r="D2654" s="7" t="s">
        <v>25</v>
      </c>
      <c r="E2654" s="7" t="s">
        <v>8</v>
      </c>
      <c r="F2654" s="8">
        <v>2.0</v>
      </c>
      <c r="G2654" s="9">
        <v>1.0</v>
      </c>
    </row>
    <row r="2655" ht="14.25" hidden="1" customHeight="1">
      <c r="B2655" s="7" t="s">
        <v>17</v>
      </c>
      <c r="C2655" s="7" t="s">
        <v>7</v>
      </c>
      <c r="D2655" s="7" t="s">
        <v>25</v>
      </c>
      <c r="E2655" s="7" t="s">
        <v>8</v>
      </c>
      <c r="F2655" s="8">
        <v>2.0</v>
      </c>
      <c r="G2655" s="9">
        <v>1.0</v>
      </c>
    </row>
    <row r="2656" ht="14.25" hidden="1" customHeight="1">
      <c r="B2656" s="7" t="s">
        <v>17</v>
      </c>
      <c r="C2656" s="7" t="s">
        <v>7</v>
      </c>
      <c r="D2656" s="7" t="s">
        <v>33</v>
      </c>
      <c r="E2656" s="7" t="s">
        <v>28</v>
      </c>
      <c r="F2656" s="8">
        <v>2.0</v>
      </c>
      <c r="G2656" s="9">
        <v>1.0</v>
      </c>
    </row>
    <row r="2657" ht="14.25" hidden="1" customHeight="1">
      <c r="B2657" s="7" t="s">
        <v>17</v>
      </c>
      <c r="C2657" s="7" t="s">
        <v>7</v>
      </c>
      <c r="D2657" s="7" t="s">
        <v>28</v>
      </c>
      <c r="E2657" s="7" t="s">
        <v>35</v>
      </c>
      <c r="F2657" s="8">
        <v>2.0</v>
      </c>
      <c r="G2657" s="9">
        <v>1.0</v>
      </c>
    </row>
    <row r="2658" ht="14.25" hidden="1" customHeight="1">
      <c r="B2658" s="7" t="s">
        <v>17</v>
      </c>
      <c r="C2658" s="7" t="s">
        <v>7</v>
      </c>
      <c r="D2658" s="7" t="s">
        <v>28</v>
      </c>
      <c r="E2658" s="7" t="s">
        <v>37</v>
      </c>
      <c r="F2658" s="8">
        <v>2.0</v>
      </c>
      <c r="G2658" s="9">
        <v>1.0</v>
      </c>
    </row>
    <row r="2659" ht="14.25" hidden="1" customHeight="1">
      <c r="B2659" s="7" t="s">
        <v>17</v>
      </c>
      <c r="C2659" s="7" t="s">
        <v>30</v>
      </c>
      <c r="D2659" s="7" t="s">
        <v>28</v>
      </c>
      <c r="E2659" s="7" t="s">
        <v>31</v>
      </c>
      <c r="F2659" s="8">
        <v>2.0</v>
      </c>
      <c r="G2659" s="9">
        <v>1.0</v>
      </c>
    </row>
    <row r="2660" ht="14.25" hidden="1" customHeight="1">
      <c r="B2660" s="7" t="s">
        <v>17</v>
      </c>
      <c r="C2660" s="7" t="s">
        <v>7</v>
      </c>
      <c r="D2660" s="7" t="s">
        <v>11</v>
      </c>
      <c r="E2660" s="7" t="s">
        <v>25</v>
      </c>
      <c r="F2660" s="8">
        <v>2.0</v>
      </c>
      <c r="G2660" s="9">
        <v>1.0</v>
      </c>
    </row>
    <row r="2661" ht="14.25" hidden="1" customHeight="1">
      <c r="B2661" s="7" t="s">
        <v>17</v>
      </c>
      <c r="C2661" s="7" t="s">
        <v>7</v>
      </c>
      <c r="D2661" s="7" t="s">
        <v>11</v>
      </c>
      <c r="E2661" s="7" t="s">
        <v>25</v>
      </c>
      <c r="F2661" s="8">
        <v>2.0</v>
      </c>
      <c r="G2661" s="9">
        <v>1.0</v>
      </c>
    </row>
    <row r="2662" ht="14.25" hidden="1" customHeight="1">
      <c r="B2662" s="7" t="s">
        <v>17</v>
      </c>
      <c r="C2662" s="7" t="s">
        <v>29</v>
      </c>
      <c r="D2662" s="7" t="s">
        <v>11</v>
      </c>
      <c r="E2662" s="7" t="s">
        <v>8</v>
      </c>
      <c r="F2662" s="8">
        <v>2.0</v>
      </c>
      <c r="G2662" s="9">
        <v>2.0</v>
      </c>
    </row>
    <row r="2663" ht="14.25" hidden="1" customHeight="1">
      <c r="B2663" s="7" t="s">
        <v>17</v>
      </c>
      <c r="C2663" s="7" t="s">
        <v>7</v>
      </c>
      <c r="D2663" s="7" t="s">
        <v>11</v>
      </c>
      <c r="E2663" s="7" t="s">
        <v>8</v>
      </c>
      <c r="F2663" s="8">
        <v>2.0</v>
      </c>
      <c r="G2663" s="9">
        <v>1.0</v>
      </c>
    </row>
    <row r="2664" ht="14.25" hidden="1" customHeight="1">
      <c r="B2664" s="7" t="s">
        <v>17</v>
      </c>
      <c r="C2664" s="7" t="s">
        <v>30</v>
      </c>
      <c r="D2664" s="7" t="s">
        <v>11</v>
      </c>
      <c r="E2664" s="7" t="s">
        <v>8</v>
      </c>
      <c r="F2664" s="8">
        <v>2.0</v>
      </c>
      <c r="G2664" s="9">
        <v>1.0</v>
      </c>
    </row>
    <row r="2665" ht="14.25" hidden="1" customHeight="1">
      <c r="B2665" s="7" t="s">
        <v>17</v>
      </c>
      <c r="C2665" s="7" t="s">
        <v>29</v>
      </c>
      <c r="D2665" s="7" t="s">
        <v>34</v>
      </c>
      <c r="E2665" s="7" t="s">
        <v>32</v>
      </c>
      <c r="F2665" s="8">
        <v>2.0</v>
      </c>
      <c r="G2665" s="9">
        <v>2.0</v>
      </c>
    </row>
    <row r="2666" ht="14.25" hidden="1" customHeight="1">
      <c r="B2666" s="7" t="s">
        <v>17</v>
      </c>
      <c r="C2666" s="7" t="s">
        <v>7</v>
      </c>
      <c r="D2666" s="7" t="s">
        <v>9</v>
      </c>
      <c r="E2666" s="7" t="s">
        <v>25</v>
      </c>
      <c r="F2666" s="8">
        <v>2.0</v>
      </c>
      <c r="G2666" s="9">
        <v>2.0</v>
      </c>
    </row>
    <row r="2667" ht="14.25" hidden="1" customHeight="1">
      <c r="B2667" s="7" t="s">
        <v>17</v>
      </c>
      <c r="C2667" s="7" t="s">
        <v>29</v>
      </c>
      <c r="D2667" s="7" t="s">
        <v>9</v>
      </c>
      <c r="E2667" s="7" t="s">
        <v>33</v>
      </c>
      <c r="F2667" s="8">
        <v>2.0</v>
      </c>
      <c r="G2667" s="9">
        <v>2.0</v>
      </c>
    </row>
    <row r="2668" ht="14.25" hidden="1" customHeight="1">
      <c r="B2668" s="7" t="s">
        <v>17</v>
      </c>
      <c r="C2668" s="7" t="s">
        <v>7</v>
      </c>
      <c r="D2668" s="7" t="s">
        <v>9</v>
      </c>
      <c r="E2668" s="7" t="s">
        <v>32</v>
      </c>
      <c r="F2668" s="8">
        <v>2.0</v>
      </c>
      <c r="G2668" s="9">
        <v>1.0</v>
      </c>
    </row>
    <row r="2669" ht="14.25" hidden="1" customHeight="1">
      <c r="B2669" s="7" t="s">
        <v>17</v>
      </c>
      <c r="C2669" s="7" t="s">
        <v>7</v>
      </c>
      <c r="D2669" s="7" t="s">
        <v>9</v>
      </c>
      <c r="E2669" s="7" t="s">
        <v>8</v>
      </c>
      <c r="F2669" s="8">
        <v>2.0</v>
      </c>
      <c r="G2669" s="9">
        <v>1.0</v>
      </c>
    </row>
    <row r="2670" ht="14.25" hidden="1" customHeight="1">
      <c r="B2670" s="7" t="s">
        <v>17</v>
      </c>
      <c r="C2670" s="7" t="s">
        <v>30</v>
      </c>
      <c r="D2670" s="7" t="s">
        <v>24</v>
      </c>
      <c r="E2670" s="7" t="s">
        <v>10</v>
      </c>
      <c r="F2670" s="8">
        <v>2.0</v>
      </c>
      <c r="G2670" s="9">
        <v>1.0</v>
      </c>
    </row>
    <row r="2671" ht="14.25" hidden="1" customHeight="1">
      <c r="B2671" s="7" t="s">
        <v>17</v>
      </c>
      <c r="C2671" s="7" t="s">
        <v>7</v>
      </c>
      <c r="D2671" s="7" t="s">
        <v>10</v>
      </c>
      <c r="E2671" s="7" t="s">
        <v>25</v>
      </c>
      <c r="F2671" s="8">
        <v>2.0</v>
      </c>
      <c r="G2671" s="9">
        <v>1.0</v>
      </c>
    </row>
    <row r="2672" ht="14.25" hidden="1" customHeight="1">
      <c r="B2672" s="7" t="s">
        <v>17</v>
      </c>
      <c r="C2672" s="7" t="s">
        <v>7</v>
      </c>
      <c r="D2672" s="7" t="s">
        <v>10</v>
      </c>
      <c r="E2672" s="7" t="s">
        <v>33</v>
      </c>
      <c r="F2672" s="8">
        <v>2.0</v>
      </c>
      <c r="G2672" s="9">
        <v>2.0</v>
      </c>
    </row>
    <row r="2673" ht="14.25" hidden="1" customHeight="1">
      <c r="B2673" s="7" t="s">
        <v>17</v>
      </c>
      <c r="C2673" s="7" t="s">
        <v>7</v>
      </c>
      <c r="D2673" s="7" t="s">
        <v>10</v>
      </c>
      <c r="E2673" s="7" t="s">
        <v>33</v>
      </c>
      <c r="F2673" s="8">
        <v>2.0</v>
      </c>
      <c r="G2673" s="9">
        <v>1.0</v>
      </c>
    </row>
    <row r="2674" ht="14.25" hidden="1" customHeight="1">
      <c r="B2674" s="7" t="s">
        <v>17</v>
      </c>
      <c r="C2674" s="7" t="s">
        <v>7</v>
      </c>
      <c r="D2674" s="7" t="s">
        <v>10</v>
      </c>
      <c r="E2674" s="7" t="s">
        <v>35</v>
      </c>
      <c r="F2674" s="8">
        <v>2.0</v>
      </c>
      <c r="G2674" s="9">
        <v>1.0</v>
      </c>
    </row>
    <row r="2675" ht="14.25" hidden="1" customHeight="1">
      <c r="B2675" s="7" t="s">
        <v>17</v>
      </c>
      <c r="C2675" s="7" t="s">
        <v>7</v>
      </c>
      <c r="D2675" s="7" t="s">
        <v>10</v>
      </c>
      <c r="E2675" s="7" t="s">
        <v>9</v>
      </c>
      <c r="F2675" s="8">
        <v>2.0</v>
      </c>
      <c r="G2675" s="9">
        <v>2.0</v>
      </c>
    </row>
    <row r="2676" ht="14.25" hidden="1" customHeight="1">
      <c r="B2676" s="7" t="s">
        <v>17</v>
      </c>
      <c r="C2676" s="7" t="s">
        <v>7</v>
      </c>
      <c r="D2676" s="7" t="s">
        <v>10</v>
      </c>
      <c r="E2676" s="7" t="s">
        <v>24</v>
      </c>
      <c r="F2676" s="8">
        <v>2.0</v>
      </c>
      <c r="G2676" s="9">
        <v>1.0</v>
      </c>
    </row>
    <row r="2677" ht="14.25" hidden="1" customHeight="1">
      <c r="B2677" s="7" t="s">
        <v>17</v>
      </c>
      <c r="C2677" s="7" t="s">
        <v>7</v>
      </c>
      <c r="D2677" s="7" t="s">
        <v>10</v>
      </c>
      <c r="E2677" s="7" t="s">
        <v>31</v>
      </c>
      <c r="F2677" s="8">
        <v>2.0</v>
      </c>
      <c r="G2677" s="9">
        <v>1.0</v>
      </c>
    </row>
    <row r="2678" ht="14.25" hidden="1" customHeight="1">
      <c r="B2678" s="7" t="s">
        <v>17</v>
      </c>
      <c r="C2678" s="7" t="s">
        <v>7</v>
      </c>
      <c r="D2678" s="7" t="s">
        <v>10</v>
      </c>
      <c r="E2678" s="7" t="s">
        <v>31</v>
      </c>
      <c r="F2678" s="8">
        <v>2.0</v>
      </c>
      <c r="G2678" s="9">
        <v>1.0</v>
      </c>
    </row>
    <row r="2679" ht="14.25" hidden="1" customHeight="1">
      <c r="B2679" s="7" t="s">
        <v>17</v>
      </c>
      <c r="C2679" s="7" t="s">
        <v>7</v>
      </c>
      <c r="D2679" s="7" t="s">
        <v>10</v>
      </c>
      <c r="E2679" s="7" t="s">
        <v>8</v>
      </c>
      <c r="F2679" s="8">
        <v>2.0</v>
      </c>
      <c r="G2679" s="9">
        <v>1.0</v>
      </c>
    </row>
    <row r="2680" ht="14.25" hidden="1" customHeight="1">
      <c r="B2680" s="7" t="s">
        <v>17</v>
      </c>
      <c r="C2680" s="7" t="s">
        <v>7</v>
      </c>
      <c r="D2680" s="7" t="s">
        <v>32</v>
      </c>
      <c r="E2680" s="7" t="s">
        <v>25</v>
      </c>
      <c r="F2680" s="8">
        <v>2.0</v>
      </c>
      <c r="G2680" s="9">
        <v>2.0</v>
      </c>
    </row>
    <row r="2681" ht="14.25" hidden="1" customHeight="1">
      <c r="B2681" s="7" t="s">
        <v>17</v>
      </c>
      <c r="C2681" s="7" t="s">
        <v>7</v>
      </c>
      <c r="D2681" s="7" t="s">
        <v>32</v>
      </c>
      <c r="E2681" s="7" t="s">
        <v>25</v>
      </c>
      <c r="F2681" s="8">
        <v>2.0</v>
      </c>
      <c r="G2681" s="9">
        <v>1.0</v>
      </c>
    </row>
    <row r="2682" ht="14.25" hidden="1" customHeight="1">
      <c r="B2682" s="7" t="s">
        <v>17</v>
      </c>
      <c r="C2682" s="7" t="s">
        <v>29</v>
      </c>
      <c r="D2682" s="7" t="s">
        <v>32</v>
      </c>
      <c r="E2682" s="7" t="s">
        <v>33</v>
      </c>
      <c r="F2682" s="8">
        <v>2.0</v>
      </c>
      <c r="G2682" s="9">
        <v>2.0</v>
      </c>
    </row>
    <row r="2683" ht="14.25" hidden="1" customHeight="1">
      <c r="B2683" s="7" t="s">
        <v>17</v>
      </c>
      <c r="C2683" s="7" t="s">
        <v>7</v>
      </c>
      <c r="D2683" s="7" t="s">
        <v>32</v>
      </c>
      <c r="E2683" s="7" t="s">
        <v>28</v>
      </c>
      <c r="F2683" s="8">
        <v>2.0</v>
      </c>
      <c r="G2683" s="9">
        <v>1.0</v>
      </c>
    </row>
    <row r="2684" ht="14.25" hidden="1" customHeight="1">
      <c r="B2684" s="7" t="s">
        <v>17</v>
      </c>
      <c r="C2684" s="7" t="s">
        <v>7</v>
      </c>
      <c r="D2684" s="7" t="s">
        <v>32</v>
      </c>
      <c r="E2684" s="7" t="s">
        <v>31</v>
      </c>
      <c r="F2684" s="8">
        <v>2.0</v>
      </c>
      <c r="G2684" s="9">
        <v>1.0</v>
      </c>
    </row>
    <row r="2685" ht="14.25" hidden="1" customHeight="1">
      <c r="B2685" s="7" t="s">
        <v>17</v>
      </c>
      <c r="C2685" s="7" t="s">
        <v>30</v>
      </c>
      <c r="D2685" s="7" t="s">
        <v>32</v>
      </c>
      <c r="E2685" s="7" t="s">
        <v>31</v>
      </c>
      <c r="F2685" s="8">
        <v>2.0</v>
      </c>
      <c r="G2685" s="9">
        <v>1.0</v>
      </c>
    </row>
    <row r="2686" ht="14.25" hidden="1" customHeight="1">
      <c r="B2686" s="7" t="s">
        <v>17</v>
      </c>
      <c r="C2686" s="7" t="s">
        <v>7</v>
      </c>
      <c r="D2686" s="7" t="s">
        <v>32</v>
      </c>
      <c r="E2686" s="7" t="s">
        <v>8</v>
      </c>
      <c r="F2686" s="8">
        <v>2.0</v>
      </c>
      <c r="G2686" s="9">
        <v>1.0</v>
      </c>
    </row>
    <row r="2687" ht="14.25" hidden="1" customHeight="1">
      <c r="B2687" s="7" t="s">
        <v>17</v>
      </c>
      <c r="C2687" s="7" t="s">
        <v>7</v>
      </c>
      <c r="D2687" s="7" t="s">
        <v>32</v>
      </c>
      <c r="E2687" s="7" t="s">
        <v>8</v>
      </c>
      <c r="F2687" s="8">
        <v>2.0</v>
      </c>
      <c r="G2687" s="9">
        <v>1.0</v>
      </c>
    </row>
    <row r="2688" ht="14.25" hidden="1" customHeight="1">
      <c r="B2688" s="7" t="s">
        <v>17</v>
      </c>
      <c r="C2688" s="7" t="s">
        <v>7</v>
      </c>
      <c r="D2688" s="7" t="s">
        <v>31</v>
      </c>
      <c r="E2688" s="7" t="s">
        <v>25</v>
      </c>
      <c r="F2688" s="8">
        <v>2.0</v>
      </c>
      <c r="G2688" s="9">
        <v>1.0</v>
      </c>
    </row>
    <row r="2689" ht="14.25" hidden="1" customHeight="1">
      <c r="B2689" s="7" t="s">
        <v>17</v>
      </c>
      <c r="C2689" s="7" t="s">
        <v>7</v>
      </c>
      <c r="D2689" s="7" t="s">
        <v>31</v>
      </c>
      <c r="E2689" s="7" t="s">
        <v>25</v>
      </c>
      <c r="F2689" s="8">
        <v>2.0</v>
      </c>
      <c r="G2689" s="9">
        <v>1.0</v>
      </c>
    </row>
    <row r="2690" ht="14.25" hidden="1" customHeight="1">
      <c r="B2690" s="7" t="s">
        <v>17</v>
      </c>
      <c r="C2690" s="7" t="s">
        <v>29</v>
      </c>
      <c r="D2690" s="7" t="s">
        <v>31</v>
      </c>
      <c r="E2690" s="7" t="s">
        <v>33</v>
      </c>
      <c r="F2690" s="8">
        <v>2.0</v>
      </c>
      <c r="G2690" s="9">
        <v>2.0</v>
      </c>
    </row>
    <row r="2691" ht="14.25" hidden="1" customHeight="1">
      <c r="B2691" s="7" t="s">
        <v>17</v>
      </c>
      <c r="C2691" s="7" t="s">
        <v>29</v>
      </c>
      <c r="D2691" s="7" t="s">
        <v>31</v>
      </c>
      <c r="E2691" s="7" t="s">
        <v>28</v>
      </c>
      <c r="F2691" s="8">
        <v>2.0</v>
      </c>
      <c r="G2691" s="9">
        <v>2.0</v>
      </c>
    </row>
    <row r="2692" ht="14.25" hidden="1" customHeight="1">
      <c r="B2692" s="7" t="s">
        <v>17</v>
      </c>
      <c r="C2692" s="7" t="s">
        <v>29</v>
      </c>
      <c r="D2692" s="7" t="s">
        <v>31</v>
      </c>
      <c r="E2692" s="7" t="s">
        <v>9</v>
      </c>
      <c r="F2692" s="8">
        <v>2.0</v>
      </c>
      <c r="G2692" s="9">
        <v>2.0</v>
      </c>
    </row>
    <row r="2693" ht="14.25" hidden="1" customHeight="1">
      <c r="B2693" s="7" t="s">
        <v>17</v>
      </c>
      <c r="C2693" s="7" t="s">
        <v>29</v>
      </c>
      <c r="D2693" s="7" t="s">
        <v>31</v>
      </c>
      <c r="E2693" s="7" t="s">
        <v>10</v>
      </c>
      <c r="F2693" s="8">
        <v>2.0</v>
      </c>
      <c r="G2693" s="9">
        <v>2.0</v>
      </c>
    </row>
    <row r="2694" ht="14.25" hidden="1" customHeight="1">
      <c r="B2694" s="7" t="s">
        <v>17</v>
      </c>
      <c r="C2694" s="7" t="s">
        <v>7</v>
      </c>
      <c r="D2694" s="7" t="s">
        <v>31</v>
      </c>
      <c r="E2694" s="7" t="s">
        <v>10</v>
      </c>
      <c r="F2694" s="8">
        <v>2.0</v>
      </c>
      <c r="G2694" s="9">
        <v>1.0</v>
      </c>
    </row>
    <row r="2695" ht="14.25" hidden="1" customHeight="1">
      <c r="B2695" s="7" t="s">
        <v>17</v>
      </c>
      <c r="C2695" s="7" t="s">
        <v>7</v>
      </c>
      <c r="D2695" s="7" t="s">
        <v>31</v>
      </c>
      <c r="E2695" s="7" t="s">
        <v>10</v>
      </c>
      <c r="F2695" s="8">
        <v>2.0</v>
      </c>
      <c r="G2695" s="9">
        <v>1.0</v>
      </c>
    </row>
    <row r="2696" ht="14.25" hidden="1" customHeight="1">
      <c r="B2696" s="7" t="s">
        <v>17</v>
      </c>
      <c r="C2696" s="7" t="s">
        <v>7</v>
      </c>
      <c r="D2696" s="7" t="s">
        <v>31</v>
      </c>
      <c r="E2696" s="7" t="s">
        <v>32</v>
      </c>
      <c r="F2696" s="8">
        <v>2.0</v>
      </c>
      <c r="G2696" s="9">
        <v>1.0</v>
      </c>
    </row>
    <row r="2697" ht="14.25" hidden="1" customHeight="1">
      <c r="B2697" s="7" t="s">
        <v>17</v>
      </c>
      <c r="C2697" s="7" t="s">
        <v>7</v>
      </c>
      <c r="D2697" s="7" t="s">
        <v>31</v>
      </c>
      <c r="E2697" s="7" t="s">
        <v>32</v>
      </c>
      <c r="F2697" s="8">
        <v>2.0</v>
      </c>
      <c r="G2697" s="9">
        <v>1.0</v>
      </c>
    </row>
    <row r="2698" ht="14.25" hidden="1" customHeight="1">
      <c r="B2698" s="7" t="s">
        <v>17</v>
      </c>
      <c r="C2698" s="7" t="s">
        <v>7</v>
      </c>
      <c r="D2698" s="7" t="s">
        <v>8</v>
      </c>
      <c r="E2698" s="7" t="s">
        <v>25</v>
      </c>
      <c r="F2698" s="8">
        <v>2.0</v>
      </c>
      <c r="G2698" s="9">
        <v>1.0</v>
      </c>
    </row>
    <row r="2699" ht="14.25" hidden="1" customHeight="1">
      <c r="B2699" s="7" t="s">
        <v>17</v>
      </c>
      <c r="C2699" s="7" t="s">
        <v>7</v>
      </c>
      <c r="D2699" s="7" t="s">
        <v>8</v>
      </c>
      <c r="E2699" s="7" t="s">
        <v>25</v>
      </c>
      <c r="F2699" s="8">
        <v>2.0</v>
      </c>
      <c r="G2699" s="9">
        <v>1.0</v>
      </c>
    </row>
    <row r="2700" ht="14.25" hidden="1" customHeight="1">
      <c r="B2700" s="7" t="s">
        <v>17</v>
      </c>
      <c r="C2700" s="7" t="s">
        <v>7</v>
      </c>
      <c r="D2700" s="7" t="s">
        <v>8</v>
      </c>
      <c r="E2700" s="7" t="s">
        <v>25</v>
      </c>
      <c r="F2700" s="8">
        <v>2.0</v>
      </c>
      <c r="G2700" s="9">
        <v>1.0</v>
      </c>
    </row>
    <row r="2701" ht="14.25" hidden="1" customHeight="1">
      <c r="B2701" s="7" t="s">
        <v>17</v>
      </c>
      <c r="C2701" s="7" t="s">
        <v>7</v>
      </c>
      <c r="D2701" s="7" t="s">
        <v>8</v>
      </c>
      <c r="E2701" s="7" t="s">
        <v>9</v>
      </c>
      <c r="F2701" s="8">
        <v>2.0</v>
      </c>
      <c r="G2701" s="9">
        <v>1.0</v>
      </c>
    </row>
    <row r="2702" ht="14.25" hidden="1" customHeight="1">
      <c r="B2702" s="7" t="s">
        <v>17</v>
      </c>
      <c r="C2702" s="7" t="s">
        <v>7</v>
      </c>
      <c r="D2702" s="7" t="s">
        <v>8</v>
      </c>
      <c r="E2702" s="7" t="s">
        <v>10</v>
      </c>
      <c r="F2702" s="8">
        <v>2.0</v>
      </c>
      <c r="G2702" s="9">
        <v>1.0</v>
      </c>
    </row>
    <row r="2703" ht="14.25" customHeight="1">
      <c r="B2703" s="7" t="s">
        <v>17</v>
      </c>
      <c r="C2703" s="7" t="s">
        <v>29</v>
      </c>
      <c r="D2703" s="7" t="s">
        <v>8</v>
      </c>
      <c r="E2703" s="7" t="s">
        <v>31</v>
      </c>
      <c r="F2703" s="8">
        <v>2.0</v>
      </c>
      <c r="G2703" s="9">
        <v>2.0</v>
      </c>
    </row>
    <row r="2704" ht="14.25" customHeight="1">
      <c r="B2704" s="7" t="s">
        <v>17</v>
      </c>
      <c r="C2704" s="7" t="s">
        <v>7</v>
      </c>
      <c r="D2704" s="7" t="s">
        <v>8</v>
      </c>
      <c r="E2704" s="7" t="s">
        <v>31</v>
      </c>
      <c r="F2704" s="8">
        <v>2.0</v>
      </c>
      <c r="G2704" s="9">
        <v>1.0</v>
      </c>
    </row>
    <row r="2705" ht="14.25" customHeight="1">
      <c r="B2705" s="7" t="s">
        <v>17</v>
      </c>
      <c r="C2705" s="7" t="s">
        <v>30</v>
      </c>
      <c r="D2705" s="7" t="s">
        <v>8</v>
      </c>
      <c r="E2705" s="7" t="s">
        <v>31</v>
      </c>
      <c r="F2705" s="8">
        <v>2.0</v>
      </c>
      <c r="G2705" s="9">
        <v>1.0</v>
      </c>
    </row>
    <row r="2706" ht="14.25" hidden="1" customHeight="1">
      <c r="B2706" s="7" t="s">
        <v>17</v>
      </c>
      <c r="C2706" s="7" t="s">
        <v>29</v>
      </c>
      <c r="D2706" s="7" t="s">
        <v>25</v>
      </c>
      <c r="E2706" s="7" t="s">
        <v>32</v>
      </c>
      <c r="F2706" s="8">
        <v>1.0</v>
      </c>
      <c r="G2706" s="9">
        <v>1.0</v>
      </c>
    </row>
    <row r="2707" ht="14.25" hidden="1" customHeight="1">
      <c r="B2707" s="7" t="s">
        <v>17</v>
      </c>
      <c r="C2707" s="7" t="s">
        <v>29</v>
      </c>
      <c r="D2707" s="7" t="s">
        <v>25</v>
      </c>
      <c r="E2707" s="7" t="s">
        <v>8</v>
      </c>
      <c r="F2707" s="8">
        <v>1.0</v>
      </c>
      <c r="G2707" s="9">
        <v>1.0</v>
      </c>
    </row>
    <row r="2708" ht="14.25" hidden="1" customHeight="1">
      <c r="B2708" s="7" t="s">
        <v>17</v>
      </c>
      <c r="C2708" s="7" t="s">
        <v>29</v>
      </c>
      <c r="D2708" s="7" t="s">
        <v>33</v>
      </c>
      <c r="E2708" s="7" t="s">
        <v>24</v>
      </c>
      <c r="F2708" s="8">
        <v>1.0</v>
      </c>
      <c r="G2708" s="9">
        <v>1.0</v>
      </c>
    </row>
    <row r="2709" ht="14.25" hidden="1" customHeight="1">
      <c r="B2709" s="7" t="s">
        <v>17</v>
      </c>
      <c r="C2709" s="7" t="s">
        <v>29</v>
      </c>
      <c r="D2709" s="7" t="s">
        <v>28</v>
      </c>
      <c r="E2709" s="7" t="s">
        <v>25</v>
      </c>
      <c r="F2709" s="8">
        <v>1.0</v>
      </c>
      <c r="G2709" s="9">
        <v>1.0</v>
      </c>
    </row>
    <row r="2710" ht="14.25" hidden="1" customHeight="1">
      <c r="B2710" s="7" t="s">
        <v>17</v>
      </c>
      <c r="C2710" s="7" t="s">
        <v>29</v>
      </c>
      <c r="D2710" s="7" t="s">
        <v>28</v>
      </c>
      <c r="E2710" s="7" t="s">
        <v>33</v>
      </c>
      <c r="F2710" s="8">
        <v>1.0</v>
      </c>
      <c r="G2710" s="9">
        <v>1.0</v>
      </c>
    </row>
    <row r="2711" ht="14.25" hidden="1" customHeight="1">
      <c r="B2711" s="7" t="s">
        <v>17</v>
      </c>
      <c r="C2711" s="7" t="s">
        <v>29</v>
      </c>
      <c r="D2711" s="7" t="s">
        <v>28</v>
      </c>
      <c r="E2711" s="7" t="s">
        <v>35</v>
      </c>
      <c r="F2711" s="8">
        <v>1.0</v>
      </c>
      <c r="G2711" s="9">
        <v>1.0</v>
      </c>
    </row>
    <row r="2712" ht="14.25" hidden="1" customHeight="1">
      <c r="B2712" s="7" t="s">
        <v>17</v>
      </c>
      <c r="C2712" s="7" t="s">
        <v>29</v>
      </c>
      <c r="D2712" s="7" t="s">
        <v>28</v>
      </c>
      <c r="E2712" s="7" t="s">
        <v>8</v>
      </c>
      <c r="F2712" s="8">
        <v>1.0</v>
      </c>
      <c r="G2712" s="9">
        <v>1.0</v>
      </c>
    </row>
    <row r="2713" ht="14.25" hidden="1" customHeight="1">
      <c r="B2713" s="7" t="s">
        <v>17</v>
      </c>
      <c r="C2713" s="7" t="s">
        <v>29</v>
      </c>
      <c r="D2713" s="7" t="s">
        <v>11</v>
      </c>
      <c r="E2713" s="7" t="s">
        <v>25</v>
      </c>
      <c r="F2713" s="8">
        <v>1.0</v>
      </c>
      <c r="G2713" s="9">
        <v>1.0</v>
      </c>
    </row>
    <row r="2714" ht="14.25" hidden="1" customHeight="1">
      <c r="B2714" s="7" t="s">
        <v>17</v>
      </c>
      <c r="C2714" s="7" t="s">
        <v>29</v>
      </c>
      <c r="D2714" s="7" t="s">
        <v>11</v>
      </c>
      <c r="E2714" s="7" t="s">
        <v>31</v>
      </c>
      <c r="F2714" s="8">
        <v>1.0</v>
      </c>
      <c r="G2714" s="9">
        <v>1.0</v>
      </c>
    </row>
    <row r="2715" ht="14.25" hidden="1" customHeight="1">
      <c r="B2715" s="7" t="s">
        <v>17</v>
      </c>
      <c r="C2715" s="7" t="s">
        <v>29</v>
      </c>
      <c r="D2715" s="7" t="s">
        <v>11</v>
      </c>
      <c r="E2715" s="7" t="s">
        <v>31</v>
      </c>
      <c r="F2715" s="8">
        <v>1.0</v>
      </c>
      <c r="G2715" s="9">
        <v>1.0</v>
      </c>
    </row>
    <row r="2716" ht="14.25" hidden="1" customHeight="1">
      <c r="B2716" s="7" t="s">
        <v>17</v>
      </c>
      <c r="C2716" s="7" t="s">
        <v>36</v>
      </c>
      <c r="D2716" s="7" t="s">
        <v>11</v>
      </c>
      <c r="E2716" s="7" t="s">
        <v>8</v>
      </c>
      <c r="F2716" s="8">
        <v>1.0</v>
      </c>
      <c r="G2716" s="9">
        <v>1.0</v>
      </c>
    </row>
    <row r="2717" ht="14.25" hidden="1" customHeight="1">
      <c r="B2717" s="7" t="s">
        <v>17</v>
      </c>
      <c r="C2717" s="7" t="s">
        <v>29</v>
      </c>
      <c r="D2717" s="7" t="s">
        <v>35</v>
      </c>
      <c r="E2717" s="7" t="s">
        <v>32</v>
      </c>
      <c r="F2717" s="8">
        <v>1.0</v>
      </c>
      <c r="G2717" s="9">
        <v>1.0</v>
      </c>
    </row>
    <row r="2718" ht="14.25" hidden="1" customHeight="1">
      <c r="B2718" s="7" t="s">
        <v>17</v>
      </c>
      <c r="C2718" s="7" t="s">
        <v>29</v>
      </c>
      <c r="D2718" s="7" t="s">
        <v>9</v>
      </c>
      <c r="E2718" s="7" t="s">
        <v>31</v>
      </c>
      <c r="F2718" s="8">
        <v>1.0</v>
      </c>
      <c r="G2718" s="9">
        <v>1.0</v>
      </c>
    </row>
    <row r="2719" ht="14.25" hidden="1" customHeight="1">
      <c r="B2719" s="7" t="s">
        <v>17</v>
      </c>
      <c r="C2719" s="7" t="s">
        <v>36</v>
      </c>
      <c r="D2719" s="7" t="s">
        <v>9</v>
      </c>
      <c r="E2719" s="7" t="s">
        <v>31</v>
      </c>
      <c r="F2719" s="8">
        <v>1.0</v>
      </c>
      <c r="G2719" s="9">
        <v>1.0</v>
      </c>
    </row>
    <row r="2720" ht="14.25" hidden="1" customHeight="1">
      <c r="B2720" s="7" t="s">
        <v>17</v>
      </c>
      <c r="C2720" s="7" t="s">
        <v>29</v>
      </c>
      <c r="D2720" s="7" t="s">
        <v>24</v>
      </c>
      <c r="E2720" s="7" t="s">
        <v>31</v>
      </c>
      <c r="F2720" s="8">
        <v>1.0</v>
      </c>
      <c r="G2720" s="9">
        <v>1.0</v>
      </c>
    </row>
    <row r="2721" ht="14.25" hidden="1" customHeight="1">
      <c r="B2721" s="7" t="s">
        <v>17</v>
      </c>
      <c r="C2721" s="7" t="s">
        <v>29</v>
      </c>
      <c r="D2721" s="7" t="s">
        <v>10</v>
      </c>
      <c r="E2721" s="7" t="s">
        <v>28</v>
      </c>
      <c r="F2721" s="8">
        <v>1.0</v>
      </c>
      <c r="G2721" s="9">
        <v>1.0</v>
      </c>
    </row>
    <row r="2722" ht="14.25" hidden="1" customHeight="1">
      <c r="B2722" s="7" t="s">
        <v>17</v>
      </c>
      <c r="C2722" s="7" t="s">
        <v>29</v>
      </c>
      <c r="D2722" s="7" t="s">
        <v>32</v>
      </c>
      <c r="E2722" s="7" t="s">
        <v>9</v>
      </c>
      <c r="F2722" s="8">
        <v>1.0</v>
      </c>
      <c r="G2722" s="9">
        <v>1.0</v>
      </c>
    </row>
    <row r="2723" ht="14.25" hidden="1" customHeight="1">
      <c r="B2723" s="7" t="s">
        <v>17</v>
      </c>
      <c r="C2723" s="7" t="s">
        <v>29</v>
      </c>
      <c r="D2723" s="7" t="s">
        <v>8</v>
      </c>
      <c r="E2723" s="7" t="s">
        <v>25</v>
      </c>
      <c r="F2723" s="8">
        <v>1.0</v>
      </c>
      <c r="G2723" s="9">
        <v>1.0</v>
      </c>
    </row>
    <row r="2724" ht="14.25" hidden="1" customHeight="1">
      <c r="B2724" s="7" t="s">
        <v>17</v>
      </c>
      <c r="C2724" s="7" t="s">
        <v>29</v>
      </c>
      <c r="D2724" s="7" t="s">
        <v>8</v>
      </c>
      <c r="E2724" s="7" t="s">
        <v>33</v>
      </c>
      <c r="F2724" s="8">
        <v>1.0</v>
      </c>
      <c r="G2724" s="9">
        <v>1.0</v>
      </c>
    </row>
    <row r="2725" ht="14.25" hidden="1" customHeight="1">
      <c r="B2725" s="7" t="s">
        <v>17</v>
      </c>
      <c r="C2725" s="7" t="s">
        <v>29</v>
      </c>
      <c r="D2725" s="7" t="s">
        <v>8</v>
      </c>
      <c r="E2725" s="7" t="s">
        <v>28</v>
      </c>
      <c r="F2725" s="8">
        <v>1.0</v>
      </c>
      <c r="G2725" s="9">
        <v>1.0</v>
      </c>
    </row>
    <row r="2726" ht="14.25" hidden="1" customHeight="1">
      <c r="B2726" s="7" t="s">
        <v>17</v>
      </c>
      <c r="C2726" s="7" t="s">
        <v>36</v>
      </c>
      <c r="D2726" s="7" t="s">
        <v>8</v>
      </c>
      <c r="E2726" s="7" t="s">
        <v>24</v>
      </c>
      <c r="F2726" s="8">
        <v>1.0</v>
      </c>
      <c r="G2726" s="9">
        <v>1.0</v>
      </c>
    </row>
    <row r="2727" ht="14.25" hidden="1" customHeight="1">
      <c r="B2727" s="7" t="s">
        <v>17</v>
      </c>
      <c r="C2727" s="7" t="s">
        <v>29</v>
      </c>
      <c r="D2727" s="7" t="s">
        <v>8</v>
      </c>
      <c r="E2727" s="7" t="s">
        <v>10</v>
      </c>
      <c r="F2727" s="8">
        <v>1.0</v>
      </c>
      <c r="G2727" s="9">
        <v>1.0</v>
      </c>
    </row>
    <row r="2728" ht="14.25" hidden="1" customHeight="1">
      <c r="B2728" s="7" t="s">
        <v>16</v>
      </c>
      <c r="C2728" s="7" t="s">
        <v>7</v>
      </c>
      <c r="D2728" s="7" t="s">
        <v>8</v>
      </c>
      <c r="E2728" s="7" t="s">
        <v>24</v>
      </c>
      <c r="F2728" s="8">
        <v>5994.0</v>
      </c>
      <c r="G2728" s="9">
        <v>2997.0</v>
      </c>
    </row>
    <row r="2729" ht="14.25" hidden="1" customHeight="1">
      <c r="B2729" s="7" t="s">
        <v>16</v>
      </c>
      <c r="C2729" s="7" t="s">
        <v>29</v>
      </c>
      <c r="D2729" s="7" t="s">
        <v>11</v>
      </c>
      <c r="E2729" s="7" t="s">
        <v>10</v>
      </c>
      <c r="F2729" s="8">
        <v>4256.0</v>
      </c>
      <c r="G2729" s="9">
        <v>4256.0</v>
      </c>
    </row>
    <row r="2730" ht="14.25" hidden="1" customHeight="1">
      <c r="B2730" s="7" t="s">
        <v>16</v>
      </c>
      <c r="C2730" s="7" t="s">
        <v>7</v>
      </c>
      <c r="D2730" s="7" t="s">
        <v>8</v>
      </c>
      <c r="E2730" s="7" t="s">
        <v>9</v>
      </c>
      <c r="F2730" s="8">
        <v>4084.0</v>
      </c>
      <c r="G2730" s="9">
        <v>2042.0</v>
      </c>
    </row>
    <row r="2731" ht="14.25" hidden="1" customHeight="1">
      <c r="B2731" s="7" t="s">
        <v>16</v>
      </c>
      <c r="C2731" s="7" t="s">
        <v>7</v>
      </c>
      <c r="D2731" s="7" t="s">
        <v>25</v>
      </c>
      <c r="E2731" s="7" t="s">
        <v>8</v>
      </c>
      <c r="F2731" s="8">
        <v>4074.0</v>
      </c>
      <c r="G2731" s="9">
        <v>2037.0</v>
      </c>
    </row>
    <row r="2732" ht="14.25" hidden="1" customHeight="1">
      <c r="B2732" s="7" t="s">
        <v>16</v>
      </c>
      <c r="C2732" s="7" t="s">
        <v>7</v>
      </c>
      <c r="D2732" s="7" t="s">
        <v>25</v>
      </c>
      <c r="E2732" s="7" t="s">
        <v>8</v>
      </c>
      <c r="F2732" s="8">
        <v>3970.0</v>
      </c>
      <c r="G2732" s="9">
        <v>1985.0</v>
      </c>
    </row>
    <row r="2733" ht="14.25" hidden="1" customHeight="1">
      <c r="B2733" s="7" t="s">
        <v>16</v>
      </c>
      <c r="C2733" s="7" t="s">
        <v>7</v>
      </c>
      <c r="D2733" s="7" t="s">
        <v>8</v>
      </c>
      <c r="E2733" s="7" t="s">
        <v>25</v>
      </c>
      <c r="F2733" s="8">
        <v>3208.0</v>
      </c>
      <c r="G2733" s="9">
        <v>1604.0</v>
      </c>
    </row>
    <row r="2734" ht="14.25" hidden="1" customHeight="1">
      <c r="B2734" s="7" t="s">
        <v>16</v>
      </c>
      <c r="C2734" s="7" t="s">
        <v>7</v>
      </c>
      <c r="D2734" s="7" t="s">
        <v>8</v>
      </c>
      <c r="E2734" s="7" t="s">
        <v>28</v>
      </c>
      <c r="F2734" s="8">
        <v>3138.0</v>
      </c>
      <c r="G2734" s="9">
        <v>1569.0</v>
      </c>
    </row>
    <row r="2735" ht="14.25" hidden="1" customHeight="1">
      <c r="B2735" s="7" t="s">
        <v>16</v>
      </c>
      <c r="C2735" s="7" t="s">
        <v>7</v>
      </c>
      <c r="D2735" s="7" t="s">
        <v>9</v>
      </c>
      <c r="E2735" s="7" t="s">
        <v>25</v>
      </c>
      <c r="F2735" s="8">
        <v>3022.0</v>
      </c>
      <c r="G2735" s="9">
        <v>1511.0</v>
      </c>
    </row>
    <row r="2736" ht="14.25" hidden="1" customHeight="1">
      <c r="B2736" s="7" t="s">
        <v>16</v>
      </c>
      <c r="C2736" s="7" t="s">
        <v>7</v>
      </c>
      <c r="D2736" s="7" t="s">
        <v>10</v>
      </c>
      <c r="E2736" s="7" t="s">
        <v>11</v>
      </c>
      <c r="F2736" s="8">
        <v>2238.0</v>
      </c>
      <c r="G2736" s="9">
        <v>1119.0</v>
      </c>
    </row>
    <row r="2737" ht="14.25" hidden="1" customHeight="1">
      <c r="B2737" s="7" t="s">
        <v>16</v>
      </c>
      <c r="C2737" s="7" t="s">
        <v>7</v>
      </c>
      <c r="D2737" s="7" t="s">
        <v>8</v>
      </c>
      <c r="E2737" s="7" t="s">
        <v>11</v>
      </c>
      <c r="F2737" s="8">
        <v>2038.0</v>
      </c>
      <c r="G2737" s="9">
        <v>1019.0</v>
      </c>
    </row>
    <row r="2738" ht="14.25" hidden="1" customHeight="1">
      <c r="B2738" s="7" t="s">
        <v>16</v>
      </c>
      <c r="C2738" s="7" t="s">
        <v>7</v>
      </c>
      <c r="D2738" s="7" t="s">
        <v>31</v>
      </c>
      <c r="E2738" s="7" t="s">
        <v>25</v>
      </c>
      <c r="F2738" s="8">
        <v>1886.0</v>
      </c>
      <c r="G2738" s="9">
        <v>943.0</v>
      </c>
    </row>
    <row r="2739" ht="14.25" hidden="1" customHeight="1">
      <c r="B2739" s="7" t="s">
        <v>16</v>
      </c>
      <c r="C2739" s="7" t="s">
        <v>7</v>
      </c>
      <c r="D2739" s="7" t="s">
        <v>31</v>
      </c>
      <c r="E2739" s="7" t="s">
        <v>9</v>
      </c>
      <c r="F2739" s="8">
        <v>1786.0</v>
      </c>
      <c r="G2739" s="9">
        <v>893.0</v>
      </c>
    </row>
    <row r="2740" ht="14.25" hidden="1" customHeight="1">
      <c r="B2740" s="7" t="s">
        <v>16</v>
      </c>
      <c r="C2740" s="7" t="s">
        <v>7</v>
      </c>
      <c r="D2740" s="7" t="s">
        <v>28</v>
      </c>
      <c r="E2740" s="7" t="s">
        <v>25</v>
      </c>
      <c r="F2740" s="8">
        <v>1672.0</v>
      </c>
      <c r="G2740" s="9">
        <v>836.0</v>
      </c>
    </row>
    <row r="2741" ht="14.25" hidden="1" customHeight="1">
      <c r="B2741" s="7" t="s">
        <v>16</v>
      </c>
      <c r="C2741" s="7" t="s">
        <v>7</v>
      </c>
      <c r="D2741" s="7" t="s">
        <v>31</v>
      </c>
      <c r="E2741" s="7" t="s">
        <v>9</v>
      </c>
      <c r="F2741" s="8">
        <v>1648.0</v>
      </c>
      <c r="G2741" s="9">
        <v>824.0</v>
      </c>
    </row>
    <row r="2742" ht="14.25" hidden="1" customHeight="1">
      <c r="B2742" s="7" t="s">
        <v>16</v>
      </c>
      <c r="C2742" s="7" t="s">
        <v>7</v>
      </c>
      <c r="D2742" s="7" t="s">
        <v>33</v>
      </c>
      <c r="E2742" s="7" t="s">
        <v>8</v>
      </c>
      <c r="F2742" s="8">
        <v>1572.0</v>
      </c>
      <c r="G2742" s="9">
        <v>786.0</v>
      </c>
    </row>
    <row r="2743" ht="14.25" hidden="1" customHeight="1">
      <c r="B2743" s="7" t="s">
        <v>16</v>
      </c>
      <c r="C2743" s="7" t="s">
        <v>7</v>
      </c>
      <c r="D2743" s="7" t="s">
        <v>31</v>
      </c>
      <c r="E2743" s="7" t="s">
        <v>28</v>
      </c>
      <c r="F2743" s="8">
        <v>1526.0</v>
      </c>
      <c r="G2743" s="9">
        <v>763.0</v>
      </c>
    </row>
    <row r="2744" ht="14.25" hidden="1" customHeight="1">
      <c r="B2744" s="7" t="s">
        <v>16</v>
      </c>
      <c r="C2744" s="7" t="s">
        <v>7</v>
      </c>
      <c r="D2744" s="7" t="s">
        <v>8</v>
      </c>
      <c r="E2744" s="7" t="s">
        <v>28</v>
      </c>
      <c r="F2744" s="8">
        <v>1412.0</v>
      </c>
      <c r="G2744" s="9">
        <v>706.0</v>
      </c>
    </row>
    <row r="2745" ht="14.25" hidden="1" customHeight="1">
      <c r="B2745" s="7" t="s">
        <v>16</v>
      </c>
      <c r="C2745" s="7" t="s">
        <v>7</v>
      </c>
      <c r="D2745" s="7" t="s">
        <v>25</v>
      </c>
      <c r="E2745" s="7" t="s">
        <v>9</v>
      </c>
      <c r="F2745" s="8">
        <v>1396.0</v>
      </c>
      <c r="G2745" s="9">
        <v>698.0</v>
      </c>
    </row>
    <row r="2746" ht="14.25" hidden="1" customHeight="1">
      <c r="B2746" s="7" t="s">
        <v>16</v>
      </c>
      <c r="C2746" s="7" t="s">
        <v>7</v>
      </c>
      <c r="D2746" s="7" t="s">
        <v>9</v>
      </c>
      <c r="E2746" s="7" t="s">
        <v>8</v>
      </c>
      <c r="F2746" s="8">
        <v>1164.0</v>
      </c>
      <c r="G2746" s="9">
        <v>582.0</v>
      </c>
    </row>
    <row r="2747" ht="14.25" hidden="1" customHeight="1">
      <c r="B2747" s="7" t="s">
        <v>16</v>
      </c>
      <c r="C2747" s="7" t="s">
        <v>29</v>
      </c>
      <c r="D2747" s="7" t="s">
        <v>8</v>
      </c>
      <c r="E2747" s="7" t="s">
        <v>24</v>
      </c>
      <c r="F2747" s="8">
        <v>1124.0</v>
      </c>
      <c r="G2747" s="9">
        <v>1124.0</v>
      </c>
    </row>
    <row r="2748" ht="14.25" hidden="1" customHeight="1">
      <c r="B2748" s="7" t="s">
        <v>16</v>
      </c>
      <c r="C2748" s="7" t="s">
        <v>7</v>
      </c>
      <c r="D2748" s="7" t="s">
        <v>33</v>
      </c>
      <c r="E2748" s="7" t="s">
        <v>8</v>
      </c>
      <c r="F2748" s="8">
        <v>1096.0</v>
      </c>
      <c r="G2748" s="9">
        <v>548.0</v>
      </c>
    </row>
    <row r="2749" ht="14.25" hidden="1" customHeight="1">
      <c r="B2749" s="7" t="s">
        <v>16</v>
      </c>
      <c r="C2749" s="7" t="s">
        <v>30</v>
      </c>
      <c r="D2749" s="7" t="s">
        <v>31</v>
      </c>
      <c r="E2749" s="7" t="s">
        <v>25</v>
      </c>
      <c r="F2749" s="8">
        <v>1060.0</v>
      </c>
      <c r="G2749" s="9">
        <v>530.0</v>
      </c>
    </row>
    <row r="2750" ht="14.25" hidden="1" customHeight="1">
      <c r="B2750" s="7" t="s">
        <v>16</v>
      </c>
      <c r="C2750" s="7" t="s">
        <v>29</v>
      </c>
      <c r="D2750" s="7" t="s">
        <v>31</v>
      </c>
      <c r="E2750" s="7" t="s">
        <v>28</v>
      </c>
      <c r="F2750" s="8">
        <v>1051.0</v>
      </c>
      <c r="G2750" s="9">
        <v>1051.0</v>
      </c>
    </row>
    <row r="2751" ht="14.25" customHeight="1">
      <c r="B2751" s="7" t="s">
        <v>16</v>
      </c>
      <c r="C2751" s="7" t="s">
        <v>7</v>
      </c>
      <c r="D2751" s="7" t="s">
        <v>8</v>
      </c>
      <c r="E2751" s="7" t="s">
        <v>31</v>
      </c>
      <c r="F2751" s="8">
        <v>1044.0</v>
      </c>
      <c r="G2751" s="9">
        <v>522.0</v>
      </c>
    </row>
    <row r="2752" ht="14.25" customHeight="1">
      <c r="B2752" s="7" t="s">
        <v>16</v>
      </c>
      <c r="C2752" s="7" t="s">
        <v>7</v>
      </c>
      <c r="D2752" s="7" t="s">
        <v>8</v>
      </c>
      <c r="E2752" s="7" t="s">
        <v>31</v>
      </c>
      <c r="F2752" s="8">
        <v>1026.0</v>
      </c>
      <c r="G2752" s="9">
        <v>513.0</v>
      </c>
    </row>
    <row r="2753" ht="14.25" hidden="1" customHeight="1">
      <c r="B2753" s="7" t="s">
        <v>16</v>
      </c>
      <c r="C2753" s="7" t="s">
        <v>7</v>
      </c>
      <c r="D2753" s="7" t="s">
        <v>10</v>
      </c>
      <c r="E2753" s="7" t="s">
        <v>9</v>
      </c>
      <c r="F2753" s="8">
        <v>1010.0</v>
      </c>
      <c r="G2753" s="9">
        <v>505.0</v>
      </c>
    </row>
    <row r="2754" ht="14.25" hidden="1" customHeight="1">
      <c r="B2754" s="7" t="s">
        <v>16</v>
      </c>
      <c r="C2754" s="7" t="s">
        <v>29</v>
      </c>
      <c r="D2754" s="7" t="s">
        <v>31</v>
      </c>
      <c r="E2754" s="7" t="s">
        <v>9</v>
      </c>
      <c r="F2754" s="8">
        <v>974.0</v>
      </c>
      <c r="G2754" s="9">
        <v>974.0</v>
      </c>
    </row>
    <row r="2755" ht="14.25" hidden="1" customHeight="1">
      <c r="B2755" s="7" t="s">
        <v>16</v>
      </c>
      <c r="C2755" s="7" t="s">
        <v>30</v>
      </c>
      <c r="D2755" s="7" t="s">
        <v>31</v>
      </c>
      <c r="E2755" s="7" t="s">
        <v>9</v>
      </c>
      <c r="F2755" s="8">
        <v>908.0</v>
      </c>
      <c r="G2755" s="9">
        <v>454.0</v>
      </c>
    </row>
    <row r="2756" ht="14.25" hidden="1" customHeight="1">
      <c r="B2756" s="7" t="s">
        <v>16</v>
      </c>
      <c r="C2756" s="7" t="s">
        <v>7</v>
      </c>
      <c r="D2756" s="7" t="s">
        <v>25</v>
      </c>
      <c r="E2756" s="7" t="s">
        <v>28</v>
      </c>
      <c r="F2756" s="8">
        <v>894.0</v>
      </c>
      <c r="G2756" s="9">
        <v>447.0</v>
      </c>
    </row>
    <row r="2757" ht="14.25" hidden="1" customHeight="1">
      <c r="B2757" s="7" t="s">
        <v>16</v>
      </c>
      <c r="C2757" s="7" t="s">
        <v>7</v>
      </c>
      <c r="D2757" s="7" t="s">
        <v>8</v>
      </c>
      <c r="E2757" s="7" t="s">
        <v>10</v>
      </c>
      <c r="F2757" s="8">
        <v>892.0</v>
      </c>
      <c r="G2757" s="9">
        <v>446.0</v>
      </c>
    </row>
    <row r="2758" ht="14.25" hidden="1" customHeight="1">
      <c r="B2758" s="7" t="s">
        <v>16</v>
      </c>
      <c r="C2758" s="7" t="s">
        <v>7</v>
      </c>
      <c r="D2758" s="7" t="s">
        <v>9</v>
      </c>
      <c r="E2758" s="7" t="s">
        <v>28</v>
      </c>
      <c r="F2758" s="8">
        <v>872.0</v>
      </c>
      <c r="G2758" s="9">
        <v>436.0</v>
      </c>
    </row>
    <row r="2759" ht="14.25" hidden="1" customHeight="1">
      <c r="B2759" s="7" t="s">
        <v>16</v>
      </c>
      <c r="C2759" s="7" t="s">
        <v>7</v>
      </c>
      <c r="D2759" s="7" t="s">
        <v>28</v>
      </c>
      <c r="E2759" s="7" t="s">
        <v>8</v>
      </c>
      <c r="F2759" s="8">
        <v>846.0</v>
      </c>
      <c r="G2759" s="9">
        <v>423.0</v>
      </c>
    </row>
    <row r="2760" ht="14.25" hidden="1" customHeight="1">
      <c r="B2760" s="7" t="s">
        <v>16</v>
      </c>
      <c r="C2760" s="7" t="s">
        <v>7</v>
      </c>
      <c r="D2760" s="7" t="s">
        <v>28</v>
      </c>
      <c r="E2760" s="7" t="s">
        <v>34</v>
      </c>
      <c r="F2760" s="8">
        <v>842.0</v>
      </c>
      <c r="G2760" s="9">
        <v>421.0</v>
      </c>
    </row>
    <row r="2761" ht="14.25" hidden="1" customHeight="1">
      <c r="B2761" s="7" t="s">
        <v>16</v>
      </c>
      <c r="C2761" s="7" t="s">
        <v>7</v>
      </c>
      <c r="D2761" s="7" t="s">
        <v>25</v>
      </c>
      <c r="E2761" s="7" t="s">
        <v>31</v>
      </c>
      <c r="F2761" s="8">
        <v>824.0</v>
      </c>
      <c r="G2761" s="9">
        <v>412.0</v>
      </c>
    </row>
    <row r="2762" ht="14.25" hidden="1" customHeight="1">
      <c r="B2762" s="7" t="s">
        <v>16</v>
      </c>
      <c r="C2762" s="7" t="s">
        <v>7</v>
      </c>
      <c r="D2762" s="7" t="s">
        <v>25</v>
      </c>
      <c r="E2762" s="7" t="s">
        <v>10</v>
      </c>
      <c r="F2762" s="8">
        <v>808.0</v>
      </c>
      <c r="G2762" s="9">
        <v>404.0</v>
      </c>
    </row>
    <row r="2763" ht="14.25" hidden="1" customHeight="1">
      <c r="B2763" s="7" t="s">
        <v>16</v>
      </c>
      <c r="C2763" s="7" t="s">
        <v>29</v>
      </c>
      <c r="D2763" s="7" t="s">
        <v>10</v>
      </c>
      <c r="E2763" s="7" t="s">
        <v>11</v>
      </c>
      <c r="F2763" s="8">
        <v>770.0</v>
      </c>
      <c r="G2763" s="9">
        <v>770.0</v>
      </c>
    </row>
    <row r="2764" ht="14.25" hidden="1" customHeight="1">
      <c r="B2764" s="7" t="s">
        <v>16</v>
      </c>
      <c r="C2764" s="7" t="s">
        <v>29</v>
      </c>
      <c r="D2764" s="7" t="s">
        <v>8</v>
      </c>
      <c r="E2764" s="7" t="s">
        <v>11</v>
      </c>
      <c r="F2764" s="8">
        <v>748.0</v>
      </c>
      <c r="G2764" s="9">
        <v>748.0</v>
      </c>
    </row>
    <row r="2765" ht="14.25" hidden="1" customHeight="1">
      <c r="B2765" s="7" t="s">
        <v>16</v>
      </c>
      <c r="C2765" s="7" t="s">
        <v>7</v>
      </c>
      <c r="D2765" s="7" t="s">
        <v>28</v>
      </c>
      <c r="E2765" s="7" t="s">
        <v>9</v>
      </c>
      <c r="F2765" s="8">
        <v>728.0</v>
      </c>
      <c r="G2765" s="9">
        <v>364.0</v>
      </c>
    </row>
    <row r="2766" ht="14.25" hidden="1" customHeight="1">
      <c r="B2766" s="7" t="s">
        <v>16</v>
      </c>
      <c r="C2766" s="7" t="s">
        <v>7</v>
      </c>
      <c r="D2766" s="7" t="s">
        <v>11</v>
      </c>
      <c r="E2766" s="7" t="s">
        <v>10</v>
      </c>
      <c r="F2766" s="8">
        <v>724.0</v>
      </c>
      <c r="G2766" s="9">
        <v>362.0</v>
      </c>
    </row>
    <row r="2767" ht="14.25" hidden="1" customHeight="1">
      <c r="B2767" s="7" t="s">
        <v>16</v>
      </c>
      <c r="C2767" s="7" t="s">
        <v>29</v>
      </c>
      <c r="D2767" s="7" t="s">
        <v>28</v>
      </c>
      <c r="E2767" s="7" t="s">
        <v>8</v>
      </c>
      <c r="F2767" s="8">
        <v>722.0</v>
      </c>
      <c r="G2767" s="9">
        <v>722.0</v>
      </c>
    </row>
    <row r="2768" ht="14.25" hidden="1" customHeight="1">
      <c r="B2768" s="7" t="s">
        <v>16</v>
      </c>
      <c r="C2768" s="7" t="s">
        <v>7</v>
      </c>
      <c r="D2768" s="7" t="s">
        <v>8</v>
      </c>
      <c r="E2768" s="7" t="s">
        <v>33</v>
      </c>
      <c r="F2768" s="8">
        <v>688.0</v>
      </c>
      <c r="G2768" s="9">
        <v>344.0</v>
      </c>
    </row>
    <row r="2769" ht="14.25" hidden="1" customHeight="1">
      <c r="B2769" s="7" t="s">
        <v>16</v>
      </c>
      <c r="C2769" s="7" t="s">
        <v>7</v>
      </c>
      <c r="D2769" s="7" t="s">
        <v>10</v>
      </c>
      <c r="E2769" s="7" t="s">
        <v>25</v>
      </c>
      <c r="F2769" s="8">
        <v>676.0</v>
      </c>
      <c r="G2769" s="9">
        <v>338.0</v>
      </c>
    </row>
    <row r="2770" ht="14.25" hidden="1" customHeight="1">
      <c r="B2770" s="7" t="s">
        <v>16</v>
      </c>
      <c r="C2770" s="7" t="s">
        <v>29</v>
      </c>
      <c r="D2770" s="7" t="s">
        <v>32</v>
      </c>
      <c r="E2770" s="7" t="s">
        <v>28</v>
      </c>
      <c r="F2770" s="8">
        <v>676.0</v>
      </c>
      <c r="G2770" s="9">
        <v>676.0</v>
      </c>
    </row>
    <row r="2771" ht="14.25" hidden="1" customHeight="1">
      <c r="B2771" s="7" t="s">
        <v>16</v>
      </c>
      <c r="C2771" s="7" t="s">
        <v>7</v>
      </c>
      <c r="D2771" s="7" t="s">
        <v>25</v>
      </c>
      <c r="E2771" s="7" t="s">
        <v>33</v>
      </c>
      <c r="F2771" s="8">
        <v>670.0</v>
      </c>
      <c r="G2771" s="9">
        <v>335.0</v>
      </c>
    </row>
    <row r="2772" ht="14.25" hidden="1" customHeight="1">
      <c r="B2772" s="7" t="s">
        <v>16</v>
      </c>
      <c r="C2772" s="7" t="s">
        <v>7</v>
      </c>
      <c r="D2772" s="7" t="s">
        <v>28</v>
      </c>
      <c r="E2772" s="7" t="s">
        <v>8</v>
      </c>
      <c r="F2772" s="8">
        <v>622.0</v>
      </c>
      <c r="G2772" s="9">
        <v>311.0</v>
      </c>
    </row>
    <row r="2773" ht="14.25" hidden="1" customHeight="1">
      <c r="B2773" s="7" t="s">
        <v>16</v>
      </c>
      <c r="C2773" s="7" t="s">
        <v>7</v>
      </c>
      <c r="D2773" s="7" t="s">
        <v>9</v>
      </c>
      <c r="E2773" s="7" t="s">
        <v>25</v>
      </c>
      <c r="F2773" s="8">
        <v>594.0</v>
      </c>
      <c r="G2773" s="9">
        <v>297.0</v>
      </c>
    </row>
    <row r="2774" ht="14.25" hidden="1" customHeight="1">
      <c r="B2774" s="7" t="s">
        <v>16</v>
      </c>
      <c r="C2774" s="7" t="s">
        <v>7</v>
      </c>
      <c r="D2774" s="7" t="s">
        <v>10</v>
      </c>
      <c r="E2774" s="7" t="s">
        <v>33</v>
      </c>
      <c r="F2774" s="8">
        <v>588.0</v>
      </c>
      <c r="G2774" s="9">
        <v>294.0</v>
      </c>
    </row>
    <row r="2775" ht="14.25" hidden="1" customHeight="1">
      <c r="B2775" s="7" t="s">
        <v>16</v>
      </c>
      <c r="C2775" s="7" t="s">
        <v>7</v>
      </c>
      <c r="D2775" s="7" t="s">
        <v>25</v>
      </c>
      <c r="E2775" s="7" t="s">
        <v>10</v>
      </c>
      <c r="F2775" s="8">
        <v>566.0</v>
      </c>
      <c r="G2775" s="9">
        <v>283.0</v>
      </c>
    </row>
    <row r="2776" ht="14.25" hidden="1" customHeight="1">
      <c r="B2776" s="7" t="s">
        <v>16</v>
      </c>
      <c r="C2776" s="7" t="s">
        <v>7</v>
      </c>
      <c r="D2776" s="7" t="s">
        <v>28</v>
      </c>
      <c r="E2776" s="7" t="s">
        <v>25</v>
      </c>
      <c r="F2776" s="8">
        <v>562.0</v>
      </c>
      <c r="G2776" s="9">
        <v>281.0</v>
      </c>
    </row>
    <row r="2777" ht="14.25" hidden="1" customHeight="1">
      <c r="B2777" s="7" t="s">
        <v>16</v>
      </c>
      <c r="C2777" s="7" t="s">
        <v>7</v>
      </c>
      <c r="D2777" s="7" t="s">
        <v>32</v>
      </c>
      <c r="E2777" s="7" t="s">
        <v>28</v>
      </c>
      <c r="F2777" s="8">
        <v>554.0</v>
      </c>
      <c r="G2777" s="9">
        <v>277.0</v>
      </c>
    </row>
    <row r="2778" ht="14.25" hidden="1" customHeight="1">
      <c r="B2778" s="7" t="s">
        <v>16</v>
      </c>
      <c r="C2778" s="7" t="s">
        <v>7</v>
      </c>
      <c r="D2778" s="7" t="s">
        <v>9</v>
      </c>
      <c r="E2778" s="7" t="s">
        <v>8</v>
      </c>
      <c r="F2778" s="8">
        <v>552.0</v>
      </c>
      <c r="G2778" s="9">
        <v>276.0</v>
      </c>
    </row>
    <row r="2779" ht="14.25" hidden="1" customHeight="1">
      <c r="B2779" s="7" t="s">
        <v>16</v>
      </c>
      <c r="C2779" s="7" t="s">
        <v>30</v>
      </c>
      <c r="D2779" s="7" t="s">
        <v>31</v>
      </c>
      <c r="E2779" s="7" t="s">
        <v>28</v>
      </c>
      <c r="F2779" s="8">
        <v>516.0</v>
      </c>
      <c r="G2779" s="9">
        <v>258.0</v>
      </c>
    </row>
    <row r="2780" ht="14.25" hidden="1" customHeight="1">
      <c r="B2780" s="7" t="s">
        <v>16</v>
      </c>
      <c r="C2780" s="7" t="s">
        <v>30</v>
      </c>
      <c r="D2780" s="7" t="s">
        <v>8</v>
      </c>
      <c r="E2780" s="7" t="s">
        <v>25</v>
      </c>
      <c r="F2780" s="8">
        <v>516.0</v>
      </c>
      <c r="G2780" s="9">
        <v>258.0</v>
      </c>
    </row>
    <row r="2781" ht="14.25" hidden="1" customHeight="1">
      <c r="B2781" s="7" t="s">
        <v>16</v>
      </c>
      <c r="C2781" s="7" t="s">
        <v>7</v>
      </c>
      <c r="D2781" s="7" t="s">
        <v>31</v>
      </c>
      <c r="E2781" s="7" t="s">
        <v>25</v>
      </c>
      <c r="F2781" s="8">
        <v>510.0</v>
      </c>
      <c r="G2781" s="9">
        <v>255.0</v>
      </c>
    </row>
    <row r="2782" ht="14.25" hidden="1" customHeight="1">
      <c r="B2782" s="7" t="s">
        <v>16</v>
      </c>
      <c r="C2782" s="7" t="s">
        <v>7</v>
      </c>
      <c r="D2782" s="7" t="s">
        <v>9</v>
      </c>
      <c r="E2782" s="7" t="s">
        <v>31</v>
      </c>
      <c r="F2782" s="8">
        <v>502.0</v>
      </c>
      <c r="G2782" s="9">
        <v>251.0</v>
      </c>
    </row>
    <row r="2783" ht="14.25" hidden="1" customHeight="1">
      <c r="B2783" s="7" t="s">
        <v>16</v>
      </c>
      <c r="C2783" s="7" t="s">
        <v>7</v>
      </c>
      <c r="D2783" s="7" t="s">
        <v>8</v>
      </c>
      <c r="E2783" s="7" t="s">
        <v>10</v>
      </c>
      <c r="F2783" s="8">
        <v>490.0</v>
      </c>
      <c r="G2783" s="9">
        <v>245.0</v>
      </c>
    </row>
    <row r="2784" ht="14.25" hidden="1" customHeight="1">
      <c r="B2784" s="7" t="s">
        <v>16</v>
      </c>
      <c r="C2784" s="7" t="s">
        <v>30</v>
      </c>
      <c r="D2784" s="7" t="s">
        <v>8</v>
      </c>
      <c r="E2784" s="7" t="s">
        <v>28</v>
      </c>
      <c r="F2784" s="8">
        <v>482.0</v>
      </c>
      <c r="G2784" s="9">
        <v>241.0</v>
      </c>
    </row>
    <row r="2785" ht="14.25" customHeight="1">
      <c r="B2785" s="7" t="s">
        <v>16</v>
      </c>
      <c r="C2785" s="7" t="s">
        <v>7</v>
      </c>
      <c r="D2785" s="7" t="s">
        <v>8</v>
      </c>
      <c r="E2785" s="7" t="s">
        <v>31</v>
      </c>
      <c r="F2785" s="8">
        <v>478.0</v>
      </c>
      <c r="G2785" s="9">
        <v>239.0</v>
      </c>
    </row>
    <row r="2786" ht="14.25" hidden="1" customHeight="1">
      <c r="B2786" s="7" t="s">
        <v>16</v>
      </c>
      <c r="C2786" s="7" t="s">
        <v>7</v>
      </c>
      <c r="D2786" s="7" t="s">
        <v>31</v>
      </c>
      <c r="E2786" s="7" t="s">
        <v>33</v>
      </c>
      <c r="F2786" s="8">
        <v>456.0</v>
      </c>
      <c r="G2786" s="9">
        <v>228.0</v>
      </c>
    </row>
    <row r="2787" ht="14.25" hidden="1" customHeight="1">
      <c r="B2787" s="7" t="s">
        <v>16</v>
      </c>
      <c r="C2787" s="7" t="s">
        <v>29</v>
      </c>
      <c r="D2787" s="7" t="s">
        <v>34</v>
      </c>
      <c r="E2787" s="7" t="s">
        <v>28</v>
      </c>
      <c r="F2787" s="8">
        <v>449.0</v>
      </c>
      <c r="G2787" s="9">
        <v>449.0</v>
      </c>
    </row>
    <row r="2788" ht="14.25" hidden="1" customHeight="1">
      <c r="B2788" s="7" t="s">
        <v>16</v>
      </c>
      <c r="C2788" s="7" t="s">
        <v>29</v>
      </c>
      <c r="D2788" s="7" t="s">
        <v>31</v>
      </c>
      <c r="E2788" s="7" t="s">
        <v>33</v>
      </c>
      <c r="F2788" s="8">
        <v>448.0</v>
      </c>
      <c r="G2788" s="9">
        <v>448.0</v>
      </c>
    </row>
    <row r="2789" ht="14.25" hidden="1" customHeight="1">
      <c r="B2789" s="7" t="s">
        <v>16</v>
      </c>
      <c r="C2789" s="7" t="s">
        <v>29</v>
      </c>
      <c r="D2789" s="7" t="s">
        <v>8</v>
      </c>
      <c r="E2789" s="7" t="s">
        <v>9</v>
      </c>
      <c r="F2789" s="8">
        <v>434.0</v>
      </c>
      <c r="G2789" s="9">
        <v>434.0</v>
      </c>
    </row>
    <row r="2790" ht="14.25" hidden="1" customHeight="1">
      <c r="B2790" s="7" t="s">
        <v>16</v>
      </c>
      <c r="C2790" s="7" t="s">
        <v>7</v>
      </c>
      <c r="D2790" s="7" t="s">
        <v>32</v>
      </c>
      <c r="E2790" s="7" t="s">
        <v>9</v>
      </c>
      <c r="F2790" s="8">
        <v>430.0</v>
      </c>
      <c r="G2790" s="9">
        <v>215.0</v>
      </c>
    </row>
    <row r="2791" ht="14.25" hidden="1" customHeight="1">
      <c r="B2791" s="7" t="s">
        <v>16</v>
      </c>
      <c r="C2791" s="7" t="s">
        <v>7</v>
      </c>
      <c r="D2791" s="7" t="s">
        <v>31</v>
      </c>
      <c r="E2791" s="7" t="s">
        <v>28</v>
      </c>
      <c r="F2791" s="8">
        <v>420.0</v>
      </c>
      <c r="G2791" s="9">
        <v>210.0</v>
      </c>
    </row>
    <row r="2792" ht="14.25" hidden="1" customHeight="1">
      <c r="B2792" s="7" t="s">
        <v>16</v>
      </c>
      <c r="C2792" s="7" t="s">
        <v>7</v>
      </c>
      <c r="D2792" s="7" t="s">
        <v>34</v>
      </c>
      <c r="E2792" s="7" t="s">
        <v>28</v>
      </c>
      <c r="F2792" s="8">
        <v>418.0</v>
      </c>
      <c r="G2792" s="9">
        <v>209.0</v>
      </c>
    </row>
    <row r="2793" ht="14.25" hidden="1" customHeight="1">
      <c r="B2793" s="7" t="s">
        <v>16</v>
      </c>
      <c r="C2793" s="7" t="s">
        <v>29</v>
      </c>
      <c r="D2793" s="7" t="s">
        <v>9</v>
      </c>
      <c r="E2793" s="7" t="s">
        <v>8</v>
      </c>
      <c r="F2793" s="8">
        <v>416.0</v>
      </c>
      <c r="G2793" s="9">
        <v>416.0</v>
      </c>
    </row>
    <row r="2794" ht="14.25" hidden="1" customHeight="1">
      <c r="B2794" s="7" t="s">
        <v>16</v>
      </c>
      <c r="C2794" s="7" t="s">
        <v>7</v>
      </c>
      <c r="D2794" s="7" t="s">
        <v>8</v>
      </c>
      <c r="E2794" s="7" t="s">
        <v>25</v>
      </c>
      <c r="F2794" s="8">
        <v>414.0</v>
      </c>
      <c r="G2794" s="9">
        <v>207.0</v>
      </c>
    </row>
    <row r="2795" ht="14.25" hidden="1" customHeight="1">
      <c r="B2795" s="7" t="s">
        <v>16</v>
      </c>
      <c r="C2795" s="7" t="s">
        <v>7</v>
      </c>
      <c r="D2795" s="7" t="s">
        <v>33</v>
      </c>
      <c r="E2795" s="7" t="s">
        <v>25</v>
      </c>
      <c r="F2795" s="8">
        <v>408.0</v>
      </c>
      <c r="G2795" s="9">
        <v>204.0</v>
      </c>
    </row>
    <row r="2796" ht="14.25" hidden="1" customHeight="1">
      <c r="B2796" s="7" t="s">
        <v>16</v>
      </c>
      <c r="C2796" s="7" t="s">
        <v>29</v>
      </c>
      <c r="D2796" s="7" t="s">
        <v>33</v>
      </c>
      <c r="E2796" s="7" t="s">
        <v>8</v>
      </c>
      <c r="F2796" s="8">
        <v>399.0</v>
      </c>
      <c r="G2796" s="9">
        <v>399.0</v>
      </c>
    </row>
    <row r="2797" ht="14.25" hidden="1" customHeight="1">
      <c r="B2797" s="7" t="s">
        <v>16</v>
      </c>
      <c r="C2797" s="7" t="s">
        <v>29</v>
      </c>
      <c r="D2797" s="7" t="s">
        <v>8</v>
      </c>
      <c r="E2797" s="7" t="s">
        <v>28</v>
      </c>
      <c r="F2797" s="8">
        <v>398.0</v>
      </c>
      <c r="G2797" s="9">
        <v>398.0</v>
      </c>
    </row>
    <row r="2798" ht="14.25" hidden="1" customHeight="1">
      <c r="B2798" s="7" t="s">
        <v>16</v>
      </c>
      <c r="C2798" s="7" t="s">
        <v>29</v>
      </c>
      <c r="D2798" s="7" t="s">
        <v>11</v>
      </c>
      <c r="E2798" s="7" t="s">
        <v>8</v>
      </c>
      <c r="F2798" s="8">
        <v>374.0</v>
      </c>
      <c r="G2798" s="9">
        <v>374.0</v>
      </c>
    </row>
    <row r="2799" ht="14.25" hidden="1" customHeight="1">
      <c r="B2799" s="7" t="s">
        <v>16</v>
      </c>
      <c r="C2799" s="7" t="s">
        <v>30</v>
      </c>
      <c r="D2799" s="7" t="s">
        <v>32</v>
      </c>
      <c r="E2799" s="7" t="s">
        <v>8</v>
      </c>
      <c r="F2799" s="8">
        <v>374.0</v>
      </c>
      <c r="G2799" s="9">
        <v>187.0</v>
      </c>
    </row>
    <row r="2800" ht="14.25" hidden="1" customHeight="1">
      <c r="B2800" s="7" t="s">
        <v>16</v>
      </c>
      <c r="C2800" s="7" t="s">
        <v>7</v>
      </c>
      <c r="D2800" s="7" t="s">
        <v>32</v>
      </c>
      <c r="E2800" s="7" t="s">
        <v>33</v>
      </c>
      <c r="F2800" s="8">
        <v>364.0</v>
      </c>
      <c r="G2800" s="9">
        <v>182.0</v>
      </c>
    </row>
    <row r="2801" ht="14.25" hidden="1" customHeight="1">
      <c r="B2801" s="7" t="s">
        <v>16</v>
      </c>
      <c r="C2801" s="7" t="s">
        <v>30</v>
      </c>
      <c r="D2801" s="7" t="s">
        <v>8</v>
      </c>
      <c r="E2801" s="7" t="s">
        <v>24</v>
      </c>
      <c r="F2801" s="8">
        <v>362.0</v>
      </c>
      <c r="G2801" s="9">
        <v>181.0</v>
      </c>
    </row>
    <row r="2802" ht="14.25" hidden="1" customHeight="1">
      <c r="B2802" s="7" t="s">
        <v>16</v>
      </c>
      <c r="C2802" s="7" t="s">
        <v>7</v>
      </c>
      <c r="D2802" s="7" t="s">
        <v>31</v>
      </c>
      <c r="E2802" s="7" t="s">
        <v>24</v>
      </c>
      <c r="F2802" s="8">
        <v>360.0</v>
      </c>
      <c r="G2802" s="9">
        <v>180.0</v>
      </c>
    </row>
    <row r="2803" ht="14.25" hidden="1" customHeight="1">
      <c r="B2803" s="7" t="s">
        <v>16</v>
      </c>
      <c r="C2803" s="7" t="s">
        <v>30</v>
      </c>
      <c r="D2803" s="7" t="s">
        <v>8</v>
      </c>
      <c r="E2803" s="7" t="s">
        <v>9</v>
      </c>
      <c r="F2803" s="8">
        <v>360.0</v>
      </c>
      <c r="G2803" s="9">
        <v>180.0</v>
      </c>
    </row>
    <row r="2804" ht="14.25" hidden="1" customHeight="1">
      <c r="B2804" s="7" t="s">
        <v>16</v>
      </c>
      <c r="C2804" s="7" t="s">
        <v>29</v>
      </c>
      <c r="D2804" s="7" t="s">
        <v>34</v>
      </c>
      <c r="E2804" s="7" t="s">
        <v>8</v>
      </c>
      <c r="F2804" s="8">
        <v>359.0</v>
      </c>
      <c r="G2804" s="9">
        <v>359.0</v>
      </c>
    </row>
    <row r="2805" ht="14.25" customHeight="1">
      <c r="B2805" s="7" t="s">
        <v>16</v>
      </c>
      <c r="C2805" s="7" t="s">
        <v>30</v>
      </c>
      <c r="D2805" s="7" t="s">
        <v>8</v>
      </c>
      <c r="E2805" s="7" t="s">
        <v>31</v>
      </c>
      <c r="F2805" s="8">
        <v>356.0</v>
      </c>
      <c r="G2805" s="9">
        <v>178.0</v>
      </c>
    </row>
    <row r="2806" ht="14.25" hidden="1" customHeight="1">
      <c r="B2806" s="7" t="s">
        <v>16</v>
      </c>
      <c r="C2806" s="7" t="s">
        <v>29</v>
      </c>
      <c r="D2806" s="7" t="s">
        <v>8</v>
      </c>
      <c r="E2806" s="7" t="s">
        <v>25</v>
      </c>
      <c r="F2806" s="8">
        <v>349.0</v>
      </c>
      <c r="G2806" s="9">
        <v>349.0</v>
      </c>
    </row>
    <row r="2807" ht="14.25" customHeight="1">
      <c r="B2807" s="7" t="s">
        <v>16</v>
      </c>
      <c r="C2807" s="7" t="s">
        <v>29</v>
      </c>
      <c r="D2807" s="7" t="s">
        <v>8</v>
      </c>
      <c r="E2807" s="7" t="s">
        <v>31</v>
      </c>
      <c r="F2807" s="8">
        <v>340.0</v>
      </c>
      <c r="G2807" s="9">
        <v>340.0</v>
      </c>
    </row>
    <row r="2808" ht="14.25" hidden="1" customHeight="1">
      <c r="B2808" s="7" t="s">
        <v>16</v>
      </c>
      <c r="C2808" s="7" t="s">
        <v>30</v>
      </c>
      <c r="D2808" s="7" t="s">
        <v>9</v>
      </c>
      <c r="E2808" s="7" t="s">
        <v>25</v>
      </c>
      <c r="F2808" s="8">
        <v>332.0</v>
      </c>
      <c r="G2808" s="9">
        <v>166.0</v>
      </c>
    </row>
    <row r="2809" ht="14.25" hidden="1" customHeight="1">
      <c r="B2809" s="7" t="s">
        <v>16</v>
      </c>
      <c r="C2809" s="7" t="s">
        <v>29</v>
      </c>
      <c r="D2809" s="7" t="s">
        <v>28</v>
      </c>
      <c r="E2809" s="7" t="s">
        <v>31</v>
      </c>
      <c r="F2809" s="8">
        <v>331.0</v>
      </c>
      <c r="G2809" s="9">
        <v>331.0</v>
      </c>
    </row>
    <row r="2810" ht="14.25" hidden="1" customHeight="1">
      <c r="B2810" s="7" t="s">
        <v>16</v>
      </c>
      <c r="C2810" s="7" t="s">
        <v>29</v>
      </c>
      <c r="D2810" s="7" t="s">
        <v>9</v>
      </c>
      <c r="E2810" s="7" t="s">
        <v>33</v>
      </c>
      <c r="F2810" s="8">
        <v>317.0</v>
      </c>
      <c r="G2810" s="9">
        <v>317.0</v>
      </c>
    </row>
    <row r="2811" ht="14.25" hidden="1" customHeight="1">
      <c r="B2811" s="7" t="s">
        <v>16</v>
      </c>
      <c r="C2811" s="7" t="s">
        <v>29</v>
      </c>
      <c r="D2811" s="7" t="s">
        <v>32</v>
      </c>
      <c r="E2811" s="7" t="s">
        <v>9</v>
      </c>
      <c r="F2811" s="8">
        <v>311.0</v>
      </c>
      <c r="G2811" s="9">
        <v>311.0</v>
      </c>
    </row>
    <row r="2812" ht="14.25" hidden="1" customHeight="1">
      <c r="B2812" s="7" t="s">
        <v>16</v>
      </c>
      <c r="C2812" s="7" t="s">
        <v>29</v>
      </c>
      <c r="D2812" s="7" t="s">
        <v>33</v>
      </c>
      <c r="E2812" s="7" t="s">
        <v>8</v>
      </c>
      <c r="F2812" s="8">
        <v>288.0</v>
      </c>
      <c r="G2812" s="9">
        <v>288.0</v>
      </c>
    </row>
    <row r="2813" ht="14.25" hidden="1" customHeight="1">
      <c r="B2813" s="7" t="s">
        <v>16</v>
      </c>
      <c r="C2813" s="7" t="s">
        <v>7</v>
      </c>
      <c r="D2813" s="7" t="s">
        <v>11</v>
      </c>
      <c r="E2813" s="7" t="s">
        <v>8</v>
      </c>
      <c r="F2813" s="8">
        <v>286.0</v>
      </c>
      <c r="G2813" s="9">
        <v>143.0</v>
      </c>
    </row>
    <row r="2814" ht="14.25" hidden="1" customHeight="1">
      <c r="B2814" s="7" t="s">
        <v>16</v>
      </c>
      <c r="C2814" s="7" t="s">
        <v>7</v>
      </c>
      <c r="D2814" s="7" t="s">
        <v>33</v>
      </c>
      <c r="E2814" s="7" t="s">
        <v>28</v>
      </c>
      <c r="F2814" s="8">
        <v>284.0</v>
      </c>
      <c r="G2814" s="9">
        <v>142.0</v>
      </c>
    </row>
    <row r="2815" ht="14.25" hidden="1" customHeight="1">
      <c r="B2815" s="7" t="s">
        <v>16</v>
      </c>
      <c r="C2815" s="7" t="s">
        <v>29</v>
      </c>
      <c r="D2815" s="7" t="s">
        <v>8</v>
      </c>
      <c r="E2815" s="7" t="s">
        <v>10</v>
      </c>
      <c r="F2815" s="8">
        <v>278.0</v>
      </c>
      <c r="G2815" s="9">
        <v>278.0</v>
      </c>
    </row>
    <row r="2816" ht="14.25" hidden="1" customHeight="1">
      <c r="B2816" s="7" t="s">
        <v>16</v>
      </c>
      <c r="C2816" s="7" t="s">
        <v>29</v>
      </c>
      <c r="D2816" s="7" t="s">
        <v>32</v>
      </c>
      <c r="E2816" s="7" t="s">
        <v>33</v>
      </c>
      <c r="F2816" s="8">
        <v>267.0</v>
      </c>
      <c r="G2816" s="9">
        <v>267.0</v>
      </c>
    </row>
    <row r="2817" ht="14.25" hidden="1" customHeight="1">
      <c r="B2817" s="7" t="s">
        <v>16</v>
      </c>
      <c r="C2817" s="7" t="s">
        <v>30</v>
      </c>
      <c r="D2817" s="7" t="s">
        <v>31</v>
      </c>
      <c r="E2817" s="7" t="s">
        <v>33</v>
      </c>
      <c r="F2817" s="8">
        <v>262.0</v>
      </c>
      <c r="G2817" s="9">
        <v>131.0</v>
      </c>
    </row>
    <row r="2818" ht="14.25" hidden="1" customHeight="1">
      <c r="B2818" s="7" t="s">
        <v>16</v>
      </c>
      <c r="C2818" s="7" t="s">
        <v>7</v>
      </c>
      <c r="D2818" s="7" t="s">
        <v>32</v>
      </c>
      <c r="E2818" s="7" t="s">
        <v>25</v>
      </c>
      <c r="F2818" s="8">
        <v>260.0</v>
      </c>
      <c r="G2818" s="9">
        <v>130.0</v>
      </c>
    </row>
    <row r="2819" ht="14.25" hidden="1" customHeight="1">
      <c r="B2819" s="7" t="s">
        <v>16</v>
      </c>
      <c r="C2819" s="7" t="s">
        <v>7</v>
      </c>
      <c r="D2819" s="7" t="s">
        <v>25</v>
      </c>
      <c r="E2819" s="7" t="s">
        <v>31</v>
      </c>
      <c r="F2819" s="8">
        <v>252.0</v>
      </c>
      <c r="G2819" s="9">
        <v>126.0</v>
      </c>
    </row>
    <row r="2820" ht="14.25" hidden="1" customHeight="1">
      <c r="B2820" s="7" t="s">
        <v>16</v>
      </c>
      <c r="C2820" s="7" t="s">
        <v>29</v>
      </c>
      <c r="D2820" s="7" t="s">
        <v>25</v>
      </c>
      <c r="E2820" s="7" t="s">
        <v>8</v>
      </c>
      <c r="F2820" s="8">
        <v>244.0</v>
      </c>
      <c r="G2820" s="9">
        <v>244.0</v>
      </c>
    </row>
    <row r="2821" ht="14.25" hidden="1" customHeight="1">
      <c r="B2821" s="7" t="s">
        <v>16</v>
      </c>
      <c r="C2821" s="7" t="s">
        <v>29</v>
      </c>
      <c r="D2821" s="7" t="s">
        <v>25</v>
      </c>
      <c r="E2821" s="7" t="s">
        <v>28</v>
      </c>
      <c r="F2821" s="8">
        <v>243.0</v>
      </c>
      <c r="G2821" s="9">
        <v>243.0</v>
      </c>
    </row>
    <row r="2822" ht="14.25" hidden="1" customHeight="1">
      <c r="B2822" s="7" t="s">
        <v>16</v>
      </c>
      <c r="C2822" s="7" t="s">
        <v>7</v>
      </c>
      <c r="D2822" s="7" t="s">
        <v>32</v>
      </c>
      <c r="E2822" s="7" t="s">
        <v>28</v>
      </c>
      <c r="F2822" s="8">
        <v>242.0</v>
      </c>
      <c r="G2822" s="9">
        <v>121.0</v>
      </c>
    </row>
    <row r="2823" ht="14.25" hidden="1" customHeight="1">
      <c r="B2823" s="7" t="s">
        <v>16</v>
      </c>
      <c r="C2823" s="7" t="s">
        <v>7</v>
      </c>
      <c r="D2823" s="7" t="s">
        <v>33</v>
      </c>
      <c r="E2823" s="7" t="s">
        <v>31</v>
      </c>
      <c r="F2823" s="8">
        <v>240.0</v>
      </c>
      <c r="G2823" s="9">
        <v>120.0</v>
      </c>
    </row>
    <row r="2824" ht="14.25" hidden="1" customHeight="1">
      <c r="B2824" s="7" t="s">
        <v>16</v>
      </c>
      <c r="C2824" s="7" t="s">
        <v>7</v>
      </c>
      <c r="D2824" s="7" t="s">
        <v>28</v>
      </c>
      <c r="E2824" s="7" t="s">
        <v>31</v>
      </c>
      <c r="F2824" s="8">
        <v>226.0</v>
      </c>
      <c r="G2824" s="9">
        <v>113.0</v>
      </c>
    </row>
    <row r="2825" ht="14.25" hidden="1" customHeight="1">
      <c r="B2825" s="7" t="s">
        <v>16</v>
      </c>
      <c r="C2825" s="7" t="s">
        <v>7</v>
      </c>
      <c r="D2825" s="7" t="s">
        <v>34</v>
      </c>
      <c r="E2825" s="7" t="s">
        <v>8</v>
      </c>
      <c r="F2825" s="8">
        <v>218.0</v>
      </c>
      <c r="G2825" s="9">
        <v>109.0</v>
      </c>
    </row>
    <row r="2826" ht="14.25" hidden="1" customHeight="1">
      <c r="B2826" s="7" t="s">
        <v>16</v>
      </c>
      <c r="C2826" s="7" t="s">
        <v>7</v>
      </c>
      <c r="D2826" s="7" t="s">
        <v>28</v>
      </c>
      <c r="E2826" s="7" t="s">
        <v>31</v>
      </c>
      <c r="F2826" s="8">
        <v>214.0</v>
      </c>
      <c r="G2826" s="9">
        <v>107.0</v>
      </c>
    </row>
    <row r="2827" ht="14.25" hidden="1" customHeight="1">
      <c r="B2827" s="7" t="s">
        <v>16</v>
      </c>
      <c r="C2827" s="7" t="s">
        <v>7</v>
      </c>
      <c r="D2827" s="7" t="s">
        <v>33</v>
      </c>
      <c r="E2827" s="7" t="s">
        <v>9</v>
      </c>
      <c r="F2827" s="8">
        <v>212.0</v>
      </c>
      <c r="G2827" s="9">
        <v>106.0</v>
      </c>
    </row>
    <row r="2828" ht="14.25" hidden="1" customHeight="1">
      <c r="B2828" s="7" t="s">
        <v>16</v>
      </c>
      <c r="C2828" s="7" t="s">
        <v>30</v>
      </c>
      <c r="D2828" s="7" t="s">
        <v>8</v>
      </c>
      <c r="E2828" s="7" t="s">
        <v>10</v>
      </c>
      <c r="F2828" s="8">
        <v>210.0</v>
      </c>
      <c r="G2828" s="9">
        <v>105.0</v>
      </c>
    </row>
    <row r="2829" ht="14.25" hidden="1" customHeight="1">
      <c r="B2829" s="7" t="s">
        <v>16</v>
      </c>
      <c r="C2829" s="7" t="s">
        <v>29</v>
      </c>
      <c r="D2829" s="7" t="s">
        <v>28</v>
      </c>
      <c r="E2829" s="7" t="s">
        <v>8</v>
      </c>
      <c r="F2829" s="8">
        <v>209.0</v>
      </c>
      <c r="G2829" s="9">
        <v>209.0</v>
      </c>
    </row>
    <row r="2830" ht="14.25" hidden="1" customHeight="1">
      <c r="B2830" s="7" t="s">
        <v>16</v>
      </c>
      <c r="C2830" s="7" t="s">
        <v>7</v>
      </c>
      <c r="D2830" s="7" t="s">
        <v>8</v>
      </c>
      <c r="E2830" s="7" t="s">
        <v>28</v>
      </c>
      <c r="F2830" s="8">
        <v>202.0</v>
      </c>
      <c r="G2830" s="9">
        <v>101.0</v>
      </c>
    </row>
    <row r="2831" ht="14.25" hidden="1" customHeight="1">
      <c r="B2831" s="7" t="s">
        <v>16</v>
      </c>
      <c r="C2831" s="7" t="s">
        <v>7</v>
      </c>
      <c r="D2831" s="7" t="s">
        <v>33</v>
      </c>
      <c r="E2831" s="7" t="s">
        <v>25</v>
      </c>
      <c r="F2831" s="8">
        <v>194.0</v>
      </c>
      <c r="G2831" s="9">
        <v>97.0</v>
      </c>
    </row>
    <row r="2832" ht="14.25" hidden="1" customHeight="1">
      <c r="B2832" s="7" t="s">
        <v>16</v>
      </c>
      <c r="C2832" s="7" t="s">
        <v>29</v>
      </c>
      <c r="D2832" s="7" t="s">
        <v>25</v>
      </c>
      <c r="E2832" s="7" t="s">
        <v>10</v>
      </c>
      <c r="F2832" s="8">
        <v>186.0</v>
      </c>
      <c r="G2832" s="9">
        <v>186.0</v>
      </c>
    </row>
    <row r="2833" ht="14.25" hidden="1" customHeight="1">
      <c r="B2833" s="7" t="s">
        <v>16</v>
      </c>
      <c r="C2833" s="7" t="s">
        <v>7</v>
      </c>
      <c r="D2833" s="7" t="s">
        <v>28</v>
      </c>
      <c r="E2833" s="7" t="s">
        <v>8</v>
      </c>
      <c r="F2833" s="8">
        <v>186.0</v>
      </c>
      <c r="G2833" s="9">
        <v>93.0</v>
      </c>
    </row>
    <row r="2834" ht="14.25" hidden="1" customHeight="1">
      <c r="B2834" s="7" t="s">
        <v>16</v>
      </c>
      <c r="C2834" s="7" t="s">
        <v>29</v>
      </c>
      <c r="D2834" s="7" t="s">
        <v>11</v>
      </c>
      <c r="E2834" s="7" t="s">
        <v>8</v>
      </c>
      <c r="F2834" s="8">
        <v>183.0</v>
      </c>
      <c r="G2834" s="9">
        <v>183.0</v>
      </c>
    </row>
    <row r="2835" ht="14.25" hidden="1" customHeight="1">
      <c r="B2835" s="7" t="s">
        <v>16</v>
      </c>
      <c r="C2835" s="7" t="s">
        <v>7</v>
      </c>
      <c r="D2835" s="7" t="s">
        <v>9</v>
      </c>
      <c r="E2835" s="7" t="s">
        <v>33</v>
      </c>
      <c r="F2835" s="8">
        <v>182.0</v>
      </c>
      <c r="G2835" s="9">
        <v>91.0</v>
      </c>
    </row>
    <row r="2836" ht="14.25" hidden="1" customHeight="1">
      <c r="B2836" s="7" t="s">
        <v>16</v>
      </c>
      <c r="C2836" s="7" t="s">
        <v>29</v>
      </c>
      <c r="D2836" s="7" t="s">
        <v>28</v>
      </c>
      <c r="E2836" s="7" t="s">
        <v>25</v>
      </c>
      <c r="F2836" s="8">
        <v>178.0</v>
      </c>
      <c r="G2836" s="9">
        <v>178.0</v>
      </c>
    </row>
    <row r="2837" ht="14.25" hidden="1" customHeight="1">
      <c r="B2837" s="7" t="s">
        <v>16</v>
      </c>
      <c r="C2837" s="7" t="s">
        <v>7</v>
      </c>
      <c r="D2837" s="7" t="s">
        <v>32</v>
      </c>
      <c r="E2837" s="7" t="s">
        <v>25</v>
      </c>
      <c r="F2837" s="8">
        <v>174.0</v>
      </c>
      <c r="G2837" s="9">
        <v>87.0</v>
      </c>
    </row>
    <row r="2838" ht="14.25" hidden="1" customHeight="1">
      <c r="B2838" s="7" t="s">
        <v>16</v>
      </c>
      <c r="C2838" s="7" t="s">
        <v>29</v>
      </c>
      <c r="D2838" s="7" t="s">
        <v>33</v>
      </c>
      <c r="E2838" s="7" t="s">
        <v>8</v>
      </c>
      <c r="F2838" s="8">
        <v>173.0</v>
      </c>
      <c r="G2838" s="9">
        <v>173.0</v>
      </c>
    </row>
    <row r="2839" ht="14.25" hidden="1" customHeight="1">
      <c r="B2839" s="7" t="s">
        <v>16</v>
      </c>
      <c r="C2839" s="7" t="s">
        <v>7</v>
      </c>
      <c r="D2839" s="7" t="s">
        <v>10</v>
      </c>
      <c r="E2839" s="7" t="s">
        <v>8</v>
      </c>
      <c r="F2839" s="8">
        <v>162.0</v>
      </c>
      <c r="G2839" s="9">
        <v>81.0</v>
      </c>
    </row>
    <row r="2840" ht="14.25" hidden="1" customHeight="1">
      <c r="B2840" s="7" t="s">
        <v>16</v>
      </c>
      <c r="C2840" s="7" t="s">
        <v>7</v>
      </c>
      <c r="D2840" s="7" t="s">
        <v>11</v>
      </c>
      <c r="E2840" s="7" t="s">
        <v>8</v>
      </c>
      <c r="F2840" s="8">
        <v>160.0</v>
      </c>
      <c r="G2840" s="9">
        <v>80.0</v>
      </c>
    </row>
    <row r="2841" ht="14.25" hidden="1" customHeight="1">
      <c r="B2841" s="7" t="s">
        <v>16</v>
      </c>
      <c r="C2841" s="7" t="s">
        <v>7</v>
      </c>
      <c r="D2841" s="7" t="s">
        <v>10</v>
      </c>
      <c r="E2841" s="7" t="s">
        <v>28</v>
      </c>
      <c r="F2841" s="8">
        <v>158.0</v>
      </c>
      <c r="G2841" s="9">
        <v>79.0</v>
      </c>
    </row>
    <row r="2842" ht="14.25" hidden="1" customHeight="1">
      <c r="B2842" s="7" t="s">
        <v>16</v>
      </c>
      <c r="C2842" s="7" t="s">
        <v>7</v>
      </c>
      <c r="D2842" s="7" t="s">
        <v>32</v>
      </c>
      <c r="E2842" s="7" t="s">
        <v>8</v>
      </c>
      <c r="F2842" s="8">
        <v>156.0</v>
      </c>
      <c r="G2842" s="9">
        <v>78.0</v>
      </c>
    </row>
    <row r="2843" ht="14.25" hidden="1" customHeight="1">
      <c r="B2843" s="7" t="s">
        <v>16</v>
      </c>
      <c r="C2843" s="7" t="s">
        <v>29</v>
      </c>
      <c r="D2843" s="7" t="s">
        <v>8</v>
      </c>
      <c r="E2843" s="7" t="s">
        <v>10</v>
      </c>
      <c r="F2843" s="8">
        <v>156.0</v>
      </c>
      <c r="G2843" s="9">
        <v>156.0</v>
      </c>
    </row>
    <row r="2844" ht="14.25" hidden="1" customHeight="1">
      <c r="B2844" s="7" t="s">
        <v>16</v>
      </c>
      <c r="C2844" s="7" t="s">
        <v>29</v>
      </c>
      <c r="D2844" s="7" t="s">
        <v>33</v>
      </c>
      <c r="E2844" s="7" t="s">
        <v>8</v>
      </c>
      <c r="F2844" s="8">
        <v>155.0</v>
      </c>
      <c r="G2844" s="9">
        <v>155.0</v>
      </c>
    </row>
    <row r="2845" ht="14.25" hidden="1" customHeight="1">
      <c r="B2845" s="7" t="s">
        <v>16</v>
      </c>
      <c r="C2845" s="7" t="s">
        <v>29</v>
      </c>
      <c r="D2845" s="7" t="s">
        <v>28</v>
      </c>
      <c r="E2845" s="7" t="s">
        <v>34</v>
      </c>
      <c r="F2845" s="8">
        <v>145.0</v>
      </c>
      <c r="G2845" s="9">
        <v>145.0</v>
      </c>
    </row>
    <row r="2846" ht="14.25" hidden="1" customHeight="1">
      <c r="B2846" s="7" t="s">
        <v>16</v>
      </c>
      <c r="C2846" s="7" t="s">
        <v>29</v>
      </c>
      <c r="D2846" s="7" t="s">
        <v>9</v>
      </c>
      <c r="E2846" s="7" t="s">
        <v>10</v>
      </c>
      <c r="F2846" s="8">
        <v>144.0</v>
      </c>
      <c r="G2846" s="9">
        <v>144.0</v>
      </c>
    </row>
    <row r="2847" ht="14.25" hidden="1" customHeight="1">
      <c r="B2847" s="7" t="s">
        <v>16</v>
      </c>
      <c r="C2847" s="7" t="s">
        <v>7</v>
      </c>
      <c r="D2847" s="7" t="s">
        <v>9</v>
      </c>
      <c r="E2847" s="7" t="s">
        <v>32</v>
      </c>
      <c r="F2847" s="8">
        <v>144.0</v>
      </c>
      <c r="G2847" s="9">
        <v>72.0</v>
      </c>
    </row>
    <row r="2848" ht="14.25" hidden="1" customHeight="1">
      <c r="B2848" s="7" t="s">
        <v>16</v>
      </c>
      <c r="C2848" s="7" t="s">
        <v>7</v>
      </c>
      <c r="D2848" s="7" t="s">
        <v>11</v>
      </c>
      <c r="E2848" s="7" t="s">
        <v>25</v>
      </c>
      <c r="F2848" s="8">
        <v>142.0</v>
      </c>
      <c r="G2848" s="9">
        <v>71.0</v>
      </c>
    </row>
    <row r="2849" ht="14.25" customHeight="1">
      <c r="B2849" s="7" t="s">
        <v>16</v>
      </c>
      <c r="C2849" s="7" t="s">
        <v>7</v>
      </c>
      <c r="D2849" s="7" t="s">
        <v>8</v>
      </c>
      <c r="E2849" s="7" t="s">
        <v>31</v>
      </c>
      <c r="F2849" s="8">
        <v>142.0</v>
      </c>
      <c r="G2849" s="9">
        <v>71.0</v>
      </c>
    </row>
    <row r="2850" ht="14.25" hidden="1" customHeight="1">
      <c r="B2850" s="7" t="s">
        <v>16</v>
      </c>
      <c r="C2850" s="7" t="s">
        <v>30</v>
      </c>
      <c r="D2850" s="7" t="s">
        <v>33</v>
      </c>
      <c r="E2850" s="7" t="s">
        <v>8</v>
      </c>
      <c r="F2850" s="8">
        <v>140.0</v>
      </c>
      <c r="G2850" s="9">
        <v>70.0</v>
      </c>
    </row>
    <row r="2851" ht="14.25" hidden="1" customHeight="1">
      <c r="B2851" s="7" t="s">
        <v>16</v>
      </c>
      <c r="C2851" s="7" t="s">
        <v>7</v>
      </c>
      <c r="D2851" s="7" t="s">
        <v>9</v>
      </c>
      <c r="E2851" s="7" t="s">
        <v>28</v>
      </c>
      <c r="F2851" s="8">
        <v>134.0</v>
      </c>
      <c r="G2851" s="9">
        <v>67.0</v>
      </c>
    </row>
    <row r="2852" ht="14.25" hidden="1" customHeight="1">
      <c r="B2852" s="7" t="s">
        <v>16</v>
      </c>
      <c r="C2852" s="7" t="s">
        <v>29</v>
      </c>
      <c r="D2852" s="7" t="s">
        <v>8</v>
      </c>
      <c r="E2852" s="7" t="s">
        <v>28</v>
      </c>
      <c r="F2852" s="8">
        <v>132.0</v>
      </c>
      <c r="G2852" s="9">
        <v>132.0</v>
      </c>
    </row>
    <row r="2853" ht="14.25" hidden="1" customHeight="1">
      <c r="B2853" s="7" t="s">
        <v>16</v>
      </c>
      <c r="C2853" s="7" t="s">
        <v>7</v>
      </c>
      <c r="D2853" s="7" t="s">
        <v>10</v>
      </c>
      <c r="E2853" s="7" t="s">
        <v>25</v>
      </c>
      <c r="F2853" s="8">
        <v>130.0</v>
      </c>
      <c r="G2853" s="9">
        <v>65.0</v>
      </c>
    </row>
    <row r="2854" ht="14.25" hidden="1" customHeight="1">
      <c r="B2854" s="7" t="s">
        <v>16</v>
      </c>
      <c r="C2854" s="7" t="s">
        <v>29</v>
      </c>
      <c r="D2854" s="7" t="s">
        <v>31</v>
      </c>
      <c r="E2854" s="7" t="s">
        <v>9</v>
      </c>
      <c r="F2854" s="8">
        <v>130.0</v>
      </c>
      <c r="G2854" s="9">
        <v>130.0</v>
      </c>
    </row>
    <row r="2855" ht="14.25" hidden="1" customHeight="1">
      <c r="B2855" s="7" t="s">
        <v>16</v>
      </c>
      <c r="C2855" s="7" t="s">
        <v>7</v>
      </c>
      <c r="D2855" s="7" t="s">
        <v>32</v>
      </c>
      <c r="E2855" s="7" t="s">
        <v>8</v>
      </c>
      <c r="F2855" s="8">
        <v>128.0</v>
      </c>
      <c r="G2855" s="9">
        <v>64.0</v>
      </c>
    </row>
    <row r="2856" ht="14.25" hidden="1" customHeight="1">
      <c r="B2856" s="7" t="s">
        <v>16</v>
      </c>
      <c r="C2856" s="7" t="s">
        <v>7</v>
      </c>
      <c r="D2856" s="7" t="s">
        <v>25</v>
      </c>
      <c r="E2856" s="7" t="s">
        <v>8</v>
      </c>
      <c r="F2856" s="8">
        <v>126.0</v>
      </c>
      <c r="G2856" s="9">
        <v>126.0</v>
      </c>
    </row>
    <row r="2857" ht="14.25" hidden="1" customHeight="1">
      <c r="B2857" s="7" t="s">
        <v>16</v>
      </c>
      <c r="C2857" s="7" t="s">
        <v>7</v>
      </c>
      <c r="D2857" s="7" t="s">
        <v>33</v>
      </c>
      <c r="E2857" s="7" t="s">
        <v>28</v>
      </c>
      <c r="F2857" s="8">
        <v>126.0</v>
      </c>
      <c r="G2857" s="9">
        <v>63.0</v>
      </c>
    </row>
    <row r="2858" ht="14.25" hidden="1" customHeight="1">
      <c r="B2858" s="7" t="s">
        <v>16</v>
      </c>
      <c r="C2858" s="7" t="s">
        <v>29</v>
      </c>
      <c r="D2858" s="7" t="s">
        <v>28</v>
      </c>
      <c r="E2858" s="7" t="s">
        <v>25</v>
      </c>
      <c r="F2858" s="8">
        <v>119.0</v>
      </c>
      <c r="G2858" s="9">
        <v>119.0</v>
      </c>
    </row>
    <row r="2859" ht="14.25" hidden="1" customHeight="1">
      <c r="B2859" s="7" t="s">
        <v>16</v>
      </c>
      <c r="C2859" s="7" t="s">
        <v>29</v>
      </c>
      <c r="D2859" s="7" t="s">
        <v>8</v>
      </c>
      <c r="E2859" s="7" t="s">
        <v>28</v>
      </c>
      <c r="F2859" s="8">
        <v>112.0</v>
      </c>
      <c r="G2859" s="9">
        <v>112.0</v>
      </c>
    </row>
    <row r="2860" ht="14.25" hidden="1" customHeight="1">
      <c r="B2860" s="7" t="s">
        <v>16</v>
      </c>
      <c r="C2860" s="7" t="s">
        <v>7</v>
      </c>
      <c r="D2860" s="7" t="s">
        <v>9</v>
      </c>
      <c r="E2860" s="7" t="s">
        <v>35</v>
      </c>
      <c r="F2860" s="8">
        <v>106.0</v>
      </c>
      <c r="G2860" s="9">
        <v>53.0</v>
      </c>
    </row>
    <row r="2861" ht="14.25" hidden="1" customHeight="1">
      <c r="B2861" s="7" t="s">
        <v>16</v>
      </c>
      <c r="C2861" s="7" t="s">
        <v>29</v>
      </c>
      <c r="D2861" s="7" t="s">
        <v>8</v>
      </c>
      <c r="E2861" s="7" t="s">
        <v>25</v>
      </c>
      <c r="F2861" s="8">
        <v>106.0</v>
      </c>
      <c r="G2861" s="9">
        <v>106.0</v>
      </c>
    </row>
    <row r="2862" ht="14.25" hidden="1" customHeight="1">
      <c r="B2862" s="7" t="s">
        <v>16</v>
      </c>
      <c r="C2862" s="7" t="s">
        <v>30</v>
      </c>
      <c r="D2862" s="7" t="s">
        <v>31</v>
      </c>
      <c r="E2862" s="7" t="s">
        <v>10</v>
      </c>
      <c r="F2862" s="8">
        <v>102.0</v>
      </c>
      <c r="G2862" s="9">
        <v>51.0</v>
      </c>
    </row>
    <row r="2863" ht="14.25" hidden="1" customHeight="1">
      <c r="B2863" s="7" t="s">
        <v>16</v>
      </c>
      <c r="C2863" s="7" t="s">
        <v>29</v>
      </c>
      <c r="D2863" s="7" t="s">
        <v>28</v>
      </c>
      <c r="E2863" s="7" t="s">
        <v>10</v>
      </c>
      <c r="F2863" s="8">
        <v>101.0</v>
      </c>
      <c r="G2863" s="9">
        <v>101.0</v>
      </c>
    </row>
    <row r="2864" ht="14.25" hidden="1" customHeight="1">
      <c r="B2864" s="7" t="s">
        <v>16</v>
      </c>
      <c r="C2864" s="7" t="s">
        <v>7</v>
      </c>
      <c r="D2864" s="7" t="s">
        <v>24</v>
      </c>
      <c r="E2864" s="7" t="s">
        <v>31</v>
      </c>
      <c r="F2864" s="8">
        <v>100.0</v>
      </c>
      <c r="G2864" s="9">
        <v>50.0</v>
      </c>
    </row>
    <row r="2865" ht="14.25" hidden="1" customHeight="1">
      <c r="B2865" s="7" t="s">
        <v>16</v>
      </c>
      <c r="C2865" s="7" t="s">
        <v>29</v>
      </c>
      <c r="D2865" s="7" t="s">
        <v>31</v>
      </c>
      <c r="E2865" s="7" t="s">
        <v>24</v>
      </c>
      <c r="F2865" s="8">
        <v>100.0</v>
      </c>
      <c r="G2865" s="9">
        <v>100.0</v>
      </c>
    </row>
    <row r="2866" ht="14.25" hidden="1" customHeight="1">
      <c r="B2866" s="7" t="s">
        <v>16</v>
      </c>
      <c r="C2866" s="7" t="s">
        <v>29</v>
      </c>
      <c r="D2866" s="7" t="s">
        <v>31</v>
      </c>
      <c r="E2866" s="7" t="s">
        <v>10</v>
      </c>
      <c r="F2866" s="8">
        <v>100.0</v>
      </c>
      <c r="G2866" s="9">
        <v>100.0</v>
      </c>
    </row>
    <row r="2867" ht="14.25" hidden="1" customHeight="1">
      <c r="B2867" s="7" t="s">
        <v>16</v>
      </c>
      <c r="C2867" s="7" t="s">
        <v>30</v>
      </c>
      <c r="D2867" s="7" t="s">
        <v>28</v>
      </c>
      <c r="E2867" s="7" t="s">
        <v>34</v>
      </c>
      <c r="F2867" s="8">
        <v>98.0</v>
      </c>
      <c r="G2867" s="9">
        <v>49.0</v>
      </c>
    </row>
    <row r="2868" ht="14.25" hidden="1" customHeight="1">
      <c r="B2868" s="7" t="s">
        <v>16</v>
      </c>
      <c r="C2868" s="7" t="s">
        <v>7</v>
      </c>
      <c r="D2868" s="7" t="s">
        <v>28</v>
      </c>
      <c r="E2868" s="7" t="s">
        <v>31</v>
      </c>
      <c r="F2868" s="8">
        <v>94.0</v>
      </c>
      <c r="G2868" s="9">
        <v>47.0</v>
      </c>
    </row>
    <row r="2869" ht="14.25" hidden="1" customHeight="1">
      <c r="B2869" s="7" t="s">
        <v>16</v>
      </c>
      <c r="C2869" s="7" t="s">
        <v>29</v>
      </c>
      <c r="D2869" s="7" t="s">
        <v>28</v>
      </c>
      <c r="E2869" s="7" t="s">
        <v>31</v>
      </c>
      <c r="F2869" s="8">
        <v>92.0</v>
      </c>
      <c r="G2869" s="9">
        <v>92.0</v>
      </c>
    </row>
    <row r="2870" ht="14.25" hidden="1" customHeight="1">
      <c r="B2870" s="7" t="s">
        <v>16</v>
      </c>
      <c r="C2870" s="7" t="s">
        <v>29</v>
      </c>
      <c r="D2870" s="7" t="s">
        <v>9</v>
      </c>
      <c r="E2870" s="7" t="s">
        <v>25</v>
      </c>
      <c r="F2870" s="8">
        <v>92.0</v>
      </c>
      <c r="G2870" s="9">
        <v>92.0</v>
      </c>
    </row>
    <row r="2871" ht="14.25" hidden="1" customHeight="1">
      <c r="B2871" s="7" t="s">
        <v>16</v>
      </c>
      <c r="C2871" s="7" t="s">
        <v>7</v>
      </c>
      <c r="D2871" s="7" t="s">
        <v>31</v>
      </c>
      <c r="E2871" s="7" t="s">
        <v>10</v>
      </c>
      <c r="F2871" s="8">
        <v>92.0</v>
      </c>
      <c r="G2871" s="9">
        <v>46.0</v>
      </c>
    </row>
    <row r="2872" ht="14.25" hidden="1" customHeight="1">
      <c r="B2872" s="7" t="s">
        <v>16</v>
      </c>
      <c r="C2872" s="7" t="s">
        <v>30</v>
      </c>
      <c r="D2872" s="7" t="s">
        <v>33</v>
      </c>
      <c r="E2872" s="7" t="s">
        <v>28</v>
      </c>
      <c r="F2872" s="8">
        <v>90.0</v>
      </c>
      <c r="G2872" s="9">
        <v>45.0</v>
      </c>
    </row>
    <row r="2873" ht="14.25" hidden="1" customHeight="1">
      <c r="B2873" s="7" t="s">
        <v>16</v>
      </c>
      <c r="C2873" s="7" t="s">
        <v>7</v>
      </c>
      <c r="D2873" s="7" t="s">
        <v>8</v>
      </c>
      <c r="E2873" s="7" t="s">
        <v>9</v>
      </c>
      <c r="F2873" s="8">
        <v>90.0</v>
      </c>
      <c r="G2873" s="9">
        <v>45.0</v>
      </c>
    </row>
    <row r="2874" ht="14.25" hidden="1" customHeight="1">
      <c r="B2874" s="7" t="s">
        <v>16</v>
      </c>
      <c r="C2874" s="7" t="s">
        <v>29</v>
      </c>
      <c r="D2874" s="7" t="s">
        <v>9</v>
      </c>
      <c r="E2874" s="7" t="s">
        <v>8</v>
      </c>
      <c r="F2874" s="8">
        <v>89.0</v>
      </c>
      <c r="G2874" s="9">
        <v>89.0</v>
      </c>
    </row>
    <row r="2875" ht="14.25" hidden="1" customHeight="1">
      <c r="B2875" s="7" t="s">
        <v>16</v>
      </c>
      <c r="C2875" s="7" t="s">
        <v>7</v>
      </c>
      <c r="D2875" s="7" t="s">
        <v>25</v>
      </c>
      <c r="E2875" s="7" t="s">
        <v>32</v>
      </c>
      <c r="F2875" s="8">
        <v>88.0</v>
      </c>
      <c r="G2875" s="9">
        <v>44.0</v>
      </c>
    </row>
    <row r="2876" ht="14.25" hidden="1" customHeight="1">
      <c r="B2876" s="7" t="s">
        <v>16</v>
      </c>
      <c r="C2876" s="7" t="s">
        <v>7</v>
      </c>
      <c r="D2876" s="7" t="s">
        <v>24</v>
      </c>
      <c r="E2876" s="7" t="s">
        <v>31</v>
      </c>
      <c r="F2876" s="8">
        <v>88.0</v>
      </c>
      <c r="G2876" s="9">
        <v>44.0</v>
      </c>
    </row>
    <row r="2877" ht="14.25" hidden="1" customHeight="1">
      <c r="B2877" s="7" t="s">
        <v>16</v>
      </c>
      <c r="C2877" s="7" t="s">
        <v>7</v>
      </c>
      <c r="D2877" s="7" t="s">
        <v>31</v>
      </c>
      <c r="E2877" s="7" t="s">
        <v>35</v>
      </c>
      <c r="F2877" s="8">
        <v>88.0</v>
      </c>
      <c r="G2877" s="9">
        <v>44.0</v>
      </c>
    </row>
    <row r="2878" ht="14.25" hidden="1" customHeight="1">
      <c r="B2878" s="7" t="s">
        <v>16</v>
      </c>
      <c r="C2878" s="7" t="s">
        <v>29</v>
      </c>
      <c r="D2878" s="7" t="s">
        <v>10</v>
      </c>
      <c r="E2878" s="7" t="s">
        <v>25</v>
      </c>
      <c r="F2878" s="8">
        <v>86.0</v>
      </c>
      <c r="G2878" s="9">
        <v>86.0</v>
      </c>
    </row>
    <row r="2879" ht="14.25" customHeight="1">
      <c r="B2879" s="7" t="s">
        <v>16</v>
      </c>
      <c r="C2879" s="7" t="s">
        <v>29</v>
      </c>
      <c r="D2879" s="7" t="s">
        <v>8</v>
      </c>
      <c r="E2879" s="7" t="s">
        <v>31</v>
      </c>
      <c r="F2879" s="8">
        <v>85.0</v>
      </c>
      <c r="G2879" s="9">
        <v>85.0</v>
      </c>
    </row>
    <row r="2880" ht="14.25" hidden="1" customHeight="1">
      <c r="B2880" s="7" t="s">
        <v>16</v>
      </c>
      <c r="C2880" s="7" t="s">
        <v>7</v>
      </c>
      <c r="D2880" s="7" t="s">
        <v>24</v>
      </c>
      <c r="E2880" s="7" t="s">
        <v>8</v>
      </c>
      <c r="F2880" s="8">
        <v>84.0</v>
      </c>
      <c r="G2880" s="9">
        <v>42.0</v>
      </c>
    </row>
    <row r="2881" ht="14.25" hidden="1" customHeight="1">
      <c r="B2881" s="7" t="s">
        <v>16</v>
      </c>
      <c r="C2881" s="7" t="s">
        <v>7</v>
      </c>
      <c r="D2881" s="7" t="s">
        <v>10</v>
      </c>
      <c r="E2881" s="7" t="s">
        <v>8</v>
      </c>
      <c r="F2881" s="8">
        <v>84.0</v>
      </c>
      <c r="G2881" s="9">
        <v>42.0</v>
      </c>
    </row>
    <row r="2882" ht="14.25" hidden="1" customHeight="1">
      <c r="B2882" s="7" t="s">
        <v>16</v>
      </c>
      <c r="C2882" s="7" t="s">
        <v>7</v>
      </c>
      <c r="D2882" s="7" t="s">
        <v>33</v>
      </c>
      <c r="E2882" s="7" t="s">
        <v>32</v>
      </c>
      <c r="F2882" s="8">
        <v>82.0</v>
      </c>
      <c r="G2882" s="9">
        <v>41.0</v>
      </c>
    </row>
    <row r="2883" ht="14.25" hidden="1" customHeight="1">
      <c r="B2883" s="7" t="s">
        <v>16</v>
      </c>
      <c r="C2883" s="7" t="s">
        <v>7</v>
      </c>
      <c r="D2883" s="7" t="s">
        <v>8</v>
      </c>
      <c r="E2883" s="7" t="s">
        <v>28</v>
      </c>
      <c r="F2883" s="8">
        <v>82.0</v>
      </c>
      <c r="G2883" s="9">
        <v>41.0</v>
      </c>
    </row>
    <row r="2884" ht="14.25" hidden="1" customHeight="1">
      <c r="B2884" s="7" t="s">
        <v>16</v>
      </c>
      <c r="C2884" s="7" t="s">
        <v>29</v>
      </c>
      <c r="D2884" s="7" t="s">
        <v>8</v>
      </c>
      <c r="E2884" s="7" t="s">
        <v>33</v>
      </c>
      <c r="F2884" s="8">
        <v>79.0</v>
      </c>
      <c r="G2884" s="9">
        <v>79.0</v>
      </c>
    </row>
    <row r="2885" ht="14.25" hidden="1" customHeight="1">
      <c r="B2885" s="7" t="s">
        <v>16</v>
      </c>
      <c r="C2885" s="7" t="s">
        <v>7</v>
      </c>
      <c r="D2885" s="7" t="s">
        <v>8</v>
      </c>
      <c r="E2885" s="7" t="s">
        <v>10</v>
      </c>
      <c r="F2885" s="8">
        <v>78.0</v>
      </c>
      <c r="G2885" s="9">
        <v>39.0</v>
      </c>
    </row>
    <row r="2886" ht="14.25" hidden="1" customHeight="1">
      <c r="B2886" s="7" t="s">
        <v>16</v>
      </c>
      <c r="C2886" s="7" t="s">
        <v>7</v>
      </c>
      <c r="D2886" s="7" t="s">
        <v>25</v>
      </c>
      <c r="E2886" s="7" t="s">
        <v>28</v>
      </c>
      <c r="F2886" s="8">
        <v>76.0</v>
      </c>
      <c r="G2886" s="9">
        <v>38.0</v>
      </c>
    </row>
    <row r="2887" ht="14.25" hidden="1" customHeight="1">
      <c r="B2887" s="7" t="s">
        <v>16</v>
      </c>
      <c r="C2887" s="7" t="s">
        <v>29</v>
      </c>
      <c r="D2887" s="7" t="s">
        <v>33</v>
      </c>
      <c r="E2887" s="7" t="s">
        <v>9</v>
      </c>
      <c r="F2887" s="8">
        <v>76.0</v>
      </c>
      <c r="G2887" s="9">
        <v>76.0</v>
      </c>
    </row>
    <row r="2888" ht="14.25" hidden="1" customHeight="1">
      <c r="B2888" s="7" t="s">
        <v>16</v>
      </c>
      <c r="C2888" s="7" t="s">
        <v>29</v>
      </c>
      <c r="D2888" s="7" t="s">
        <v>10</v>
      </c>
      <c r="E2888" s="7" t="s">
        <v>33</v>
      </c>
      <c r="F2888" s="8">
        <v>72.0</v>
      </c>
      <c r="G2888" s="9">
        <v>72.0</v>
      </c>
    </row>
    <row r="2889" ht="14.25" hidden="1" customHeight="1">
      <c r="B2889" s="7" t="s">
        <v>16</v>
      </c>
      <c r="C2889" s="7" t="s">
        <v>29</v>
      </c>
      <c r="D2889" s="7" t="s">
        <v>31</v>
      </c>
      <c r="E2889" s="7" t="s">
        <v>25</v>
      </c>
      <c r="F2889" s="8">
        <v>72.0</v>
      </c>
      <c r="G2889" s="9">
        <v>72.0</v>
      </c>
    </row>
    <row r="2890" ht="14.25" hidden="1" customHeight="1">
      <c r="B2890" s="7" t="s">
        <v>16</v>
      </c>
      <c r="C2890" s="7" t="s">
        <v>29</v>
      </c>
      <c r="D2890" s="7" t="s">
        <v>9</v>
      </c>
      <c r="E2890" s="7" t="s">
        <v>25</v>
      </c>
      <c r="F2890" s="8">
        <v>69.0</v>
      </c>
      <c r="G2890" s="9">
        <v>69.0</v>
      </c>
    </row>
    <row r="2891" ht="14.25" hidden="1" customHeight="1">
      <c r="B2891" s="7" t="s">
        <v>16</v>
      </c>
      <c r="C2891" s="7" t="s">
        <v>7</v>
      </c>
      <c r="D2891" s="7" t="s">
        <v>28</v>
      </c>
      <c r="E2891" s="7" t="s">
        <v>10</v>
      </c>
      <c r="F2891" s="8">
        <v>68.0</v>
      </c>
      <c r="G2891" s="9">
        <v>34.0</v>
      </c>
    </row>
    <row r="2892" ht="14.25" hidden="1" customHeight="1">
      <c r="B2892" s="7" t="s">
        <v>16</v>
      </c>
      <c r="C2892" s="7" t="s">
        <v>7</v>
      </c>
      <c r="D2892" s="7" t="s">
        <v>33</v>
      </c>
      <c r="E2892" s="7" t="s">
        <v>31</v>
      </c>
      <c r="F2892" s="8">
        <v>64.0</v>
      </c>
      <c r="G2892" s="9">
        <v>32.0</v>
      </c>
    </row>
    <row r="2893" ht="14.25" hidden="1" customHeight="1">
      <c r="B2893" s="7" t="s">
        <v>16</v>
      </c>
      <c r="C2893" s="7" t="s">
        <v>29</v>
      </c>
      <c r="D2893" s="7" t="s">
        <v>10</v>
      </c>
      <c r="E2893" s="7" t="s">
        <v>25</v>
      </c>
      <c r="F2893" s="8">
        <v>63.0</v>
      </c>
      <c r="G2893" s="9">
        <v>63.0</v>
      </c>
    </row>
    <row r="2894" ht="14.25" hidden="1" customHeight="1">
      <c r="B2894" s="7" t="s">
        <v>16</v>
      </c>
      <c r="C2894" s="7" t="s">
        <v>7</v>
      </c>
      <c r="D2894" s="7" t="s">
        <v>31</v>
      </c>
      <c r="E2894" s="7" t="s">
        <v>8</v>
      </c>
      <c r="F2894" s="8">
        <v>62.0</v>
      </c>
      <c r="G2894" s="9">
        <v>31.0</v>
      </c>
    </row>
    <row r="2895" ht="14.25" hidden="1" customHeight="1">
      <c r="B2895" s="7" t="s">
        <v>16</v>
      </c>
      <c r="C2895" s="7" t="s">
        <v>29</v>
      </c>
      <c r="D2895" s="7" t="s">
        <v>9</v>
      </c>
      <c r="E2895" s="7" t="s">
        <v>28</v>
      </c>
      <c r="F2895" s="8">
        <v>61.0</v>
      </c>
      <c r="G2895" s="9">
        <v>61.0</v>
      </c>
    </row>
    <row r="2896" ht="14.25" hidden="1" customHeight="1">
      <c r="B2896" s="7" t="s">
        <v>16</v>
      </c>
      <c r="C2896" s="7" t="s">
        <v>7</v>
      </c>
      <c r="D2896" s="7" t="s">
        <v>33</v>
      </c>
      <c r="E2896" s="7" t="s">
        <v>31</v>
      </c>
      <c r="F2896" s="8">
        <v>60.0</v>
      </c>
      <c r="G2896" s="9">
        <v>30.0</v>
      </c>
    </row>
    <row r="2897" ht="14.25" hidden="1" customHeight="1">
      <c r="B2897" s="7" t="s">
        <v>16</v>
      </c>
      <c r="C2897" s="7" t="s">
        <v>7</v>
      </c>
      <c r="D2897" s="7" t="s">
        <v>32</v>
      </c>
      <c r="E2897" s="7" t="s">
        <v>9</v>
      </c>
      <c r="F2897" s="8">
        <v>60.0</v>
      </c>
      <c r="G2897" s="9">
        <v>30.0</v>
      </c>
    </row>
    <row r="2898" ht="14.25" hidden="1" customHeight="1">
      <c r="B2898" s="7" t="s">
        <v>16</v>
      </c>
      <c r="C2898" s="7" t="s">
        <v>7</v>
      </c>
      <c r="D2898" s="7" t="s">
        <v>8</v>
      </c>
      <c r="E2898" s="7" t="s">
        <v>9</v>
      </c>
      <c r="F2898" s="8">
        <v>60.0</v>
      </c>
      <c r="G2898" s="9">
        <v>30.0</v>
      </c>
    </row>
    <row r="2899" ht="14.25" hidden="1" customHeight="1">
      <c r="B2899" s="7" t="s">
        <v>16</v>
      </c>
      <c r="C2899" s="7" t="s">
        <v>29</v>
      </c>
      <c r="D2899" s="7" t="s">
        <v>9</v>
      </c>
      <c r="E2899" s="7" t="s">
        <v>8</v>
      </c>
      <c r="F2899" s="8">
        <v>57.0</v>
      </c>
      <c r="G2899" s="9">
        <v>57.0</v>
      </c>
    </row>
    <row r="2900" ht="14.25" hidden="1" customHeight="1">
      <c r="B2900" s="7" t="s">
        <v>16</v>
      </c>
      <c r="C2900" s="7" t="s">
        <v>30</v>
      </c>
      <c r="D2900" s="7" t="s">
        <v>24</v>
      </c>
      <c r="E2900" s="7" t="s">
        <v>31</v>
      </c>
      <c r="F2900" s="8">
        <v>56.0</v>
      </c>
      <c r="G2900" s="9">
        <v>28.0</v>
      </c>
    </row>
    <row r="2901" ht="14.25" hidden="1" customHeight="1">
      <c r="B2901" s="7" t="s">
        <v>16</v>
      </c>
      <c r="C2901" s="7" t="s">
        <v>30</v>
      </c>
      <c r="D2901" s="7" t="s">
        <v>33</v>
      </c>
      <c r="E2901" s="7" t="s">
        <v>25</v>
      </c>
      <c r="F2901" s="8">
        <v>54.0</v>
      </c>
      <c r="G2901" s="9">
        <v>27.0</v>
      </c>
    </row>
    <row r="2902" ht="14.25" hidden="1" customHeight="1">
      <c r="B2902" s="7" t="s">
        <v>16</v>
      </c>
      <c r="C2902" s="7" t="s">
        <v>29</v>
      </c>
      <c r="D2902" s="7" t="s">
        <v>32</v>
      </c>
      <c r="E2902" s="7" t="s">
        <v>35</v>
      </c>
      <c r="F2902" s="8">
        <v>54.0</v>
      </c>
      <c r="G2902" s="9">
        <v>54.0</v>
      </c>
    </row>
    <row r="2903" ht="14.25" hidden="1" customHeight="1">
      <c r="B2903" s="7" t="s">
        <v>16</v>
      </c>
      <c r="C2903" s="7" t="s">
        <v>7</v>
      </c>
      <c r="D2903" s="7" t="s">
        <v>8</v>
      </c>
      <c r="E2903" s="7" t="s">
        <v>25</v>
      </c>
      <c r="F2903" s="8">
        <v>54.0</v>
      </c>
      <c r="G2903" s="9">
        <v>54.0</v>
      </c>
    </row>
    <row r="2904" ht="14.25" hidden="1" customHeight="1">
      <c r="B2904" s="7" t="s">
        <v>16</v>
      </c>
      <c r="C2904" s="7" t="s">
        <v>7</v>
      </c>
      <c r="D2904" s="7" t="s">
        <v>10</v>
      </c>
      <c r="E2904" s="7" t="s">
        <v>8</v>
      </c>
      <c r="F2904" s="8">
        <v>52.0</v>
      </c>
      <c r="G2904" s="9">
        <v>26.0</v>
      </c>
    </row>
    <row r="2905" ht="14.25" hidden="1" customHeight="1">
      <c r="B2905" s="7" t="s">
        <v>16</v>
      </c>
      <c r="C2905" s="7" t="s">
        <v>7</v>
      </c>
      <c r="D2905" s="7" t="s">
        <v>25</v>
      </c>
      <c r="E2905" s="7" t="s">
        <v>10</v>
      </c>
      <c r="F2905" s="8">
        <v>50.0</v>
      </c>
      <c r="G2905" s="9">
        <v>25.0</v>
      </c>
    </row>
    <row r="2906" ht="14.25" hidden="1" customHeight="1">
      <c r="B2906" s="7" t="s">
        <v>16</v>
      </c>
      <c r="C2906" s="7" t="s">
        <v>30</v>
      </c>
      <c r="D2906" s="7" t="s">
        <v>8</v>
      </c>
      <c r="E2906" s="7" t="s">
        <v>33</v>
      </c>
      <c r="F2906" s="8">
        <v>50.0</v>
      </c>
      <c r="G2906" s="9">
        <v>25.0</v>
      </c>
    </row>
    <row r="2907" ht="14.25" hidden="1" customHeight="1">
      <c r="B2907" s="7" t="s">
        <v>16</v>
      </c>
      <c r="C2907" s="7" t="s">
        <v>29</v>
      </c>
      <c r="D2907" s="7" t="s">
        <v>10</v>
      </c>
      <c r="E2907" s="7" t="s">
        <v>8</v>
      </c>
      <c r="F2907" s="8">
        <v>48.0</v>
      </c>
      <c r="G2907" s="9">
        <v>48.0</v>
      </c>
    </row>
    <row r="2908" ht="14.25" hidden="1" customHeight="1">
      <c r="B2908" s="7" t="s">
        <v>16</v>
      </c>
      <c r="C2908" s="7" t="s">
        <v>29</v>
      </c>
      <c r="D2908" s="7" t="s">
        <v>33</v>
      </c>
      <c r="E2908" s="7" t="s">
        <v>28</v>
      </c>
      <c r="F2908" s="8">
        <v>46.0</v>
      </c>
      <c r="G2908" s="9">
        <v>46.0</v>
      </c>
    </row>
    <row r="2909" ht="14.25" hidden="1" customHeight="1">
      <c r="B2909" s="7" t="s">
        <v>16</v>
      </c>
      <c r="C2909" s="7" t="s">
        <v>7</v>
      </c>
      <c r="D2909" s="7" t="s">
        <v>11</v>
      </c>
      <c r="E2909" s="7" t="s">
        <v>10</v>
      </c>
      <c r="F2909" s="8">
        <v>46.0</v>
      </c>
      <c r="G2909" s="9">
        <v>23.0</v>
      </c>
    </row>
    <row r="2910" ht="14.25" hidden="1" customHeight="1">
      <c r="B2910" s="7" t="s">
        <v>16</v>
      </c>
      <c r="C2910" s="7" t="s">
        <v>29</v>
      </c>
      <c r="D2910" s="7" t="s">
        <v>9</v>
      </c>
      <c r="E2910" s="7" t="s">
        <v>8</v>
      </c>
      <c r="F2910" s="8">
        <v>45.0</v>
      </c>
      <c r="G2910" s="9">
        <v>45.0</v>
      </c>
    </row>
    <row r="2911" ht="14.25" hidden="1" customHeight="1">
      <c r="B2911" s="7" t="s">
        <v>16</v>
      </c>
      <c r="C2911" s="7" t="s">
        <v>29</v>
      </c>
      <c r="D2911" s="7" t="s">
        <v>8</v>
      </c>
      <c r="E2911" s="7" t="s">
        <v>25</v>
      </c>
      <c r="F2911" s="8">
        <v>45.0</v>
      </c>
      <c r="G2911" s="9">
        <v>45.0</v>
      </c>
    </row>
    <row r="2912" ht="14.25" hidden="1" customHeight="1">
      <c r="B2912" s="7" t="s">
        <v>16</v>
      </c>
      <c r="C2912" s="7" t="s">
        <v>30</v>
      </c>
      <c r="D2912" s="7" t="s">
        <v>28</v>
      </c>
      <c r="E2912" s="7" t="s">
        <v>8</v>
      </c>
      <c r="F2912" s="8">
        <v>44.0</v>
      </c>
      <c r="G2912" s="9">
        <v>22.0</v>
      </c>
    </row>
    <row r="2913" ht="14.25" customHeight="1">
      <c r="B2913" s="7" t="s">
        <v>16</v>
      </c>
      <c r="C2913" s="7" t="s">
        <v>7</v>
      </c>
      <c r="D2913" s="7" t="s">
        <v>8</v>
      </c>
      <c r="E2913" s="7" t="s">
        <v>31</v>
      </c>
      <c r="F2913" s="8">
        <v>44.0</v>
      </c>
      <c r="G2913" s="9">
        <v>22.0</v>
      </c>
    </row>
    <row r="2914" ht="14.25" hidden="1" customHeight="1">
      <c r="B2914" s="7" t="s">
        <v>16</v>
      </c>
      <c r="C2914" s="7" t="s">
        <v>29</v>
      </c>
      <c r="D2914" s="7" t="s">
        <v>31</v>
      </c>
      <c r="E2914" s="7" t="s">
        <v>28</v>
      </c>
      <c r="F2914" s="8">
        <v>43.0</v>
      </c>
      <c r="G2914" s="9">
        <v>43.0</v>
      </c>
    </row>
    <row r="2915" ht="14.25" hidden="1" customHeight="1">
      <c r="B2915" s="7" t="s">
        <v>16</v>
      </c>
      <c r="C2915" s="7" t="s">
        <v>30</v>
      </c>
      <c r="D2915" s="7" t="s">
        <v>10</v>
      </c>
      <c r="E2915" s="7" t="s">
        <v>8</v>
      </c>
      <c r="F2915" s="8">
        <v>42.0</v>
      </c>
      <c r="G2915" s="9">
        <v>21.0</v>
      </c>
    </row>
    <row r="2916" ht="14.25" hidden="1" customHeight="1">
      <c r="B2916" s="7" t="s">
        <v>16</v>
      </c>
      <c r="C2916" s="7" t="s">
        <v>29</v>
      </c>
      <c r="D2916" s="7" t="s">
        <v>28</v>
      </c>
      <c r="E2916" s="7" t="s">
        <v>33</v>
      </c>
      <c r="F2916" s="8">
        <v>40.0</v>
      </c>
      <c r="G2916" s="9">
        <v>40.0</v>
      </c>
    </row>
    <row r="2917" ht="14.25" hidden="1" customHeight="1">
      <c r="B2917" s="7" t="s">
        <v>16</v>
      </c>
      <c r="C2917" s="7" t="s">
        <v>29</v>
      </c>
      <c r="D2917" s="7" t="s">
        <v>33</v>
      </c>
      <c r="E2917" s="7" t="s">
        <v>28</v>
      </c>
      <c r="F2917" s="8">
        <v>39.0</v>
      </c>
      <c r="G2917" s="9">
        <v>39.0</v>
      </c>
    </row>
    <row r="2918" ht="14.25" hidden="1" customHeight="1">
      <c r="B2918" s="7" t="s">
        <v>16</v>
      </c>
      <c r="C2918" s="7" t="s">
        <v>29</v>
      </c>
      <c r="D2918" s="7" t="s">
        <v>31</v>
      </c>
      <c r="E2918" s="7" t="s">
        <v>25</v>
      </c>
      <c r="F2918" s="8">
        <v>39.0</v>
      </c>
      <c r="G2918" s="9">
        <v>39.0</v>
      </c>
    </row>
    <row r="2919" ht="14.25" hidden="1" customHeight="1">
      <c r="B2919" s="7" t="s">
        <v>16</v>
      </c>
      <c r="C2919" s="7" t="s">
        <v>7</v>
      </c>
      <c r="D2919" s="7" t="s">
        <v>9</v>
      </c>
      <c r="E2919" s="7" t="s">
        <v>31</v>
      </c>
      <c r="F2919" s="8">
        <v>38.0</v>
      </c>
      <c r="G2919" s="9">
        <v>19.0</v>
      </c>
    </row>
    <row r="2920" ht="14.25" hidden="1" customHeight="1">
      <c r="B2920" s="7" t="s">
        <v>16</v>
      </c>
      <c r="C2920" s="7" t="s">
        <v>7</v>
      </c>
      <c r="D2920" s="7" t="s">
        <v>10</v>
      </c>
      <c r="E2920" s="7" t="s">
        <v>33</v>
      </c>
      <c r="F2920" s="8">
        <v>38.0</v>
      </c>
      <c r="G2920" s="9">
        <v>19.0</v>
      </c>
    </row>
    <row r="2921" ht="14.25" hidden="1" customHeight="1">
      <c r="B2921" s="7" t="s">
        <v>16</v>
      </c>
      <c r="C2921" s="7" t="s">
        <v>7</v>
      </c>
      <c r="D2921" s="7" t="s">
        <v>10</v>
      </c>
      <c r="E2921" s="7" t="s">
        <v>8</v>
      </c>
      <c r="F2921" s="8">
        <v>38.0</v>
      </c>
      <c r="G2921" s="9">
        <v>19.0</v>
      </c>
    </row>
    <row r="2922" ht="14.25" hidden="1" customHeight="1">
      <c r="B2922" s="7" t="s">
        <v>16</v>
      </c>
      <c r="C2922" s="7" t="s">
        <v>29</v>
      </c>
      <c r="D2922" s="7" t="s">
        <v>31</v>
      </c>
      <c r="E2922" s="7" t="s">
        <v>10</v>
      </c>
      <c r="F2922" s="8">
        <v>38.0</v>
      </c>
      <c r="G2922" s="9">
        <v>38.0</v>
      </c>
    </row>
    <row r="2923" ht="14.25" hidden="1" customHeight="1">
      <c r="B2923" s="7" t="s">
        <v>16</v>
      </c>
      <c r="C2923" s="7" t="s">
        <v>30</v>
      </c>
      <c r="D2923" s="7" t="s">
        <v>28</v>
      </c>
      <c r="E2923" s="7" t="s">
        <v>25</v>
      </c>
      <c r="F2923" s="8">
        <v>36.0</v>
      </c>
      <c r="G2923" s="9">
        <v>18.0</v>
      </c>
    </row>
    <row r="2924" ht="14.25" hidden="1" customHeight="1">
      <c r="B2924" s="7" t="s">
        <v>16</v>
      </c>
      <c r="C2924" s="7" t="s">
        <v>7</v>
      </c>
      <c r="D2924" s="7" t="s">
        <v>28</v>
      </c>
      <c r="E2924" s="7" t="s">
        <v>32</v>
      </c>
      <c r="F2924" s="8">
        <v>36.0</v>
      </c>
      <c r="G2924" s="9">
        <v>18.0</v>
      </c>
    </row>
    <row r="2925" ht="14.25" hidden="1" customHeight="1">
      <c r="B2925" s="7" t="s">
        <v>16</v>
      </c>
      <c r="C2925" s="7" t="s">
        <v>29</v>
      </c>
      <c r="D2925" s="7" t="s">
        <v>28</v>
      </c>
      <c r="E2925" s="7" t="s">
        <v>32</v>
      </c>
      <c r="F2925" s="8">
        <v>34.0</v>
      </c>
      <c r="G2925" s="9">
        <v>34.0</v>
      </c>
    </row>
    <row r="2926" ht="14.25" hidden="1" customHeight="1">
      <c r="B2926" s="7" t="s">
        <v>16</v>
      </c>
      <c r="C2926" s="7" t="s">
        <v>7</v>
      </c>
      <c r="D2926" s="7" t="s">
        <v>31</v>
      </c>
      <c r="E2926" s="7" t="s">
        <v>10</v>
      </c>
      <c r="F2926" s="8">
        <v>34.0</v>
      </c>
      <c r="G2926" s="9">
        <v>17.0</v>
      </c>
    </row>
    <row r="2927" ht="14.25" hidden="1" customHeight="1">
      <c r="B2927" s="7" t="s">
        <v>16</v>
      </c>
      <c r="C2927" s="7" t="s">
        <v>7</v>
      </c>
      <c r="D2927" s="7" t="s">
        <v>31</v>
      </c>
      <c r="E2927" s="7" t="s">
        <v>8</v>
      </c>
      <c r="F2927" s="8">
        <v>34.0</v>
      </c>
      <c r="G2927" s="9">
        <v>17.0</v>
      </c>
    </row>
    <row r="2928" ht="14.25" hidden="1" customHeight="1">
      <c r="B2928" s="7" t="s">
        <v>16</v>
      </c>
      <c r="C2928" s="7" t="s">
        <v>7</v>
      </c>
      <c r="D2928" s="7" t="s">
        <v>11</v>
      </c>
      <c r="E2928" s="7" t="s">
        <v>25</v>
      </c>
      <c r="F2928" s="8">
        <v>32.0</v>
      </c>
      <c r="G2928" s="9">
        <v>16.0</v>
      </c>
    </row>
    <row r="2929" ht="14.25" hidden="1" customHeight="1">
      <c r="B2929" s="7" t="s">
        <v>16</v>
      </c>
      <c r="C2929" s="7" t="s">
        <v>29</v>
      </c>
      <c r="D2929" s="7" t="s">
        <v>11</v>
      </c>
      <c r="E2929" s="7" t="s">
        <v>10</v>
      </c>
      <c r="F2929" s="8">
        <v>32.0</v>
      </c>
      <c r="G2929" s="9">
        <v>32.0</v>
      </c>
    </row>
    <row r="2930" ht="14.25" hidden="1" customHeight="1">
      <c r="B2930" s="7" t="s">
        <v>16</v>
      </c>
      <c r="C2930" s="7" t="s">
        <v>29</v>
      </c>
      <c r="D2930" s="7" t="s">
        <v>11</v>
      </c>
      <c r="E2930" s="7" t="s">
        <v>8</v>
      </c>
      <c r="F2930" s="8">
        <v>32.0</v>
      </c>
      <c r="G2930" s="9">
        <v>32.0</v>
      </c>
    </row>
    <row r="2931" ht="14.25" hidden="1" customHeight="1">
      <c r="B2931" s="7" t="s">
        <v>16</v>
      </c>
      <c r="C2931" s="7" t="s">
        <v>7</v>
      </c>
      <c r="D2931" s="7" t="s">
        <v>9</v>
      </c>
      <c r="E2931" s="7" t="s">
        <v>31</v>
      </c>
      <c r="F2931" s="8">
        <v>32.0</v>
      </c>
      <c r="G2931" s="9">
        <v>16.0</v>
      </c>
    </row>
    <row r="2932" ht="14.25" hidden="1" customHeight="1">
      <c r="B2932" s="7" t="s">
        <v>16</v>
      </c>
      <c r="C2932" s="7" t="s">
        <v>29</v>
      </c>
      <c r="D2932" s="7" t="s">
        <v>31</v>
      </c>
      <c r="E2932" s="7" t="s">
        <v>8</v>
      </c>
      <c r="F2932" s="8">
        <v>31.0</v>
      </c>
      <c r="G2932" s="9">
        <v>31.0</v>
      </c>
    </row>
    <row r="2933" ht="14.25" hidden="1" customHeight="1">
      <c r="B2933" s="7" t="s">
        <v>16</v>
      </c>
      <c r="C2933" s="7" t="s">
        <v>29</v>
      </c>
      <c r="D2933" s="7" t="s">
        <v>25</v>
      </c>
      <c r="E2933" s="7" t="s">
        <v>33</v>
      </c>
      <c r="F2933" s="8">
        <v>30.0</v>
      </c>
      <c r="G2933" s="9">
        <v>30.0</v>
      </c>
    </row>
    <row r="2934" ht="14.25" hidden="1" customHeight="1">
      <c r="B2934" s="7" t="s">
        <v>16</v>
      </c>
      <c r="C2934" s="7" t="s">
        <v>30</v>
      </c>
      <c r="D2934" s="7" t="s">
        <v>9</v>
      </c>
      <c r="E2934" s="7" t="s">
        <v>28</v>
      </c>
      <c r="F2934" s="8">
        <v>30.0</v>
      </c>
      <c r="G2934" s="9">
        <v>15.0</v>
      </c>
    </row>
    <row r="2935" ht="14.25" hidden="1" customHeight="1">
      <c r="B2935" s="7" t="s">
        <v>16</v>
      </c>
      <c r="C2935" s="7" t="s">
        <v>29</v>
      </c>
      <c r="D2935" s="7" t="s">
        <v>8</v>
      </c>
      <c r="E2935" s="7" t="s">
        <v>33</v>
      </c>
      <c r="F2935" s="8">
        <v>30.0</v>
      </c>
      <c r="G2935" s="9">
        <v>30.0</v>
      </c>
    </row>
    <row r="2936" ht="14.25" hidden="1" customHeight="1">
      <c r="B2936" s="7" t="s">
        <v>16</v>
      </c>
      <c r="C2936" s="7" t="s">
        <v>29</v>
      </c>
      <c r="D2936" s="7" t="s">
        <v>25</v>
      </c>
      <c r="E2936" s="7" t="s">
        <v>8</v>
      </c>
      <c r="F2936" s="8">
        <v>29.0</v>
      </c>
      <c r="G2936" s="9">
        <v>29.0</v>
      </c>
    </row>
    <row r="2937" ht="14.25" hidden="1" customHeight="1">
      <c r="B2937" s="7" t="s">
        <v>16</v>
      </c>
      <c r="C2937" s="7" t="s">
        <v>7</v>
      </c>
      <c r="D2937" s="7" t="s">
        <v>33</v>
      </c>
      <c r="E2937" s="7" t="s">
        <v>8</v>
      </c>
      <c r="F2937" s="8">
        <v>28.0</v>
      </c>
      <c r="G2937" s="9">
        <v>14.0</v>
      </c>
    </row>
    <row r="2938" ht="14.25" hidden="1" customHeight="1">
      <c r="B2938" s="7" t="s">
        <v>16</v>
      </c>
      <c r="C2938" s="7" t="s">
        <v>29</v>
      </c>
      <c r="D2938" s="7" t="s">
        <v>11</v>
      </c>
      <c r="E2938" s="7" t="s">
        <v>10</v>
      </c>
      <c r="F2938" s="8">
        <v>28.0</v>
      </c>
      <c r="G2938" s="9">
        <v>28.0</v>
      </c>
    </row>
    <row r="2939" ht="14.25" hidden="1" customHeight="1">
      <c r="B2939" s="7" t="s">
        <v>16</v>
      </c>
      <c r="C2939" s="7" t="s">
        <v>30</v>
      </c>
      <c r="D2939" s="7" t="s">
        <v>34</v>
      </c>
      <c r="E2939" s="7" t="s">
        <v>28</v>
      </c>
      <c r="F2939" s="8">
        <v>28.0</v>
      </c>
      <c r="G2939" s="9">
        <v>14.0</v>
      </c>
    </row>
    <row r="2940" ht="14.25" hidden="1" customHeight="1">
      <c r="B2940" s="7" t="s">
        <v>16</v>
      </c>
      <c r="C2940" s="7" t="s">
        <v>7</v>
      </c>
      <c r="D2940" s="7" t="s">
        <v>9</v>
      </c>
      <c r="E2940" s="7" t="s">
        <v>35</v>
      </c>
      <c r="F2940" s="8">
        <v>28.0</v>
      </c>
      <c r="G2940" s="9">
        <v>14.0</v>
      </c>
    </row>
    <row r="2941" ht="14.25" hidden="1" customHeight="1">
      <c r="B2941" s="7" t="s">
        <v>16</v>
      </c>
      <c r="C2941" s="7" t="s">
        <v>29</v>
      </c>
      <c r="D2941" s="7" t="s">
        <v>10</v>
      </c>
      <c r="E2941" s="7" t="s">
        <v>28</v>
      </c>
      <c r="F2941" s="8">
        <v>28.0</v>
      </c>
      <c r="G2941" s="9">
        <v>28.0</v>
      </c>
    </row>
    <row r="2942" ht="14.25" hidden="1" customHeight="1">
      <c r="B2942" s="7" t="s">
        <v>16</v>
      </c>
      <c r="C2942" s="7" t="s">
        <v>7</v>
      </c>
      <c r="D2942" s="7" t="s">
        <v>10</v>
      </c>
      <c r="E2942" s="7" t="s">
        <v>28</v>
      </c>
      <c r="F2942" s="8">
        <v>28.0</v>
      </c>
      <c r="G2942" s="9">
        <v>14.0</v>
      </c>
    </row>
    <row r="2943" ht="14.25" hidden="1" customHeight="1">
      <c r="B2943" s="7" t="s">
        <v>16</v>
      </c>
      <c r="C2943" s="7" t="s">
        <v>7</v>
      </c>
      <c r="D2943" s="7" t="s">
        <v>31</v>
      </c>
      <c r="E2943" s="7" t="s">
        <v>10</v>
      </c>
      <c r="F2943" s="8">
        <v>28.0</v>
      </c>
      <c r="G2943" s="9">
        <v>14.0</v>
      </c>
    </row>
    <row r="2944" ht="14.25" hidden="1" customHeight="1">
      <c r="B2944" s="7" t="s">
        <v>16</v>
      </c>
      <c r="C2944" s="7" t="s">
        <v>30</v>
      </c>
      <c r="D2944" s="7" t="s">
        <v>31</v>
      </c>
      <c r="E2944" s="7" t="s">
        <v>31</v>
      </c>
      <c r="F2944" s="8">
        <v>28.0</v>
      </c>
      <c r="G2944" s="9">
        <v>14.0</v>
      </c>
    </row>
    <row r="2945" ht="14.25" hidden="1" customHeight="1">
      <c r="B2945" s="7" t="s">
        <v>16</v>
      </c>
      <c r="C2945" s="7" t="s">
        <v>7</v>
      </c>
      <c r="D2945" s="7" t="s">
        <v>8</v>
      </c>
      <c r="E2945" s="7" t="s">
        <v>35</v>
      </c>
      <c r="F2945" s="8">
        <v>28.0</v>
      </c>
      <c r="G2945" s="9">
        <v>14.0</v>
      </c>
    </row>
    <row r="2946" ht="14.25" hidden="1" customHeight="1">
      <c r="B2946" s="7" t="s">
        <v>16</v>
      </c>
      <c r="C2946" s="7" t="s">
        <v>7</v>
      </c>
      <c r="D2946" s="7" t="s">
        <v>8</v>
      </c>
      <c r="E2946" s="7" t="s">
        <v>9</v>
      </c>
      <c r="F2946" s="8">
        <v>28.0</v>
      </c>
      <c r="G2946" s="9">
        <v>14.0</v>
      </c>
    </row>
    <row r="2947" ht="14.25" hidden="1" customHeight="1">
      <c r="B2947" s="7" t="s">
        <v>16</v>
      </c>
      <c r="C2947" s="7" t="s">
        <v>29</v>
      </c>
      <c r="D2947" s="7" t="s">
        <v>31</v>
      </c>
      <c r="E2947" s="7" t="s">
        <v>35</v>
      </c>
      <c r="F2947" s="8">
        <v>27.0</v>
      </c>
      <c r="G2947" s="9">
        <v>27.0</v>
      </c>
    </row>
    <row r="2948" ht="14.25" hidden="1" customHeight="1">
      <c r="B2948" s="7" t="s">
        <v>16</v>
      </c>
      <c r="C2948" s="7" t="s">
        <v>7</v>
      </c>
      <c r="D2948" s="7" t="s">
        <v>25</v>
      </c>
      <c r="E2948" s="7" t="s">
        <v>33</v>
      </c>
      <c r="F2948" s="8">
        <v>26.0</v>
      </c>
      <c r="G2948" s="9">
        <v>13.0</v>
      </c>
    </row>
    <row r="2949" ht="14.25" hidden="1" customHeight="1">
      <c r="B2949" s="7" t="s">
        <v>16</v>
      </c>
      <c r="C2949" s="7" t="s">
        <v>7</v>
      </c>
      <c r="D2949" s="7" t="s">
        <v>10</v>
      </c>
      <c r="E2949" s="7" t="s">
        <v>31</v>
      </c>
      <c r="F2949" s="8">
        <v>26.0</v>
      </c>
      <c r="G2949" s="9">
        <v>13.0</v>
      </c>
    </row>
    <row r="2950" ht="14.25" hidden="1" customHeight="1">
      <c r="B2950" s="7" t="s">
        <v>16</v>
      </c>
      <c r="C2950" s="7" t="s">
        <v>29</v>
      </c>
      <c r="D2950" s="7" t="s">
        <v>8</v>
      </c>
      <c r="E2950" s="7" t="s">
        <v>9</v>
      </c>
      <c r="F2950" s="8">
        <v>26.0</v>
      </c>
      <c r="G2950" s="9">
        <v>26.0</v>
      </c>
    </row>
    <row r="2951" ht="14.25" hidden="1" customHeight="1">
      <c r="B2951" s="7" t="s">
        <v>16</v>
      </c>
      <c r="C2951" s="7" t="s">
        <v>29</v>
      </c>
      <c r="D2951" s="7" t="s">
        <v>11</v>
      </c>
      <c r="E2951" s="7" t="s">
        <v>25</v>
      </c>
      <c r="F2951" s="8">
        <v>25.0</v>
      </c>
      <c r="G2951" s="9">
        <v>25.0</v>
      </c>
    </row>
    <row r="2952" ht="14.25" customHeight="1">
      <c r="B2952" s="7" t="s">
        <v>16</v>
      </c>
      <c r="C2952" s="7" t="s">
        <v>29</v>
      </c>
      <c r="D2952" s="7" t="s">
        <v>8</v>
      </c>
      <c r="E2952" s="7" t="s">
        <v>31</v>
      </c>
      <c r="F2952" s="8">
        <v>25.0</v>
      </c>
      <c r="G2952" s="9">
        <v>25.0</v>
      </c>
    </row>
    <row r="2953" ht="14.25" hidden="1" customHeight="1">
      <c r="B2953" s="7" t="s">
        <v>16</v>
      </c>
      <c r="C2953" s="7" t="s">
        <v>29</v>
      </c>
      <c r="D2953" s="7" t="s">
        <v>25</v>
      </c>
      <c r="E2953" s="7" t="s">
        <v>28</v>
      </c>
      <c r="F2953" s="8">
        <v>24.0</v>
      </c>
      <c r="G2953" s="9">
        <v>24.0</v>
      </c>
    </row>
    <row r="2954" ht="14.25" hidden="1" customHeight="1">
      <c r="B2954" s="7" t="s">
        <v>16</v>
      </c>
      <c r="C2954" s="7" t="s">
        <v>29</v>
      </c>
      <c r="D2954" s="7" t="s">
        <v>33</v>
      </c>
      <c r="E2954" s="7" t="s">
        <v>25</v>
      </c>
      <c r="F2954" s="8">
        <v>24.0</v>
      </c>
      <c r="G2954" s="9">
        <v>24.0</v>
      </c>
    </row>
    <row r="2955" ht="14.25" hidden="1" customHeight="1">
      <c r="B2955" s="7" t="s">
        <v>16</v>
      </c>
      <c r="C2955" s="7" t="s">
        <v>7</v>
      </c>
      <c r="D2955" s="7" t="s">
        <v>33</v>
      </c>
      <c r="E2955" s="7" t="s">
        <v>8</v>
      </c>
      <c r="F2955" s="8">
        <v>24.0</v>
      </c>
      <c r="G2955" s="9">
        <v>12.0</v>
      </c>
    </row>
    <row r="2956" ht="14.25" hidden="1" customHeight="1">
      <c r="B2956" s="7" t="s">
        <v>16</v>
      </c>
      <c r="C2956" s="7" t="s">
        <v>7</v>
      </c>
      <c r="D2956" s="7" t="s">
        <v>9</v>
      </c>
      <c r="E2956" s="7" t="s">
        <v>10</v>
      </c>
      <c r="F2956" s="8">
        <v>24.0</v>
      </c>
      <c r="G2956" s="9">
        <v>12.0</v>
      </c>
    </row>
    <row r="2957" ht="14.25" hidden="1" customHeight="1">
      <c r="B2957" s="7" t="s">
        <v>16</v>
      </c>
      <c r="C2957" s="7" t="s">
        <v>29</v>
      </c>
      <c r="D2957" s="7" t="s">
        <v>9</v>
      </c>
      <c r="E2957" s="7" t="s">
        <v>31</v>
      </c>
      <c r="F2957" s="8">
        <v>24.0</v>
      </c>
      <c r="G2957" s="9">
        <v>24.0</v>
      </c>
    </row>
    <row r="2958" ht="14.25" hidden="1" customHeight="1">
      <c r="B2958" s="7" t="s">
        <v>16</v>
      </c>
      <c r="C2958" s="7" t="s">
        <v>7</v>
      </c>
      <c r="D2958" s="7" t="s">
        <v>32</v>
      </c>
      <c r="E2958" s="7" t="s">
        <v>25</v>
      </c>
      <c r="F2958" s="8">
        <v>24.0</v>
      </c>
      <c r="G2958" s="9">
        <v>12.0</v>
      </c>
    </row>
    <row r="2959" ht="14.25" hidden="1" customHeight="1">
      <c r="B2959" s="7" t="s">
        <v>16</v>
      </c>
      <c r="C2959" s="7" t="s">
        <v>7</v>
      </c>
      <c r="D2959" s="7" t="s">
        <v>31</v>
      </c>
      <c r="E2959" s="7" t="s">
        <v>25</v>
      </c>
      <c r="F2959" s="8">
        <v>24.0</v>
      </c>
      <c r="G2959" s="9">
        <v>24.0</v>
      </c>
    </row>
    <row r="2960" ht="14.25" hidden="1" customHeight="1">
      <c r="B2960" s="7" t="s">
        <v>16</v>
      </c>
      <c r="C2960" s="7" t="s">
        <v>30</v>
      </c>
      <c r="D2960" s="7" t="s">
        <v>31</v>
      </c>
      <c r="E2960" s="7" t="s">
        <v>24</v>
      </c>
      <c r="F2960" s="8">
        <v>22.0</v>
      </c>
      <c r="G2960" s="9">
        <v>11.0</v>
      </c>
    </row>
    <row r="2961" ht="14.25" hidden="1" customHeight="1">
      <c r="B2961" s="7" t="s">
        <v>16</v>
      </c>
      <c r="C2961" s="7" t="s">
        <v>7</v>
      </c>
      <c r="D2961" s="7" t="s">
        <v>31</v>
      </c>
      <c r="E2961" s="7" t="s">
        <v>10</v>
      </c>
      <c r="F2961" s="8">
        <v>22.0</v>
      </c>
      <c r="G2961" s="9">
        <v>11.0</v>
      </c>
    </row>
    <row r="2962" ht="14.25" hidden="1" customHeight="1">
      <c r="B2962" s="7" t="s">
        <v>16</v>
      </c>
      <c r="C2962" s="7" t="s">
        <v>29</v>
      </c>
      <c r="D2962" s="7" t="s">
        <v>24</v>
      </c>
      <c r="E2962" s="7" t="s">
        <v>31</v>
      </c>
      <c r="F2962" s="8">
        <v>21.0</v>
      </c>
      <c r="G2962" s="9">
        <v>21.0</v>
      </c>
    </row>
    <row r="2963" ht="14.25" hidden="1" customHeight="1">
      <c r="B2963" s="7" t="s">
        <v>16</v>
      </c>
      <c r="C2963" s="7" t="s">
        <v>29</v>
      </c>
      <c r="D2963" s="7" t="s">
        <v>10</v>
      </c>
      <c r="E2963" s="7" t="s">
        <v>8</v>
      </c>
      <c r="F2963" s="8">
        <v>21.0</v>
      </c>
      <c r="G2963" s="9">
        <v>21.0</v>
      </c>
    </row>
    <row r="2964" ht="14.25" hidden="1" customHeight="1">
      <c r="B2964" s="7" t="s">
        <v>16</v>
      </c>
      <c r="C2964" s="7" t="s">
        <v>7</v>
      </c>
      <c r="D2964" s="7" t="s">
        <v>24</v>
      </c>
      <c r="E2964" s="7" t="s">
        <v>10</v>
      </c>
      <c r="F2964" s="8">
        <v>20.0</v>
      </c>
      <c r="G2964" s="9">
        <v>10.0</v>
      </c>
    </row>
    <row r="2965" ht="14.25" hidden="1" customHeight="1">
      <c r="B2965" s="7" t="s">
        <v>16</v>
      </c>
      <c r="C2965" s="7" t="s">
        <v>30</v>
      </c>
      <c r="D2965" s="7" t="s">
        <v>10</v>
      </c>
      <c r="E2965" s="7" t="s">
        <v>25</v>
      </c>
      <c r="F2965" s="8">
        <v>20.0</v>
      </c>
      <c r="G2965" s="9">
        <v>10.0</v>
      </c>
    </row>
    <row r="2966" ht="14.25" hidden="1" customHeight="1">
      <c r="B2966" s="7" t="s">
        <v>16</v>
      </c>
      <c r="C2966" s="7" t="s">
        <v>7</v>
      </c>
      <c r="D2966" s="7" t="s">
        <v>10</v>
      </c>
      <c r="E2966" s="7" t="s">
        <v>9</v>
      </c>
      <c r="F2966" s="8">
        <v>20.0</v>
      </c>
      <c r="G2966" s="9">
        <v>10.0</v>
      </c>
    </row>
    <row r="2967" ht="14.25" hidden="1" customHeight="1">
      <c r="B2967" s="7" t="s">
        <v>16</v>
      </c>
      <c r="C2967" s="7" t="s">
        <v>29</v>
      </c>
      <c r="D2967" s="7" t="s">
        <v>10</v>
      </c>
      <c r="E2967" s="7" t="s">
        <v>8</v>
      </c>
      <c r="F2967" s="8">
        <v>20.0</v>
      </c>
      <c r="G2967" s="9">
        <v>20.0</v>
      </c>
    </row>
    <row r="2968" ht="14.25" hidden="1" customHeight="1">
      <c r="B2968" s="7" t="s">
        <v>16</v>
      </c>
      <c r="C2968" s="7" t="s">
        <v>29</v>
      </c>
      <c r="D2968" s="7" t="s">
        <v>32</v>
      </c>
      <c r="E2968" s="7" t="s">
        <v>35</v>
      </c>
      <c r="F2968" s="8">
        <v>20.0</v>
      </c>
      <c r="G2968" s="9">
        <v>20.0</v>
      </c>
    </row>
    <row r="2969" ht="14.25" hidden="1" customHeight="1">
      <c r="B2969" s="7" t="s">
        <v>16</v>
      </c>
      <c r="C2969" s="7" t="s">
        <v>7</v>
      </c>
      <c r="D2969" s="7" t="s">
        <v>31</v>
      </c>
      <c r="E2969" s="7" t="s">
        <v>35</v>
      </c>
      <c r="F2969" s="8">
        <v>20.0</v>
      </c>
      <c r="G2969" s="9">
        <v>10.0</v>
      </c>
    </row>
    <row r="2970" ht="14.25" hidden="1" customHeight="1">
      <c r="B2970" s="7" t="s">
        <v>16</v>
      </c>
      <c r="C2970" s="7" t="s">
        <v>7</v>
      </c>
      <c r="D2970" s="7" t="s">
        <v>8</v>
      </c>
      <c r="E2970" s="7" t="s">
        <v>28</v>
      </c>
      <c r="F2970" s="8">
        <v>20.0</v>
      </c>
      <c r="G2970" s="9">
        <v>10.0</v>
      </c>
    </row>
    <row r="2971" ht="14.25" hidden="1" customHeight="1">
      <c r="B2971" s="7" t="s">
        <v>16</v>
      </c>
      <c r="C2971" s="7" t="s">
        <v>29</v>
      </c>
      <c r="D2971" s="7" t="s">
        <v>11</v>
      </c>
      <c r="E2971" s="7" t="s">
        <v>25</v>
      </c>
      <c r="F2971" s="8">
        <v>18.0</v>
      </c>
      <c r="G2971" s="9">
        <v>18.0</v>
      </c>
    </row>
    <row r="2972" ht="14.25" hidden="1" customHeight="1">
      <c r="B2972" s="7" t="s">
        <v>16</v>
      </c>
      <c r="C2972" s="7" t="s">
        <v>29</v>
      </c>
      <c r="D2972" s="7" t="s">
        <v>34</v>
      </c>
      <c r="E2972" s="7" t="s">
        <v>28</v>
      </c>
      <c r="F2972" s="8">
        <v>18.0</v>
      </c>
      <c r="G2972" s="9">
        <v>18.0</v>
      </c>
    </row>
    <row r="2973" ht="14.25" hidden="1" customHeight="1">
      <c r="B2973" s="7" t="s">
        <v>16</v>
      </c>
      <c r="C2973" s="7" t="s">
        <v>29</v>
      </c>
      <c r="D2973" s="7" t="s">
        <v>9</v>
      </c>
      <c r="E2973" s="7" t="s">
        <v>25</v>
      </c>
      <c r="F2973" s="8">
        <v>18.0</v>
      </c>
      <c r="G2973" s="9">
        <v>18.0</v>
      </c>
    </row>
    <row r="2974" ht="14.25" hidden="1" customHeight="1">
      <c r="B2974" s="7" t="s">
        <v>16</v>
      </c>
      <c r="C2974" s="7" t="s">
        <v>30</v>
      </c>
      <c r="D2974" s="7" t="s">
        <v>10</v>
      </c>
      <c r="E2974" s="7" t="s">
        <v>9</v>
      </c>
      <c r="F2974" s="8">
        <v>18.0</v>
      </c>
      <c r="G2974" s="9">
        <v>9.0</v>
      </c>
    </row>
    <row r="2975" ht="14.25" hidden="1" customHeight="1">
      <c r="B2975" s="7" t="s">
        <v>16</v>
      </c>
      <c r="C2975" s="7" t="s">
        <v>7</v>
      </c>
      <c r="D2975" s="7" t="s">
        <v>10</v>
      </c>
      <c r="E2975" s="7" t="s">
        <v>31</v>
      </c>
      <c r="F2975" s="8">
        <v>18.0</v>
      </c>
      <c r="G2975" s="9">
        <v>9.0</v>
      </c>
    </row>
    <row r="2976" ht="14.25" hidden="1" customHeight="1">
      <c r="B2976" s="7" t="s">
        <v>16</v>
      </c>
      <c r="C2976" s="7" t="s">
        <v>30</v>
      </c>
      <c r="D2976" s="7" t="s">
        <v>32</v>
      </c>
      <c r="E2976" s="7" t="s">
        <v>9</v>
      </c>
      <c r="F2976" s="8">
        <v>18.0</v>
      </c>
      <c r="G2976" s="9">
        <v>9.0</v>
      </c>
    </row>
    <row r="2977" ht="14.25" hidden="1" customHeight="1">
      <c r="B2977" s="7" t="s">
        <v>16</v>
      </c>
      <c r="C2977" s="7" t="s">
        <v>7</v>
      </c>
      <c r="D2977" s="7" t="s">
        <v>8</v>
      </c>
      <c r="E2977" s="7" t="s">
        <v>25</v>
      </c>
      <c r="F2977" s="8">
        <v>18.0</v>
      </c>
      <c r="G2977" s="9">
        <v>9.0</v>
      </c>
    </row>
    <row r="2978" ht="14.25" customHeight="1">
      <c r="B2978" s="7" t="s">
        <v>16</v>
      </c>
      <c r="C2978" s="7" t="s">
        <v>30</v>
      </c>
      <c r="D2978" s="7" t="s">
        <v>8</v>
      </c>
      <c r="E2978" s="7" t="s">
        <v>31</v>
      </c>
      <c r="F2978" s="8">
        <v>18.0</v>
      </c>
      <c r="G2978" s="9">
        <v>9.0</v>
      </c>
    </row>
    <row r="2979" ht="14.25" hidden="1" customHeight="1">
      <c r="B2979" s="7" t="s">
        <v>16</v>
      </c>
      <c r="C2979" s="7" t="s">
        <v>29</v>
      </c>
      <c r="D2979" s="7" t="s">
        <v>25</v>
      </c>
      <c r="E2979" s="7" t="s">
        <v>28</v>
      </c>
      <c r="F2979" s="8">
        <v>17.0</v>
      </c>
      <c r="G2979" s="9">
        <v>17.0</v>
      </c>
    </row>
    <row r="2980" ht="14.25" hidden="1" customHeight="1">
      <c r="B2980" s="7" t="s">
        <v>16</v>
      </c>
      <c r="C2980" s="7" t="s">
        <v>30</v>
      </c>
      <c r="D2980" s="7" t="s">
        <v>10</v>
      </c>
      <c r="E2980" s="7" t="s">
        <v>28</v>
      </c>
      <c r="F2980" s="8">
        <v>16.0</v>
      </c>
      <c r="G2980" s="9">
        <v>8.0</v>
      </c>
    </row>
    <row r="2981" ht="14.25" hidden="1" customHeight="1">
      <c r="B2981" s="7" t="s">
        <v>16</v>
      </c>
      <c r="C2981" s="7" t="s">
        <v>7</v>
      </c>
      <c r="D2981" s="7" t="s">
        <v>31</v>
      </c>
      <c r="E2981" s="7" t="s">
        <v>33</v>
      </c>
      <c r="F2981" s="8">
        <v>16.0</v>
      </c>
      <c r="G2981" s="9">
        <v>8.0</v>
      </c>
    </row>
    <row r="2982" ht="14.25" hidden="1" customHeight="1">
      <c r="B2982" s="7" t="s">
        <v>16</v>
      </c>
      <c r="C2982" s="7" t="s">
        <v>29</v>
      </c>
      <c r="D2982" s="7" t="s">
        <v>31</v>
      </c>
      <c r="E2982" s="7" t="s">
        <v>31</v>
      </c>
      <c r="F2982" s="8">
        <v>16.0</v>
      </c>
      <c r="G2982" s="9">
        <v>16.0</v>
      </c>
    </row>
    <row r="2983" ht="14.25" hidden="1" customHeight="1">
      <c r="B2983" s="7" t="s">
        <v>16</v>
      </c>
      <c r="C2983" s="7" t="s">
        <v>7</v>
      </c>
      <c r="D2983" s="7" t="s">
        <v>31</v>
      </c>
      <c r="E2983" s="7" t="s">
        <v>31</v>
      </c>
      <c r="F2983" s="8">
        <v>16.0</v>
      </c>
      <c r="G2983" s="9">
        <v>8.0</v>
      </c>
    </row>
    <row r="2984" ht="14.25" hidden="1" customHeight="1">
      <c r="B2984" s="7" t="s">
        <v>16</v>
      </c>
      <c r="C2984" s="7" t="s">
        <v>29</v>
      </c>
      <c r="D2984" s="7" t="s">
        <v>32</v>
      </c>
      <c r="E2984" s="7" t="s">
        <v>28</v>
      </c>
      <c r="F2984" s="8">
        <v>15.0</v>
      </c>
      <c r="G2984" s="9">
        <v>15.0</v>
      </c>
    </row>
    <row r="2985" ht="14.25" hidden="1" customHeight="1">
      <c r="B2985" s="7" t="s">
        <v>16</v>
      </c>
      <c r="C2985" s="7" t="s">
        <v>7</v>
      </c>
      <c r="D2985" s="7" t="s">
        <v>33</v>
      </c>
      <c r="E2985" s="7" t="s">
        <v>35</v>
      </c>
      <c r="F2985" s="8">
        <v>14.0</v>
      </c>
      <c r="G2985" s="9">
        <v>7.0</v>
      </c>
    </row>
    <row r="2986" ht="14.25" hidden="1" customHeight="1">
      <c r="B2986" s="7" t="s">
        <v>16</v>
      </c>
      <c r="C2986" s="7" t="s">
        <v>30</v>
      </c>
      <c r="D2986" s="7" t="s">
        <v>33</v>
      </c>
      <c r="E2986" s="7" t="s">
        <v>9</v>
      </c>
      <c r="F2986" s="8">
        <v>14.0</v>
      </c>
      <c r="G2986" s="9">
        <v>7.0</v>
      </c>
    </row>
    <row r="2987" ht="14.25" hidden="1" customHeight="1">
      <c r="B2987" s="7" t="s">
        <v>16</v>
      </c>
      <c r="C2987" s="7" t="s">
        <v>7</v>
      </c>
      <c r="D2987" s="7" t="s">
        <v>9</v>
      </c>
      <c r="E2987" s="7" t="s">
        <v>31</v>
      </c>
      <c r="F2987" s="8">
        <v>14.0</v>
      </c>
      <c r="G2987" s="9">
        <v>7.0</v>
      </c>
    </row>
    <row r="2988" ht="14.25" hidden="1" customHeight="1">
      <c r="B2988" s="7" t="s">
        <v>16</v>
      </c>
      <c r="C2988" s="7" t="s">
        <v>7</v>
      </c>
      <c r="D2988" s="7" t="s">
        <v>8</v>
      </c>
      <c r="E2988" s="7" t="s">
        <v>33</v>
      </c>
      <c r="F2988" s="8">
        <v>14.0</v>
      </c>
      <c r="G2988" s="9">
        <v>7.0</v>
      </c>
    </row>
    <row r="2989" ht="14.25" hidden="1" customHeight="1">
      <c r="B2989" s="7" t="s">
        <v>16</v>
      </c>
      <c r="C2989" s="7" t="s">
        <v>29</v>
      </c>
      <c r="D2989" s="7" t="s">
        <v>8</v>
      </c>
      <c r="E2989" s="7" t="s">
        <v>9</v>
      </c>
      <c r="F2989" s="8">
        <v>14.0</v>
      </c>
      <c r="G2989" s="9">
        <v>14.0</v>
      </c>
    </row>
    <row r="2990" ht="14.25" hidden="1" customHeight="1">
      <c r="B2990" s="7" t="s">
        <v>16</v>
      </c>
      <c r="C2990" s="7" t="s">
        <v>29</v>
      </c>
      <c r="D2990" s="7" t="s">
        <v>25</v>
      </c>
      <c r="E2990" s="7" t="s">
        <v>31</v>
      </c>
      <c r="F2990" s="8">
        <v>13.0</v>
      </c>
      <c r="G2990" s="9">
        <v>13.0</v>
      </c>
    </row>
    <row r="2991" ht="14.25" hidden="1" customHeight="1">
      <c r="B2991" s="7" t="s">
        <v>16</v>
      </c>
      <c r="C2991" s="7" t="s">
        <v>29</v>
      </c>
      <c r="D2991" s="7" t="s">
        <v>9</v>
      </c>
      <c r="E2991" s="7" t="s">
        <v>31</v>
      </c>
      <c r="F2991" s="8">
        <v>13.0</v>
      </c>
      <c r="G2991" s="9">
        <v>13.0</v>
      </c>
    </row>
    <row r="2992" ht="14.25" hidden="1" customHeight="1">
      <c r="B2992" s="7" t="s">
        <v>16</v>
      </c>
      <c r="C2992" s="7" t="s">
        <v>29</v>
      </c>
      <c r="D2992" s="7" t="s">
        <v>32</v>
      </c>
      <c r="E2992" s="7" t="s">
        <v>8</v>
      </c>
      <c r="F2992" s="8">
        <v>13.0</v>
      </c>
      <c r="G2992" s="9">
        <v>13.0</v>
      </c>
    </row>
    <row r="2993" ht="14.25" hidden="1" customHeight="1">
      <c r="B2993" s="7" t="s">
        <v>16</v>
      </c>
      <c r="C2993" s="7" t="s">
        <v>29</v>
      </c>
      <c r="D2993" s="7" t="s">
        <v>8</v>
      </c>
      <c r="E2993" s="7" t="s">
        <v>25</v>
      </c>
      <c r="F2993" s="8">
        <v>13.0</v>
      </c>
      <c r="G2993" s="9">
        <v>13.0</v>
      </c>
    </row>
    <row r="2994" ht="14.25" hidden="1" customHeight="1">
      <c r="B2994" s="7" t="s">
        <v>16</v>
      </c>
      <c r="C2994" s="7" t="s">
        <v>29</v>
      </c>
      <c r="D2994" s="7" t="s">
        <v>25</v>
      </c>
      <c r="E2994" s="7" t="s">
        <v>8</v>
      </c>
      <c r="F2994" s="8">
        <v>12.0</v>
      </c>
      <c r="G2994" s="9">
        <v>12.0</v>
      </c>
    </row>
    <row r="2995" ht="14.25" hidden="1" customHeight="1">
      <c r="B2995" s="7" t="s">
        <v>16</v>
      </c>
      <c r="C2995" s="7" t="s">
        <v>7</v>
      </c>
      <c r="D2995" s="7" t="s">
        <v>25</v>
      </c>
      <c r="E2995" s="7" t="s">
        <v>8</v>
      </c>
      <c r="F2995" s="8">
        <v>12.0</v>
      </c>
      <c r="G2995" s="9">
        <v>6.0</v>
      </c>
    </row>
    <row r="2996" ht="14.25" hidden="1" customHeight="1">
      <c r="B2996" s="7" t="s">
        <v>16</v>
      </c>
      <c r="C2996" s="7" t="s">
        <v>30</v>
      </c>
      <c r="D2996" s="7" t="s">
        <v>11</v>
      </c>
      <c r="E2996" s="7" t="s">
        <v>10</v>
      </c>
      <c r="F2996" s="8">
        <v>12.0</v>
      </c>
      <c r="G2996" s="9">
        <v>6.0</v>
      </c>
    </row>
    <row r="2997" ht="14.25" hidden="1" customHeight="1">
      <c r="B2997" s="7" t="s">
        <v>16</v>
      </c>
      <c r="C2997" s="7" t="s">
        <v>7</v>
      </c>
      <c r="D2997" s="7" t="s">
        <v>34</v>
      </c>
      <c r="E2997" s="7" t="s">
        <v>28</v>
      </c>
      <c r="F2997" s="8">
        <v>12.0</v>
      </c>
      <c r="G2997" s="9">
        <v>6.0</v>
      </c>
    </row>
    <row r="2998" ht="14.25" hidden="1" customHeight="1">
      <c r="B2998" s="7" t="s">
        <v>16</v>
      </c>
      <c r="C2998" s="7" t="s">
        <v>29</v>
      </c>
      <c r="D2998" s="7" t="s">
        <v>9</v>
      </c>
      <c r="E2998" s="7" t="s">
        <v>32</v>
      </c>
      <c r="F2998" s="8">
        <v>12.0</v>
      </c>
      <c r="G2998" s="9">
        <v>12.0</v>
      </c>
    </row>
    <row r="2999" ht="14.25" hidden="1" customHeight="1">
      <c r="B2999" s="7" t="s">
        <v>16</v>
      </c>
      <c r="C2999" s="7" t="s">
        <v>30</v>
      </c>
      <c r="D2999" s="7" t="s">
        <v>10</v>
      </c>
      <c r="E2999" s="7" t="s">
        <v>33</v>
      </c>
      <c r="F2999" s="8">
        <v>12.0</v>
      </c>
      <c r="G2999" s="9">
        <v>6.0</v>
      </c>
    </row>
    <row r="3000" ht="14.25" hidden="1" customHeight="1">
      <c r="B3000" s="7" t="s">
        <v>16</v>
      </c>
      <c r="C3000" s="7" t="s">
        <v>7</v>
      </c>
      <c r="D3000" s="7" t="s">
        <v>32</v>
      </c>
      <c r="E3000" s="7" t="s">
        <v>28</v>
      </c>
      <c r="F3000" s="8">
        <v>12.0</v>
      </c>
      <c r="G3000" s="9">
        <v>6.0</v>
      </c>
    </row>
    <row r="3001" ht="14.25" hidden="1" customHeight="1">
      <c r="B3001" s="7" t="s">
        <v>16</v>
      </c>
      <c r="C3001" s="7" t="s">
        <v>7</v>
      </c>
      <c r="D3001" s="7" t="s">
        <v>31</v>
      </c>
      <c r="E3001" s="7" t="s">
        <v>28</v>
      </c>
      <c r="F3001" s="8">
        <v>12.0</v>
      </c>
      <c r="G3001" s="9">
        <v>6.0</v>
      </c>
    </row>
    <row r="3002" ht="14.25" hidden="1" customHeight="1">
      <c r="B3002" s="7" t="s">
        <v>16</v>
      </c>
      <c r="C3002" s="7" t="s">
        <v>7</v>
      </c>
      <c r="D3002" s="7" t="s">
        <v>31</v>
      </c>
      <c r="E3002" s="7" t="s">
        <v>8</v>
      </c>
      <c r="F3002" s="8">
        <v>12.0</v>
      </c>
      <c r="G3002" s="9">
        <v>6.0</v>
      </c>
    </row>
    <row r="3003" ht="14.25" hidden="1" customHeight="1">
      <c r="B3003" s="7" t="s">
        <v>16</v>
      </c>
      <c r="C3003" s="7" t="s">
        <v>7</v>
      </c>
      <c r="D3003" s="7" t="s">
        <v>8</v>
      </c>
      <c r="E3003" s="7" t="s">
        <v>35</v>
      </c>
      <c r="F3003" s="8">
        <v>12.0</v>
      </c>
      <c r="G3003" s="9">
        <v>6.0</v>
      </c>
    </row>
    <row r="3004" ht="14.25" hidden="1" customHeight="1">
      <c r="B3004" s="7" t="s">
        <v>16</v>
      </c>
      <c r="C3004" s="7" t="s">
        <v>30</v>
      </c>
      <c r="D3004" s="7" t="s">
        <v>8</v>
      </c>
      <c r="E3004" s="7" t="s">
        <v>35</v>
      </c>
      <c r="F3004" s="8">
        <v>12.0</v>
      </c>
      <c r="G3004" s="9">
        <v>6.0</v>
      </c>
    </row>
    <row r="3005" ht="14.25" hidden="1" customHeight="1">
      <c r="B3005" s="7" t="s">
        <v>16</v>
      </c>
      <c r="C3005" s="7" t="s">
        <v>29</v>
      </c>
      <c r="D3005" s="7" t="s">
        <v>28</v>
      </c>
      <c r="E3005" s="7" t="s">
        <v>8</v>
      </c>
      <c r="F3005" s="8">
        <v>11.0</v>
      </c>
      <c r="G3005" s="9">
        <v>11.0</v>
      </c>
    </row>
    <row r="3006" ht="14.25" hidden="1" customHeight="1">
      <c r="B3006" s="7" t="s">
        <v>16</v>
      </c>
      <c r="C3006" s="7" t="s">
        <v>29</v>
      </c>
      <c r="D3006" s="7" t="s">
        <v>28</v>
      </c>
      <c r="E3006" s="7" t="s">
        <v>8</v>
      </c>
      <c r="F3006" s="8">
        <v>11.0</v>
      </c>
      <c r="G3006" s="9">
        <v>11.0</v>
      </c>
    </row>
    <row r="3007" ht="14.25" hidden="1" customHeight="1">
      <c r="B3007" s="7" t="s">
        <v>16</v>
      </c>
      <c r="C3007" s="7" t="s">
        <v>29</v>
      </c>
      <c r="D3007" s="7" t="s">
        <v>10</v>
      </c>
      <c r="E3007" s="7" t="s">
        <v>8</v>
      </c>
      <c r="F3007" s="8">
        <v>11.0</v>
      </c>
      <c r="G3007" s="9">
        <v>11.0</v>
      </c>
    </row>
    <row r="3008" ht="14.25" hidden="1" customHeight="1">
      <c r="B3008" s="7" t="s">
        <v>16</v>
      </c>
      <c r="C3008" s="7" t="s">
        <v>29</v>
      </c>
      <c r="D3008" s="7" t="s">
        <v>25</v>
      </c>
      <c r="E3008" s="7" t="s">
        <v>10</v>
      </c>
      <c r="F3008" s="8">
        <v>10.0</v>
      </c>
      <c r="G3008" s="9">
        <v>10.0</v>
      </c>
    </row>
    <row r="3009" ht="14.25" hidden="1" customHeight="1">
      <c r="B3009" s="7" t="s">
        <v>16</v>
      </c>
      <c r="C3009" s="7" t="s">
        <v>29</v>
      </c>
      <c r="D3009" s="7" t="s">
        <v>25</v>
      </c>
      <c r="E3009" s="7" t="s">
        <v>8</v>
      </c>
      <c r="F3009" s="8">
        <v>10.0</v>
      </c>
      <c r="G3009" s="9">
        <v>10.0</v>
      </c>
    </row>
    <row r="3010" ht="14.25" hidden="1" customHeight="1">
      <c r="B3010" s="7" t="s">
        <v>16</v>
      </c>
      <c r="C3010" s="7" t="s">
        <v>29</v>
      </c>
      <c r="D3010" s="7" t="s">
        <v>33</v>
      </c>
      <c r="E3010" s="7" t="s">
        <v>25</v>
      </c>
      <c r="F3010" s="8">
        <v>10.0</v>
      </c>
      <c r="G3010" s="9">
        <v>10.0</v>
      </c>
    </row>
    <row r="3011" ht="14.25" hidden="1" customHeight="1">
      <c r="B3011" s="7" t="s">
        <v>16</v>
      </c>
      <c r="C3011" s="7" t="s">
        <v>30</v>
      </c>
      <c r="D3011" s="7" t="s">
        <v>28</v>
      </c>
      <c r="E3011" s="7" t="s">
        <v>31</v>
      </c>
      <c r="F3011" s="8">
        <v>10.0</v>
      </c>
      <c r="G3011" s="9">
        <v>5.0</v>
      </c>
    </row>
    <row r="3012" ht="14.25" hidden="1" customHeight="1">
      <c r="B3012" s="7" t="s">
        <v>16</v>
      </c>
      <c r="C3012" s="7" t="s">
        <v>30</v>
      </c>
      <c r="D3012" s="7" t="s">
        <v>34</v>
      </c>
      <c r="E3012" s="7" t="s">
        <v>8</v>
      </c>
      <c r="F3012" s="8">
        <v>10.0</v>
      </c>
      <c r="G3012" s="9">
        <v>5.0</v>
      </c>
    </row>
    <row r="3013" ht="14.25" hidden="1" customHeight="1">
      <c r="B3013" s="7" t="s">
        <v>16</v>
      </c>
      <c r="C3013" s="7" t="s">
        <v>30</v>
      </c>
      <c r="D3013" s="7" t="s">
        <v>9</v>
      </c>
      <c r="E3013" s="7" t="s">
        <v>8</v>
      </c>
      <c r="F3013" s="8">
        <v>10.0</v>
      </c>
      <c r="G3013" s="9">
        <v>5.0</v>
      </c>
    </row>
    <row r="3014" ht="14.25" hidden="1" customHeight="1">
      <c r="B3014" s="7" t="s">
        <v>16</v>
      </c>
      <c r="C3014" s="7" t="s">
        <v>30</v>
      </c>
      <c r="D3014" s="7" t="s">
        <v>24</v>
      </c>
      <c r="E3014" s="7" t="s">
        <v>10</v>
      </c>
      <c r="F3014" s="8">
        <v>10.0</v>
      </c>
      <c r="G3014" s="9">
        <v>5.0</v>
      </c>
    </row>
    <row r="3015" ht="14.25" hidden="1" customHeight="1">
      <c r="B3015" s="7" t="s">
        <v>16</v>
      </c>
      <c r="C3015" s="7" t="s">
        <v>29</v>
      </c>
      <c r="D3015" s="7" t="s">
        <v>24</v>
      </c>
      <c r="E3015" s="7" t="s">
        <v>31</v>
      </c>
      <c r="F3015" s="8">
        <v>10.0</v>
      </c>
      <c r="G3015" s="9">
        <v>10.0</v>
      </c>
    </row>
    <row r="3016" ht="14.25" hidden="1" customHeight="1">
      <c r="B3016" s="7" t="s">
        <v>16</v>
      </c>
      <c r="C3016" s="7" t="s">
        <v>30</v>
      </c>
      <c r="D3016" s="7" t="s">
        <v>24</v>
      </c>
      <c r="E3016" s="7" t="s">
        <v>8</v>
      </c>
      <c r="F3016" s="8">
        <v>10.0</v>
      </c>
      <c r="G3016" s="9">
        <v>5.0</v>
      </c>
    </row>
    <row r="3017" ht="14.25" hidden="1" customHeight="1">
      <c r="B3017" s="7" t="s">
        <v>16</v>
      </c>
      <c r="C3017" s="7" t="s">
        <v>29</v>
      </c>
      <c r="D3017" s="7" t="s">
        <v>10</v>
      </c>
      <c r="E3017" s="7" t="s">
        <v>33</v>
      </c>
      <c r="F3017" s="8">
        <v>10.0</v>
      </c>
      <c r="G3017" s="9">
        <v>10.0</v>
      </c>
    </row>
    <row r="3018" ht="14.25" hidden="1" customHeight="1">
      <c r="B3018" s="7" t="s">
        <v>16</v>
      </c>
      <c r="C3018" s="7" t="s">
        <v>7</v>
      </c>
      <c r="D3018" s="7" t="s">
        <v>10</v>
      </c>
      <c r="E3018" s="7" t="s">
        <v>9</v>
      </c>
      <c r="F3018" s="8">
        <v>10.0</v>
      </c>
      <c r="G3018" s="9">
        <v>5.0</v>
      </c>
    </row>
    <row r="3019" ht="14.25" hidden="1" customHeight="1">
      <c r="B3019" s="7" t="s">
        <v>16</v>
      </c>
      <c r="C3019" s="7" t="s">
        <v>7</v>
      </c>
      <c r="D3019" s="7" t="s">
        <v>10</v>
      </c>
      <c r="E3019" s="7" t="s">
        <v>24</v>
      </c>
      <c r="F3019" s="8">
        <v>10.0</v>
      </c>
      <c r="G3019" s="9">
        <v>5.0</v>
      </c>
    </row>
    <row r="3020" ht="14.25" hidden="1" customHeight="1">
      <c r="B3020" s="7" t="s">
        <v>16</v>
      </c>
      <c r="C3020" s="7" t="s">
        <v>29</v>
      </c>
      <c r="D3020" s="7" t="s">
        <v>32</v>
      </c>
      <c r="E3020" s="7" t="s">
        <v>25</v>
      </c>
      <c r="F3020" s="8">
        <v>10.0</v>
      </c>
      <c r="G3020" s="9">
        <v>10.0</v>
      </c>
    </row>
    <row r="3021" ht="14.25" hidden="1" customHeight="1">
      <c r="B3021" s="7" t="s">
        <v>16</v>
      </c>
      <c r="C3021" s="7" t="s">
        <v>7</v>
      </c>
      <c r="D3021" s="7" t="s">
        <v>32</v>
      </c>
      <c r="E3021" s="7" t="s">
        <v>35</v>
      </c>
      <c r="F3021" s="8">
        <v>10.0</v>
      </c>
      <c r="G3021" s="9">
        <v>5.0</v>
      </c>
    </row>
    <row r="3022" ht="14.25" hidden="1" customHeight="1">
      <c r="B3022" s="7" t="s">
        <v>16</v>
      </c>
      <c r="C3022" s="7" t="s">
        <v>29</v>
      </c>
      <c r="D3022" s="7" t="s">
        <v>31</v>
      </c>
      <c r="E3022" s="7" t="s">
        <v>33</v>
      </c>
      <c r="F3022" s="8">
        <v>10.0</v>
      </c>
      <c r="G3022" s="9">
        <v>10.0</v>
      </c>
    </row>
    <row r="3023" ht="14.25" hidden="1" customHeight="1">
      <c r="B3023" s="7" t="s">
        <v>16</v>
      </c>
      <c r="C3023" s="7" t="s">
        <v>7</v>
      </c>
      <c r="D3023" s="7" t="s">
        <v>31</v>
      </c>
      <c r="E3023" s="7" t="s">
        <v>9</v>
      </c>
      <c r="F3023" s="8">
        <v>10.0</v>
      </c>
      <c r="G3023" s="9">
        <v>5.0</v>
      </c>
    </row>
    <row r="3024" ht="14.25" hidden="1" customHeight="1">
      <c r="B3024" s="7" t="s">
        <v>16</v>
      </c>
      <c r="C3024" s="7" t="s">
        <v>7</v>
      </c>
      <c r="D3024" s="7" t="s">
        <v>8</v>
      </c>
      <c r="E3024" s="7" t="s">
        <v>9</v>
      </c>
      <c r="F3024" s="8">
        <v>10.0</v>
      </c>
      <c r="G3024" s="9">
        <v>5.0</v>
      </c>
    </row>
    <row r="3025" ht="14.25" hidden="1" customHeight="1">
      <c r="B3025" s="7" t="s">
        <v>16</v>
      </c>
      <c r="C3025" s="7" t="s">
        <v>29</v>
      </c>
      <c r="D3025" s="7" t="s">
        <v>25</v>
      </c>
      <c r="E3025" s="7" t="s">
        <v>9</v>
      </c>
      <c r="F3025" s="8">
        <v>9.0</v>
      </c>
      <c r="G3025" s="9">
        <v>9.0</v>
      </c>
    </row>
    <row r="3026" ht="14.25" hidden="1" customHeight="1">
      <c r="B3026" s="7" t="s">
        <v>16</v>
      </c>
      <c r="C3026" s="7" t="s">
        <v>29</v>
      </c>
      <c r="D3026" s="7" t="s">
        <v>33</v>
      </c>
      <c r="E3026" s="7" t="s">
        <v>25</v>
      </c>
      <c r="F3026" s="8">
        <v>9.0</v>
      </c>
      <c r="G3026" s="9">
        <v>9.0</v>
      </c>
    </row>
    <row r="3027" ht="14.25" hidden="1" customHeight="1">
      <c r="B3027" s="7" t="s">
        <v>16</v>
      </c>
      <c r="C3027" s="7" t="s">
        <v>29</v>
      </c>
      <c r="D3027" s="7" t="s">
        <v>8</v>
      </c>
      <c r="E3027" s="7" t="s">
        <v>28</v>
      </c>
      <c r="F3027" s="8">
        <v>9.0</v>
      </c>
      <c r="G3027" s="9">
        <v>9.0</v>
      </c>
    </row>
    <row r="3028" ht="14.25" hidden="1" customHeight="1">
      <c r="B3028" s="7" t="s">
        <v>16</v>
      </c>
      <c r="C3028" s="7" t="s">
        <v>7</v>
      </c>
      <c r="D3028" s="7" t="s">
        <v>25</v>
      </c>
      <c r="E3028" s="7" t="s">
        <v>33</v>
      </c>
      <c r="F3028" s="8">
        <v>8.0</v>
      </c>
      <c r="G3028" s="9">
        <v>4.0</v>
      </c>
    </row>
    <row r="3029" ht="14.25" hidden="1" customHeight="1">
      <c r="B3029" s="7" t="s">
        <v>16</v>
      </c>
      <c r="C3029" s="7" t="s">
        <v>29</v>
      </c>
      <c r="D3029" s="7" t="s">
        <v>25</v>
      </c>
      <c r="E3029" s="7" t="s">
        <v>31</v>
      </c>
      <c r="F3029" s="8">
        <v>8.0</v>
      </c>
      <c r="G3029" s="9">
        <v>8.0</v>
      </c>
    </row>
    <row r="3030" ht="14.25" hidden="1" customHeight="1">
      <c r="B3030" s="7" t="s">
        <v>16</v>
      </c>
      <c r="C3030" s="7" t="s">
        <v>29</v>
      </c>
      <c r="D3030" s="7" t="s">
        <v>33</v>
      </c>
      <c r="E3030" s="7" t="s">
        <v>28</v>
      </c>
      <c r="F3030" s="8">
        <v>8.0</v>
      </c>
      <c r="G3030" s="9">
        <v>8.0</v>
      </c>
    </row>
    <row r="3031" ht="14.25" hidden="1" customHeight="1">
      <c r="B3031" s="7" t="s">
        <v>16</v>
      </c>
      <c r="C3031" s="7" t="s">
        <v>7</v>
      </c>
      <c r="D3031" s="7" t="s">
        <v>33</v>
      </c>
      <c r="E3031" s="7" t="s">
        <v>11</v>
      </c>
      <c r="F3031" s="8">
        <v>8.0</v>
      </c>
      <c r="G3031" s="9">
        <v>4.0</v>
      </c>
    </row>
    <row r="3032" ht="14.25" hidden="1" customHeight="1">
      <c r="B3032" s="7" t="s">
        <v>16</v>
      </c>
      <c r="C3032" s="7" t="s">
        <v>7</v>
      </c>
      <c r="D3032" s="7" t="s">
        <v>33</v>
      </c>
      <c r="E3032" s="7" t="s">
        <v>9</v>
      </c>
      <c r="F3032" s="8">
        <v>8.0</v>
      </c>
      <c r="G3032" s="9">
        <v>4.0</v>
      </c>
    </row>
    <row r="3033" ht="14.25" hidden="1" customHeight="1">
      <c r="B3033" s="7" t="s">
        <v>16</v>
      </c>
      <c r="C3033" s="7" t="s">
        <v>30</v>
      </c>
      <c r="D3033" s="7" t="s">
        <v>28</v>
      </c>
      <c r="E3033" s="7" t="s">
        <v>10</v>
      </c>
      <c r="F3033" s="8">
        <v>8.0</v>
      </c>
      <c r="G3033" s="9">
        <v>4.0</v>
      </c>
    </row>
    <row r="3034" ht="14.25" hidden="1" customHeight="1">
      <c r="B3034" s="7" t="s">
        <v>16</v>
      </c>
      <c r="C3034" s="7" t="s">
        <v>7</v>
      </c>
      <c r="D3034" s="7" t="s">
        <v>28</v>
      </c>
      <c r="E3034" s="7" t="s">
        <v>8</v>
      </c>
      <c r="F3034" s="8">
        <v>8.0</v>
      </c>
      <c r="G3034" s="9">
        <v>8.0</v>
      </c>
    </row>
    <row r="3035" ht="14.25" hidden="1" customHeight="1">
      <c r="B3035" s="7" t="s">
        <v>16</v>
      </c>
      <c r="C3035" s="7" t="s">
        <v>29</v>
      </c>
      <c r="D3035" s="7" t="s">
        <v>10</v>
      </c>
      <c r="E3035" s="7" t="s">
        <v>25</v>
      </c>
      <c r="F3035" s="8">
        <v>8.0</v>
      </c>
      <c r="G3035" s="9">
        <v>8.0</v>
      </c>
    </row>
    <row r="3036" ht="14.25" hidden="1" customHeight="1">
      <c r="B3036" s="7" t="s">
        <v>16</v>
      </c>
      <c r="C3036" s="7" t="s">
        <v>29</v>
      </c>
      <c r="D3036" s="7" t="s">
        <v>10</v>
      </c>
      <c r="E3036" s="7" t="s">
        <v>9</v>
      </c>
      <c r="F3036" s="8">
        <v>8.0</v>
      </c>
      <c r="G3036" s="9">
        <v>8.0</v>
      </c>
    </row>
    <row r="3037" ht="14.25" hidden="1" customHeight="1">
      <c r="B3037" s="7" t="s">
        <v>16</v>
      </c>
      <c r="C3037" s="7" t="s">
        <v>7</v>
      </c>
      <c r="D3037" s="7" t="s">
        <v>10</v>
      </c>
      <c r="E3037" s="7" t="s">
        <v>31</v>
      </c>
      <c r="F3037" s="8">
        <v>8.0</v>
      </c>
      <c r="G3037" s="9">
        <v>4.0</v>
      </c>
    </row>
    <row r="3038" ht="14.25" hidden="1" customHeight="1">
      <c r="B3038" s="7" t="s">
        <v>16</v>
      </c>
      <c r="C3038" s="7" t="s">
        <v>7</v>
      </c>
      <c r="D3038" s="7" t="s">
        <v>31</v>
      </c>
      <c r="E3038" s="7" t="s">
        <v>31</v>
      </c>
      <c r="F3038" s="8">
        <v>8.0</v>
      </c>
      <c r="G3038" s="9">
        <v>4.0</v>
      </c>
    </row>
    <row r="3039" ht="14.25" hidden="1" customHeight="1">
      <c r="B3039" s="7" t="s">
        <v>16</v>
      </c>
      <c r="C3039" s="7" t="s">
        <v>29</v>
      </c>
      <c r="D3039" s="7" t="s">
        <v>31</v>
      </c>
      <c r="E3039" s="7" t="s">
        <v>8</v>
      </c>
      <c r="F3039" s="8">
        <v>8.0</v>
      </c>
      <c r="G3039" s="9">
        <v>8.0</v>
      </c>
    </row>
    <row r="3040" ht="14.25" hidden="1" customHeight="1">
      <c r="B3040" s="7" t="s">
        <v>16</v>
      </c>
      <c r="C3040" s="7" t="s">
        <v>30</v>
      </c>
      <c r="D3040" s="7" t="s">
        <v>31</v>
      </c>
      <c r="E3040" s="7" t="s">
        <v>8</v>
      </c>
      <c r="F3040" s="8">
        <v>8.0</v>
      </c>
      <c r="G3040" s="9">
        <v>4.0</v>
      </c>
    </row>
    <row r="3041" ht="14.25" hidden="1" customHeight="1">
      <c r="B3041" s="7" t="s">
        <v>16</v>
      </c>
      <c r="C3041" s="7" t="s">
        <v>7</v>
      </c>
      <c r="D3041" s="7" t="s">
        <v>8</v>
      </c>
      <c r="E3041" s="7" t="s">
        <v>10</v>
      </c>
      <c r="F3041" s="8">
        <v>8.0</v>
      </c>
      <c r="G3041" s="9">
        <v>4.0</v>
      </c>
    </row>
    <row r="3042" ht="14.25" hidden="1" customHeight="1">
      <c r="B3042" s="7" t="s">
        <v>16</v>
      </c>
      <c r="C3042" s="7" t="s">
        <v>29</v>
      </c>
      <c r="D3042" s="7" t="s">
        <v>34</v>
      </c>
      <c r="E3042" s="7" t="s">
        <v>28</v>
      </c>
      <c r="F3042" s="8">
        <v>7.0</v>
      </c>
      <c r="G3042" s="9">
        <v>7.0</v>
      </c>
    </row>
    <row r="3043" ht="14.25" hidden="1" customHeight="1">
      <c r="B3043" s="7" t="s">
        <v>16</v>
      </c>
      <c r="C3043" s="7" t="s">
        <v>29</v>
      </c>
      <c r="D3043" s="7" t="s">
        <v>32</v>
      </c>
      <c r="E3043" s="7" t="s">
        <v>25</v>
      </c>
      <c r="F3043" s="8">
        <v>7.0</v>
      </c>
      <c r="G3043" s="9">
        <v>7.0</v>
      </c>
    </row>
    <row r="3044" ht="14.25" hidden="1" customHeight="1">
      <c r="B3044" s="7" t="s">
        <v>16</v>
      </c>
      <c r="C3044" s="7" t="s">
        <v>29</v>
      </c>
      <c r="D3044" s="7" t="s">
        <v>31</v>
      </c>
      <c r="E3044" s="7" t="s">
        <v>33</v>
      </c>
      <c r="F3044" s="8">
        <v>7.0</v>
      </c>
      <c r="G3044" s="9">
        <v>7.0</v>
      </c>
    </row>
    <row r="3045" ht="14.25" hidden="1" customHeight="1">
      <c r="B3045" s="7" t="s">
        <v>16</v>
      </c>
      <c r="C3045" s="7" t="s">
        <v>29</v>
      </c>
      <c r="D3045" s="7" t="s">
        <v>31</v>
      </c>
      <c r="E3045" s="7" t="s">
        <v>28</v>
      </c>
      <c r="F3045" s="8">
        <v>7.0</v>
      </c>
      <c r="G3045" s="9">
        <v>7.0</v>
      </c>
    </row>
    <row r="3046" ht="14.25" hidden="1" customHeight="1">
      <c r="B3046" s="7" t="s">
        <v>16</v>
      </c>
      <c r="C3046" s="7" t="s">
        <v>29</v>
      </c>
      <c r="D3046" s="7" t="s">
        <v>8</v>
      </c>
      <c r="E3046" s="7" t="s">
        <v>33</v>
      </c>
      <c r="F3046" s="8">
        <v>7.0</v>
      </c>
      <c r="G3046" s="9">
        <v>7.0</v>
      </c>
    </row>
    <row r="3047" ht="14.25" hidden="1" customHeight="1">
      <c r="B3047" s="7" t="s">
        <v>16</v>
      </c>
      <c r="C3047" s="7" t="s">
        <v>29</v>
      </c>
      <c r="D3047" s="7" t="s">
        <v>25</v>
      </c>
      <c r="E3047" s="7" t="s">
        <v>33</v>
      </c>
      <c r="F3047" s="8">
        <v>6.0</v>
      </c>
      <c r="G3047" s="9">
        <v>6.0</v>
      </c>
    </row>
    <row r="3048" ht="14.25" hidden="1" customHeight="1">
      <c r="B3048" s="7" t="s">
        <v>16</v>
      </c>
      <c r="C3048" s="7" t="s">
        <v>29</v>
      </c>
      <c r="D3048" s="7" t="s">
        <v>25</v>
      </c>
      <c r="E3048" s="7" t="s">
        <v>9</v>
      </c>
      <c r="F3048" s="8">
        <v>6.0</v>
      </c>
      <c r="G3048" s="9">
        <v>6.0</v>
      </c>
    </row>
    <row r="3049" ht="14.25" hidden="1" customHeight="1">
      <c r="B3049" s="7" t="s">
        <v>16</v>
      </c>
      <c r="C3049" s="7" t="s">
        <v>30</v>
      </c>
      <c r="D3049" s="7" t="s">
        <v>25</v>
      </c>
      <c r="E3049" s="7" t="s">
        <v>8</v>
      </c>
      <c r="F3049" s="8">
        <v>6.0</v>
      </c>
      <c r="G3049" s="9">
        <v>3.0</v>
      </c>
    </row>
    <row r="3050" ht="14.25" hidden="1" customHeight="1">
      <c r="B3050" s="7" t="s">
        <v>16</v>
      </c>
      <c r="C3050" s="7" t="s">
        <v>7</v>
      </c>
      <c r="D3050" s="7" t="s">
        <v>33</v>
      </c>
      <c r="E3050" s="7" t="s">
        <v>25</v>
      </c>
      <c r="F3050" s="8">
        <v>6.0</v>
      </c>
      <c r="G3050" s="9">
        <v>6.0</v>
      </c>
    </row>
    <row r="3051" ht="14.25" hidden="1" customHeight="1">
      <c r="B3051" s="7" t="s">
        <v>16</v>
      </c>
      <c r="C3051" s="7" t="s">
        <v>7</v>
      </c>
      <c r="D3051" s="7" t="s">
        <v>33</v>
      </c>
      <c r="E3051" s="7" t="s">
        <v>28</v>
      </c>
      <c r="F3051" s="8">
        <v>6.0</v>
      </c>
      <c r="G3051" s="9">
        <v>3.0</v>
      </c>
    </row>
    <row r="3052" ht="14.25" hidden="1" customHeight="1">
      <c r="B3052" s="7" t="s">
        <v>16</v>
      </c>
      <c r="C3052" s="7" t="s">
        <v>7</v>
      </c>
      <c r="D3052" s="7" t="s">
        <v>33</v>
      </c>
      <c r="E3052" s="7" t="s">
        <v>35</v>
      </c>
      <c r="F3052" s="8">
        <v>6.0</v>
      </c>
      <c r="G3052" s="9">
        <v>3.0</v>
      </c>
    </row>
    <row r="3053" ht="14.25" hidden="1" customHeight="1">
      <c r="B3053" s="7" t="s">
        <v>16</v>
      </c>
      <c r="C3053" s="7" t="s">
        <v>7</v>
      </c>
      <c r="D3053" s="7" t="s">
        <v>28</v>
      </c>
      <c r="E3053" s="7" t="s">
        <v>35</v>
      </c>
      <c r="F3053" s="8">
        <v>6.0</v>
      </c>
      <c r="G3053" s="9">
        <v>3.0</v>
      </c>
    </row>
    <row r="3054" ht="14.25" hidden="1" customHeight="1">
      <c r="B3054" s="7" t="s">
        <v>16</v>
      </c>
      <c r="C3054" s="7" t="s">
        <v>7</v>
      </c>
      <c r="D3054" s="7" t="s">
        <v>11</v>
      </c>
      <c r="E3054" s="7" t="s">
        <v>10</v>
      </c>
      <c r="F3054" s="8">
        <v>6.0</v>
      </c>
      <c r="G3054" s="9">
        <v>3.0</v>
      </c>
    </row>
    <row r="3055" ht="14.25" hidden="1" customHeight="1">
      <c r="B3055" s="7" t="s">
        <v>16</v>
      </c>
      <c r="C3055" s="7" t="s">
        <v>7</v>
      </c>
      <c r="D3055" s="7" t="s">
        <v>34</v>
      </c>
      <c r="E3055" s="7" t="s">
        <v>8</v>
      </c>
      <c r="F3055" s="8">
        <v>6.0</v>
      </c>
      <c r="G3055" s="9">
        <v>3.0</v>
      </c>
    </row>
    <row r="3056" ht="14.25" hidden="1" customHeight="1">
      <c r="B3056" s="7" t="s">
        <v>16</v>
      </c>
      <c r="C3056" s="7" t="s">
        <v>29</v>
      </c>
      <c r="D3056" s="7" t="s">
        <v>9</v>
      </c>
      <c r="E3056" s="7" t="s">
        <v>8</v>
      </c>
      <c r="F3056" s="8">
        <v>6.0</v>
      </c>
      <c r="G3056" s="9">
        <v>6.0</v>
      </c>
    </row>
    <row r="3057" ht="14.25" hidden="1" customHeight="1">
      <c r="B3057" s="7" t="s">
        <v>16</v>
      </c>
      <c r="C3057" s="7" t="s">
        <v>29</v>
      </c>
      <c r="D3057" s="7" t="s">
        <v>10</v>
      </c>
      <c r="E3057" s="7" t="s">
        <v>31</v>
      </c>
      <c r="F3057" s="8">
        <v>6.0</v>
      </c>
      <c r="G3057" s="9">
        <v>6.0</v>
      </c>
    </row>
    <row r="3058" ht="14.25" hidden="1" customHeight="1">
      <c r="B3058" s="7" t="s">
        <v>16</v>
      </c>
      <c r="C3058" s="7" t="s">
        <v>29</v>
      </c>
      <c r="D3058" s="7" t="s">
        <v>32</v>
      </c>
      <c r="E3058" s="7" t="s">
        <v>33</v>
      </c>
      <c r="F3058" s="8">
        <v>6.0</v>
      </c>
      <c r="G3058" s="9">
        <v>6.0</v>
      </c>
    </row>
    <row r="3059" ht="14.25" hidden="1" customHeight="1">
      <c r="B3059" s="7" t="s">
        <v>16</v>
      </c>
      <c r="C3059" s="7" t="s">
        <v>29</v>
      </c>
      <c r="D3059" s="7" t="s">
        <v>32</v>
      </c>
      <c r="E3059" s="7" t="s">
        <v>8</v>
      </c>
      <c r="F3059" s="8">
        <v>6.0</v>
      </c>
      <c r="G3059" s="9">
        <v>6.0</v>
      </c>
    </row>
    <row r="3060" ht="14.25" hidden="1" customHeight="1">
      <c r="B3060" s="7" t="s">
        <v>16</v>
      </c>
      <c r="C3060" s="7" t="s">
        <v>7</v>
      </c>
      <c r="D3060" s="7" t="s">
        <v>31</v>
      </c>
      <c r="E3060" s="7" t="s">
        <v>25</v>
      </c>
      <c r="F3060" s="8">
        <v>6.0</v>
      </c>
      <c r="G3060" s="9">
        <v>3.0</v>
      </c>
    </row>
    <row r="3061" ht="14.25" hidden="1" customHeight="1">
      <c r="B3061" s="7" t="s">
        <v>16</v>
      </c>
      <c r="C3061" s="7" t="s">
        <v>7</v>
      </c>
      <c r="D3061" s="7" t="s">
        <v>31</v>
      </c>
      <c r="E3061" s="7" t="s">
        <v>10</v>
      </c>
      <c r="F3061" s="8">
        <v>6.0</v>
      </c>
      <c r="G3061" s="9">
        <v>3.0</v>
      </c>
    </row>
    <row r="3062" ht="14.25" hidden="1" customHeight="1">
      <c r="B3062" s="7" t="s">
        <v>16</v>
      </c>
      <c r="C3062" s="7" t="s">
        <v>7</v>
      </c>
      <c r="D3062" s="7" t="s">
        <v>31</v>
      </c>
      <c r="E3062" s="7" t="s">
        <v>10</v>
      </c>
      <c r="F3062" s="8">
        <v>6.0</v>
      </c>
      <c r="G3062" s="9">
        <v>3.0</v>
      </c>
    </row>
    <row r="3063" ht="14.25" hidden="1" customHeight="1">
      <c r="B3063" s="7" t="s">
        <v>16</v>
      </c>
      <c r="C3063" s="7" t="s">
        <v>29</v>
      </c>
      <c r="D3063" s="7" t="s">
        <v>25</v>
      </c>
      <c r="E3063" s="7" t="s">
        <v>10</v>
      </c>
      <c r="F3063" s="8">
        <v>5.0</v>
      </c>
      <c r="G3063" s="9">
        <v>5.0</v>
      </c>
    </row>
    <row r="3064" ht="14.25" hidden="1" customHeight="1">
      <c r="B3064" s="7" t="s">
        <v>16</v>
      </c>
      <c r="C3064" s="7" t="s">
        <v>29</v>
      </c>
      <c r="D3064" s="7" t="s">
        <v>28</v>
      </c>
      <c r="E3064" s="7" t="s">
        <v>25</v>
      </c>
      <c r="F3064" s="8">
        <v>5.0</v>
      </c>
      <c r="G3064" s="9">
        <v>5.0</v>
      </c>
    </row>
    <row r="3065" ht="14.25" hidden="1" customHeight="1">
      <c r="B3065" s="7" t="s">
        <v>16</v>
      </c>
      <c r="C3065" s="7" t="s">
        <v>29</v>
      </c>
      <c r="D3065" s="7" t="s">
        <v>9</v>
      </c>
      <c r="E3065" s="7" t="s">
        <v>33</v>
      </c>
      <c r="F3065" s="8">
        <v>5.0</v>
      </c>
      <c r="G3065" s="9">
        <v>5.0</v>
      </c>
    </row>
    <row r="3066" ht="14.25" hidden="1" customHeight="1">
      <c r="B3066" s="7" t="s">
        <v>16</v>
      </c>
      <c r="C3066" s="7" t="s">
        <v>29</v>
      </c>
      <c r="D3066" s="7" t="s">
        <v>10</v>
      </c>
      <c r="E3066" s="7" t="s">
        <v>9</v>
      </c>
      <c r="F3066" s="8">
        <v>5.0</v>
      </c>
      <c r="G3066" s="9">
        <v>5.0</v>
      </c>
    </row>
    <row r="3067" ht="14.25" hidden="1" customHeight="1">
      <c r="B3067" s="7" t="s">
        <v>16</v>
      </c>
      <c r="C3067" s="7" t="s">
        <v>29</v>
      </c>
      <c r="D3067" s="7" t="s">
        <v>10</v>
      </c>
      <c r="E3067" s="7" t="s">
        <v>24</v>
      </c>
      <c r="F3067" s="8">
        <v>5.0</v>
      </c>
      <c r="G3067" s="9">
        <v>5.0</v>
      </c>
    </row>
    <row r="3068" ht="14.25" hidden="1" customHeight="1">
      <c r="B3068" s="7" t="s">
        <v>16</v>
      </c>
      <c r="C3068" s="7" t="s">
        <v>29</v>
      </c>
      <c r="D3068" s="7" t="s">
        <v>31</v>
      </c>
      <c r="E3068" s="7" t="s">
        <v>35</v>
      </c>
      <c r="F3068" s="8">
        <v>5.0</v>
      </c>
      <c r="G3068" s="9">
        <v>5.0</v>
      </c>
    </row>
    <row r="3069" ht="14.25" hidden="1" customHeight="1">
      <c r="B3069" s="7" t="s">
        <v>16</v>
      </c>
      <c r="C3069" s="7" t="s">
        <v>29</v>
      </c>
      <c r="D3069" s="7" t="s">
        <v>31</v>
      </c>
      <c r="E3069" s="7" t="s">
        <v>9</v>
      </c>
      <c r="F3069" s="8">
        <v>5.0</v>
      </c>
      <c r="G3069" s="9">
        <v>5.0</v>
      </c>
    </row>
    <row r="3070" ht="14.25" hidden="1" customHeight="1">
      <c r="B3070" s="7" t="s">
        <v>16</v>
      </c>
      <c r="C3070" s="7" t="s">
        <v>29</v>
      </c>
      <c r="D3070" s="7" t="s">
        <v>31</v>
      </c>
      <c r="E3070" s="7" t="s">
        <v>10</v>
      </c>
      <c r="F3070" s="8">
        <v>5.0</v>
      </c>
      <c r="G3070" s="9">
        <v>5.0</v>
      </c>
    </row>
    <row r="3071" ht="14.25" hidden="1" customHeight="1">
      <c r="B3071" s="7" t="s">
        <v>16</v>
      </c>
      <c r="C3071" s="7" t="s">
        <v>7</v>
      </c>
      <c r="D3071" s="7" t="s">
        <v>25</v>
      </c>
      <c r="E3071" s="7" t="s">
        <v>8</v>
      </c>
      <c r="F3071" s="8">
        <v>4.0</v>
      </c>
      <c r="G3071" s="9">
        <v>2.0</v>
      </c>
    </row>
    <row r="3072" ht="14.25" hidden="1" customHeight="1">
      <c r="B3072" s="7" t="s">
        <v>16</v>
      </c>
      <c r="C3072" s="7" t="s">
        <v>7</v>
      </c>
      <c r="D3072" s="7" t="s">
        <v>28</v>
      </c>
      <c r="E3072" s="7" t="s">
        <v>25</v>
      </c>
      <c r="F3072" s="8">
        <v>4.0</v>
      </c>
      <c r="G3072" s="9">
        <v>4.0</v>
      </c>
    </row>
    <row r="3073" ht="14.25" hidden="1" customHeight="1">
      <c r="B3073" s="7" t="s">
        <v>16</v>
      </c>
      <c r="C3073" s="7" t="s">
        <v>7</v>
      </c>
      <c r="D3073" s="7" t="s">
        <v>28</v>
      </c>
      <c r="E3073" s="7" t="s">
        <v>35</v>
      </c>
      <c r="F3073" s="8">
        <v>4.0</v>
      </c>
      <c r="G3073" s="9">
        <v>2.0</v>
      </c>
    </row>
    <row r="3074" ht="14.25" hidden="1" customHeight="1">
      <c r="B3074" s="7" t="s">
        <v>16</v>
      </c>
      <c r="C3074" s="7" t="s">
        <v>29</v>
      </c>
      <c r="D3074" s="7" t="s">
        <v>11</v>
      </c>
      <c r="E3074" s="7" t="s">
        <v>9</v>
      </c>
      <c r="F3074" s="8">
        <v>4.0</v>
      </c>
      <c r="G3074" s="9">
        <v>4.0</v>
      </c>
    </row>
    <row r="3075" ht="14.25" hidden="1" customHeight="1">
      <c r="B3075" s="7" t="s">
        <v>16</v>
      </c>
      <c r="C3075" s="7" t="s">
        <v>29</v>
      </c>
      <c r="D3075" s="7" t="s">
        <v>11</v>
      </c>
      <c r="E3075" s="7" t="s">
        <v>31</v>
      </c>
      <c r="F3075" s="8">
        <v>4.0</v>
      </c>
      <c r="G3075" s="9">
        <v>4.0</v>
      </c>
    </row>
    <row r="3076" ht="14.25" hidden="1" customHeight="1">
      <c r="B3076" s="7" t="s">
        <v>16</v>
      </c>
      <c r="C3076" s="7" t="s">
        <v>7</v>
      </c>
      <c r="D3076" s="7" t="s">
        <v>11</v>
      </c>
      <c r="E3076" s="7" t="s">
        <v>8</v>
      </c>
      <c r="F3076" s="8">
        <v>4.0</v>
      </c>
      <c r="G3076" s="9">
        <v>2.0</v>
      </c>
    </row>
    <row r="3077" ht="14.25" hidden="1" customHeight="1">
      <c r="B3077" s="7" t="s">
        <v>16</v>
      </c>
      <c r="C3077" s="7" t="s">
        <v>7</v>
      </c>
      <c r="D3077" s="7" t="s">
        <v>11</v>
      </c>
      <c r="E3077" s="7" t="s">
        <v>8</v>
      </c>
      <c r="F3077" s="8">
        <v>4.0</v>
      </c>
      <c r="G3077" s="9">
        <v>2.0</v>
      </c>
    </row>
    <row r="3078" ht="14.25" hidden="1" customHeight="1">
      <c r="B3078" s="7" t="s">
        <v>16</v>
      </c>
      <c r="C3078" s="7" t="s">
        <v>29</v>
      </c>
      <c r="D3078" s="7" t="s">
        <v>34</v>
      </c>
      <c r="E3078" s="7" t="s">
        <v>33</v>
      </c>
      <c r="F3078" s="8">
        <v>4.0</v>
      </c>
      <c r="G3078" s="9">
        <v>4.0</v>
      </c>
    </row>
    <row r="3079" ht="14.25" hidden="1" customHeight="1">
      <c r="B3079" s="7" t="s">
        <v>16</v>
      </c>
      <c r="C3079" s="7" t="s">
        <v>7</v>
      </c>
      <c r="D3079" s="7" t="s">
        <v>9</v>
      </c>
      <c r="E3079" s="7" t="s">
        <v>25</v>
      </c>
      <c r="F3079" s="8">
        <v>4.0</v>
      </c>
      <c r="G3079" s="9">
        <v>4.0</v>
      </c>
    </row>
    <row r="3080" ht="14.25" hidden="1" customHeight="1">
      <c r="B3080" s="7" t="s">
        <v>16</v>
      </c>
      <c r="C3080" s="7" t="s">
        <v>29</v>
      </c>
      <c r="D3080" s="7" t="s">
        <v>9</v>
      </c>
      <c r="E3080" s="7" t="s">
        <v>33</v>
      </c>
      <c r="F3080" s="8">
        <v>4.0</v>
      </c>
      <c r="G3080" s="9">
        <v>4.0</v>
      </c>
    </row>
    <row r="3081" ht="14.25" hidden="1" customHeight="1">
      <c r="B3081" s="7" t="s">
        <v>16</v>
      </c>
      <c r="C3081" s="7" t="s">
        <v>7</v>
      </c>
      <c r="D3081" s="7" t="s">
        <v>9</v>
      </c>
      <c r="E3081" s="7" t="s">
        <v>8</v>
      </c>
      <c r="F3081" s="8">
        <v>4.0</v>
      </c>
      <c r="G3081" s="9">
        <v>2.0</v>
      </c>
    </row>
    <row r="3082" ht="14.25" hidden="1" customHeight="1">
      <c r="B3082" s="7" t="s">
        <v>16</v>
      </c>
      <c r="C3082" s="7" t="s">
        <v>7</v>
      </c>
      <c r="D3082" s="7" t="s">
        <v>24</v>
      </c>
      <c r="E3082" s="7" t="s">
        <v>31</v>
      </c>
      <c r="F3082" s="8">
        <v>4.0</v>
      </c>
      <c r="G3082" s="9">
        <v>2.0</v>
      </c>
    </row>
    <row r="3083" ht="14.25" hidden="1" customHeight="1">
      <c r="B3083" s="7" t="s">
        <v>16</v>
      </c>
      <c r="C3083" s="7" t="s">
        <v>7</v>
      </c>
      <c r="D3083" s="7" t="s">
        <v>10</v>
      </c>
      <c r="E3083" s="7" t="s">
        <v>28</v>
      </c>
      <c r="F3083" s="8">
        <v>4.0</v>
      </c>
      <c r="G3083" s="9">
        <v>2.0</v>
      </c>
    </row>
    <row r="3084" ht="14.25" hidden="1" customHeight="1">
      <c r="B3084" s="7" t="s">
        <v>16</v>
      </c>
      <c r="C3084" s="7" t="s">
        <v>7</v>
      </c>
      <c r="D3084" s="7" t="s">
        <v>10</v>
      </c>
      <c r="E3084" s="7" t="s">
        <v>28</v>
      </c>
      <c r="F3084" s="8">
        <v>4.0</v>
      </c>
      <c r="G3084" s="9">
        <v>2.0</v>
      </c>
    </row>
    <row r="3085" ht="14.25" hidden="1" customHeight="1">
      <c r="B3085" s="7" t="s">
        <v>16</v>
      </c>
      <c r="C3085" s="7" t="s">
        <v>7</v>
      </c>
      <c r="D3085" s="7" t="s">
        <v>10</v>
      </c>
      <c r="E3085" s="7" t="s">
        <v>9</v>
      </c>
      <c r="F3085" s="8">
        <v>4.0</v>
      </c>
      <c r="G3085" s="9">
        <v>2.0</v>
      </c>
    </row>
    <row r="3086" ht="14.25" hidden="1" customHeight="1">
      <c r="B3086" s="7" t="s">
        <v>16</v>
      </c>
      <c r="C3086" s="7" t="s">
        <v>7</v>
      </c>
      <c r="D3086" s="7" t="s">
        <v>32</v>
      </c>
      <c r="E3086" s="7" t="s">
        <v>25</v>
      </c>
      <c r="F3086" s="8">
        <v>4.0</v>
      </c>
      <c r="G3086" s="9">
        <v>2.0</v>
      </c>
    </row>
    <row r="3087" ht="14.25" hidden="1" customHeight="1">
      <c r="B3087" s="7" t="s">
        <v>16</v>
      </c>
      <c r="C3087" s="7" t="s">
        <v>7</v>
      </c>
      <c r="D3087" s="7" t="s">
        <v>32</v>
      </c>
      <c r="E3087" s="7" t="s">
        <v>33</v>
      </c>
      <c r="F3087" s="8">
        <v>4.0</v>
      </c>
      <c r="G3087" s="9">
        <v>4.0</v>
      </c>
    </row>
    <row r="3088" ht="14.25" hidden="1" customHeight="1">
      <c r="B3088" s="7" t="s">
        <v>16</v>
      </c>
      <c r="C3088" s="7" t="s">
        <v>7</v>
      </c>
      <c r="D3088" s="7" t="s">
        <v>32</v>
      </c>
      <c r="E3088" s="7" t="s">
        <v>28</v>
      </c>
      <c r="F3088" s="8">
        <v>4.0</v>
      </c>
      <c r="G3088" s="9">
        <v>2.0</v>
      </c>
    </row>
    <row r="3089" ht="14.25" hidden="1" customHeight="1">
      <c r="B3089" s="7" t="s">
        <v>16</v>
      </c>
      <c r="C3089" s="7" t="s">
        <v>30</v>
      </c>
      <c r="D3089" s="7" t="s">
        <v>32</v>
      </c>
      <c r="E3089" s="7" t="s">
        <v>28</v>
      </c>
      <c r="F3089" s="8">
        <v>4.0</v>
      </c>
      <c r="G3089" s="9">
        <v>2.0</v>
      </c>
    </row>
    <row r="3090" ht="14.25" hidden="1" customHeight="1">
      <c r="B3090" s="7" t="s">
        <v>16</v>
      </c>
      <c r="C3090" s="7" t="s">
        <v>7</v>
      </c>
      <c r="D3090" s="7" t="s">
        <v>32</v>
      </c>
      <c r="E3090" s="7" t="s">
        <v>9</v>
      </c>
      <c r="F3090" s="8">
        <v>4.0</v>
      </c>
      <c r="G3090" s="9">
        <v>2.0</v>
      </c>
    </row>
    <row r="3091" ht="14.25" hidden="1" customHeight="1">
      <c r="B3091" s="7" t="s">
        <v>16</v>
      </c>
      <c r="C3091" s="7" t="s">
        <v>7</v>
      </c>
      <c r="D3091" s="7" t="s">
        <v>31</v>
      </c>
      <c r="E3091" s="7" t="s">
        <v>28</v>
      </c>
      <c r="F3091" s="8">
        <v>4.0</v>
      </c>
      <c r="G3091" s="9">
        <v>2.0</v>
      </c>
    </row>
    <row r="3092" ht="14.25" hidden="1" customHeight="1">
      <c r="B3092" s="7" t="s">
        <v>16</v>
      </c>
      <c r="C3092" s="7" t="s">
        <v>7</v>
      </c>
      <c r="D3092" s="7" t="s">
        <v>31</v>
      </c>
      <c r="E3092" s="7" t="s">
        <v>28</v>
      </c>
      <c r="F3092" s="8">
        <v>4.0</v>
      </c>
      <c r="G3092" s="9">
        <v>2.0</v>
      </c>
    </row>
    <row r="3093" ht="14.25" hidden="1" customHeight="1">
      <c r="B3093" s="7" t="s">
        <v>16</v>
      </c>
      <c r="C3093" s="7" t="s">
        <v>29</v>
      </c>
      <c r="D3093" s="7" t="s">
        <v>31</v>
      </c>
      <c r="E3093" s="7" t="s">
        <v>9</v>
      </c>
      <c r="F3093" s="8">
        <v>4.0</v>
      </c>
      <c r="G3093" s="9">
        <v>4.0</v>
      </c>
    </row>
    <row r="3094" ht="14.25" hidden="1" customHeight="1">
      <c r="B3094" s="7" t="s">
        <v>16</v>
      </c>
      <c r="C3094" s="7" t="s">
        <v>7</v>
      </c>
      <c r="D3094" s="7" t="s">
        <v>31</v>
      </c>
      <c r="E3094" s="7" t="s">
        <v>9</v>
      </c>
      <c r="F3094" s="8">
        <v>4.0</v>
      </c>
      <c r="G3094" s="9">
        <v>2.0</v>
      </c>
    </row>
    <row r="3095" ht="14.25" hidden="1" customHeight="1">
      <c r="B3095" s="7" t="s">
        <v>16</v>
      </c>
      <c r="C3095" s="7" t="s">
        <v>7</v>
      </c>
      <c r="D3095" s="7" t="s">
        <v>31</v>
      </c>
      <c r="E3095" s="7" t="s">
        <v>9</v>
      </c>
      <c r="F3095" s="8">
        <v>4.0</v>
      </c>
      <c r="G3095" s="9">
        <v>2.0</v>
      </c>
    </row>
    <row r="3096" ht="14.25" hidden="1" customHeight="1">
      <c r="B3096" s="7" t="s">
        <v>16</v>
      </c>
      <c r="C3096" s="7" t="s">
        <v>7</v>
      </c>
      <c r="D3096" s="7" t="s">
        <v>31</v>
      </c>
      <c r="E3096" s="7" t="s">
        <v>31</v>
      </c>
      <c r="F3096" s="8">
        <v>4.0</v>
      </c>
      <c r="G3096" s="9">
        <v>2.0</v>
      </c>
    </row>
    <row r="3097" ht="14.25" hidden="1" customHeight="1">
      <c r="B3097" s="7" t="s">
        <v>16</v>
      </c>
      <c r="C3097" s="7" t="s">
        <v>7</v>
      </c>
      <c r="D3097" s="7" t="s">
        <v>8</v>
      </c>
      <c r="E3097" s="7" t="s">
        <v>28</v>
      </c>
      <c r="F3097" s="8">
        <v>4.0</v>
      </c>
      <c r="G3097" s="9">
        <v>2.0</v>
      </c>
    </row>
    <row r="3098" ht="14.25" hidden="1" customHeight="1">
      <c r="B3098" s="7" t="s">
        <v>16</v>
      </c>
      <c r="C3098" s="7" t="s">
        <v>29</v>
      </c>
      <c r="D3098" s="7" t="s">
        <v>8</v>
      </c>
      <c r="E3098" s="7" t="s">
        <v>9</v>
      </c>
      <c r="F3098" s="8">
        <v>4.0</v>
      </c>
      <c r="G3098" s="9">
        <v>4.0</v>
      </c>
    </row>
    <row r="3099" ht="14.25" hidden="1" customHeight="1">
      <c r="B3099" s="7" t="s">
        <v>16</v>
      </c>
      <c r="C3099" s="7" t="s">
        <v>7</v>
      </c>
      <c r="D3099" s="7" t="s">
        <v>8</v>
      </c>
      <c r="E3099" s="7" t="s">
        <v>9</v>
      </c>
      <c r="F3099" s="8">
        <v>4.0</v>
      </c>
      <c r="G3099" s="9">
        <v>2.0</v>
      </c>
    </row>
    <row r="3100" ht="14.25" hidden="1" customHeight="1">
      <c r="B3100" s="7" t="s">
        <v>16</v>
      </c>
      <c r="C3100" s="7" t="s">
        <v>7</v>
      </c>
      <c r="D3100" s="7" t="s">
        <v>8</v>
      </c>
      <c r="E3100" s="7" t="s">
        <v>32</v>
      </c>
      <c r="F3100" s="8">
        <v>4.0</v>
      </c>
      <c r="G3100" s="9">
        <v>2.0</v>
      </c>
    </row>
    <row r="3101" ht="14.25" customHeight="1">
      <c r="B3101" s="7" t="s">
        <v>16</v>
      </c>
      <c r="C3101" s="7" t="s">
        <v>7</v>
      </c>
      <c r="D3101" s="7" t="s">
        <v>8</v>
      </c>
      <c r="E3101" s="7" t="s">
        <v>31</v>
      </c>
      <c r="F3101" s="8">
        <v>4.0</v>
      </c>
      <c r="G3101" s="9">
        <v>2.0</v>
      </c>
    </row>
    <row r="3102" ht="14.25" hidden="1" customHeight="1">
      <c r="B3102" s="7" t="s">
        <v>16</v>
      </c>
      <c r="C3102" s="7" t="s">
        <v>29</v>
      </c>
      <c r="D3102" s="7" t="s">
        <v>25</v>
      </c>
      <c r="E3102" s="7" t="s">
        <v>31</v>
      </c>
      <c r="F3102" s="8">
        <v>3.0</v>
      </c>
      <c r="G3102" s="9">
        <v>3.0</v>
      </c>
    </row>
    <row r="3103" ht="14.25" hidden="1" customHeight="1">
      <c r="B3103" s="7" t="s">
        <v>16</v>
      </c>
      <c r="C3103" s="7" t="s">
        <v>29</v>
      </c>
      <c r="D3103" s="7" t="s">
        <v>33</v>
      </c>
      <c r="E3103" s="7" t="s">
        <v>32</v>
      </c>
      <c r="F3103" s="8">
        <v>3.0</v>
      </c>
      <c r="G3103" s="9">
        <v>3.0</v>
      </c>
    </row>
    <row r="3104" ht="14.25" hidden="1" customHeight="1">
      <c r="B3104" s="7" t="s">
        <v>16</v>
      </c>
      <c r="C3104" s="7" t="s">
        <v>29</v>
      </c>
      <c r="D3104" s="7" t="s">
        <v>28</v>
      </c>
      <c r="E3104" s="7" t="s">
        <v>31</v>
      </c>
      <c r="F3104" s="8">
        <v>3.0</v>
      </c>
      <c r="G3104" s="9">
        <v>3.0</v>
      </c>
    </row>
    <row r="3105" ht="14.25" hidden="1" customHeight="1">
      <c r="B3105" s="7" t="s">
        <v>16</v>
      </c>
      <c r="C3105" s="7" t="s">
        <v>29</v>
      </c>
      <c r="D3105" s="7" t="s">
        <v>32</v>
      </c>
      <c r="E3105" s="7" t="s">
        <v>28</v>
      </c>
      <c r="F3105" s="8">
        <v>3.0</v>
      </c>
      <c r="G3105" s="9">
        <v>3.0</v>
      </c>
    </row>
    <row r="3106" ht="14.25" hidden="1" customHeight="1">
      <c r="B3106" s="7" t="s">
        <v>16</v>
      </c>
      <c r="C3106" s="7" t="s">
        <v>29</v>
      </c>
      <c r="D3106" s="7" t="s">
        <v>32</v>
      </c>
      <c r="E3106" s="7" t="s">
        <v>8</v>
      </c>
      <c r="F3106" s="8">
        <v>3.0</v>
      </c>
      <c r="G3106" s="9">
        <v>3.0</v>
      </c>
    </row>
    <row r="3107" ht="14.25" hidden="1" customHeight="1">
      <c r="B3107" s="7" t="s">
        <v>16</v>
      </c>
      <c r="C3107" s="7" t="s">
        <v>29</v>
      </c>
      <c r="D3107" s="7" t="s">
        <v>31</v>
      </c>
      <c r="E3107" s="7" t="s">
        <v>10</v>
      </c>
      <c r="F3107" s="8">
        <v>3.0</v>
      </c>
      <c r="G3107" s="9">
        <v>3.0</v>
      </c>
    </row>
    <row r="3108" ht="14.25" customHeight="1">
      <c r="B3108" s="7" t="s">
        <v>16</v>
      </c>
      <c r="C3108" s="7" t="s">
        <v>29</v>
      </c>
      <c r="D3108" s="7" t="s">
        <v>8</v>
      </c>
      <c r="E3108" s="7" t="s">
        <v>31</v>
      </c>
      <c r="F3108" s="8">
        <v>3.0</v>
      </c>
      <c r="G3108" s="9">
        <v>3.0</v>
      </c>
    </row>
    <row r="3109" ht="14.25" hidden="1" customHeight="1">
      <c r="B3109" s="7" t="s">
        <v>16</v>
      </c>
      <c r="C3109" s="7" t="s">
        <v>29</v>
      </c>
      <c r="D3109" s="7" t="s">
        <v>25</v>
      </c>
      <c r="E3109" s="7" t="s">
        <v>33</v>
      </c>
      <c r="F3109" s="8">
        <v>2.0</v>
      </c>
      <c r="G3109" s="9">
        <v>2.0</v>
      </c>
    </row>
    <row r="3110" ht="14.25" hidden="1" customHeight="1">
      <c r="B3110" s="7" t="s">
        <v>16</v>
      </c>
      <c r="C3110" s="7" t="s">
        <v>7</v>
      </c>
      <c r="D3110" s="7" t="s">
        <v>25</v>
      </c>
      <c r="E3110" s="7" t="s">
        <v>33</v>
      </c>
      <c r="F3110" s="8">
        <v>2.0</v>
      </c>
      <c r="G3110" s="9">
        <v>1.0</v>
      </c>
    </row>
    <row r="3111" ht="14.25" hidden="1" customHeight="1">
      <c r="B3111" s="7" t="s">
        <v>16</v>
      </c>
      <c r="C3111" s="7" t="s">
        <v>30</v>
      </c>
      <c r="D3111" s="7" t="s">
        <v>25</v>
      </c>
      <c r="E3111" s="7" t="s">
        <v>33</v>
      </c>
      <c r="F3111" s="8">
        <v>2.0</v>
      </c>
      <c r="G3111" s="9">
        <v>1.0</v>
      </c>
    </row>
    <row r="3112" ht="14.25" hidden="1" customHeight="1">
      <c r="B3112" s="7" t="s">
        <v>16</v>
      </c>
      <c r="C3112" s="7" t="s">
        <v>7</v>
      </c>
      <c r="D3112" s="7" t="s">
        <v>25</v>
      </c>
      <c r="E3112" s="7" t="s">
        <v>35</v>
      </c>
      <c r="F3112" s="8">
        <v>2.0</v>
      </c>
      <c r="G3112" s="9">
        <v>1.0</v>
      </c>
    </row>
    <row r="3113" ht="14.25" hidden="1" customHeight="1">
      <c r="B3113" s="7" t="s">
        <v>16</v>
      </c>
      <c r="C3113" s="7" t="s">
        <v>7</v>
      </c>
      <c r="D3113" s="7" t="s">
        <v>25</v>
      </c>
      <c r="E3113" s="7" t="s">
        <v>9</v>
      </c>
      <c r="F3113" s="8">
        <v>2.0</v>
      </c>
      <c r="G3113" s="9">
        <v>1.0</v>
      </c>
    </row>
    <row r="3114" ht="14.25" hidden="1" customHeight="1">
      <c r="B3114" s="7" t="s">
        <v>16</v>
      </c>
      <c r="C3114" s="7" t="s">
        <v>30</v>
      </c>
      <c r="D3114" s="7" t="s">
        <v>25</v>
      </c>
      <c r="E3114" s="7" t="s">
        <v>10</v>
      </c>
      <c r="F3114" s="8">
        <v>2.0</v>
      </c>
      <c r="G3114" s="9">
        <v>1.0</v>
      </c>
    </row>
    <row r="3115" ht="14.25" hidden="1" customHeight="1">
      <c r="B3115" s="7" t="s">
        <v>16</v>
      </c>
      <c r="C3115" s="7" t="s">
        <v>29</v>
      </c>
      <c r="D3115" s="7" t="s">
        <v>25</v>
      </c>
      <c r="E3115" s="7" t="s">
        <v>32</v>
      </c>
      <c r="F3115" s="8">
        <v>2.0</v>
      </c>
      <c r="G3115" s="9">
        <v>2.0</v>
      </c>
    </row>
    <row r="3116" ht="14.25" hidden="1" customHeight="1">
      <c r="B3116" s="7" t="s">
        <v>16</v>
      </c>
      <c r="C3116" s="7" t="s">
        <v>7</v>
      </c>
      <c r="D3116" s="7" t="s">
        <v>25</v>
      </c>
      <c r="E3116" s="7" t="s">
        <v>8</v>
      </c>
      <c r="F3116" s="8">
        <v>2.0</v>
      </c>
      <c r="G3116" s="9">
        <v>1.0</v>
      </c>
    </row>
    <row r="3117" ht="14.25" hidden="1" customHeight="1">
      <c r="B3117" s="7" t="s">
        <v>16</v>
      </c>
      <c r="C3117" s="7" t="s">
        <v>7</v>
      </c>
      <c r="D3117" s="7" t="s">
        <v>33</v>
      </c>
      <c r="E3117" s="7" t="s">
        <v>9</v>
      </c>
      <c r="F3117" s="8">
        <v>2.0</v>
      </c>
      <c r="G3117" s="9">
        <v>1.0</v>
      </c>
    </row>
    <row r="3118" ht="14.25" hidden="1" customHeight="1">
      <c r="B3118" s="7" t="s">
        <v>16</v>
      </c>
      <c r="C3118" s="7" t="s">
        <v>30</v>
      </c>
      <c r="D3118" s="7" t="s">
        <v>33</v>
      </c>
      <c r="E3118" s="7" t="s">
        <v>31</v>
      </c>
      <c r="F3118" s="8">
        <v>2.0</v>
      </c>
      <c r="G3118" s="9">
        <v>1.0</v>
      </c>
    </row>
    <row r="3119" ht="14.25" hidden="1" customHeight="1">
      <c r="B3119" s="7" t="s">
        <v>16</v>
      </c>
      <c r="C3119" s="7" t="s">
        <v>7</v>
      </c>
      <c r="D3119" s="7" t="s">
        <v>28</v>
      </c>
      <c r="E3119" s="7" t="s">
        <v>8</v>
      </c>
      <c r="F3119" s="8">
        <v>2.0</v>
      </c>
      <c r="G3119" s="9">
        <v>1.0</v>
      </c>
    </row>
    <row r="3120" ht="14.25" hidden="1" customHeight="1">
      <c r="B3120" s="7" t="s">
        <v>16</v>
      </c>
      <c r="C3120" s="7" t="s">
        <v>7</v>
      </c>
      <c r="D3120" s="7" t="s">
        <v>11</v>
      </c>
      <c r="E3120" s="7" t="s">
        <v>32</v>
      </c>
      <c r="F3120" s="8">
        <v>2.0</v>
      </c>
      <c r="G3120" s="9">
        <v>1.0</v>
      </c>
    </row>
    <row r="3121" ht="14.25" hidden="1" customHeight="1">
      <c r="B3121" s="7" t="s">
        <v>16</v>
      </c>
      <c r="C3121" s="7" t="s">
        <v>30</v>
      </c>
      <c r="D3121" s="7" t="s">
        <v>11</v>
      </c>
      <c r="E3121" s="7" t="s">
        <v>8</v>
      </c>
      <c r="F3121" s="8">
        <v>2.0</v>
      </c>
      <c r="G3121" s="9">
        <v>1.0</v>
      </c>
    </row>
    <row r="3122" ht="14.25" hidden="1" customHeight="1">
      <c r="B3122" s="7" t="s">
        <v>16</v>
      </c>
      <c r="C3122" s="7" t="s">
        <v>7</v>
      </c>
      <c r="D3122" s="7" t="s">
        <v>35</v>
      </c>
      <c r="E3122" s="7" t="s">
        <v>28</v>
      </c>
      <c r="F3122" s="8">
        <v>2.0</v>
      </c>
      <c r="G3122" s="9">
        <v>1.0</v>
      </c>
    </row>
    <row r="3123" ht="14.25" hidden="1" customHeight="1">
      <c r="B3123" s="7" t="s">
        <v>16</v>
      </c>
      <c r="C3123" s="7" t="s">
        <v>7</v>
      </c>
      <c r="D3123" s="7" t="s">
        <v>35</v>
      </c>
      <c r="E3123" s="7" t="s">
        <v>8</v>
      </c>
      <c r="F3123" s="8">
        <v>2.0</v>
      </c>
      <c r="G3123" s="9">
        <v>1.0</v>
      </c>
    </row>
    <row r="3124" ht="14.25" hidden="1" customHeight="1">
      <c r="B3124" s="7" t="s">
        <v>16</v>
      </c>
      <c r="C3124" s="7" t="s">
        <v>7</v>
      </c>
      <c r="D3124" s="7" t="s">
        <v>34</v>
      </c>
      <c r="E3124" s="7" t="s">
        <v>33</v>
      </c>
      <c r="F3124" s="8">
        <v>2.0</v>
      </c>
      <c r="G3124" s="9">
        <v>1.0</v>
      </c>
    </row>
    <row r="3125" ht="14.25" hidden="1" customHeight="1">
      <c r="B3125" s="7" t="s">
        <v>16</v>
      </c>
      <c r="C3125" s="7" t="s">
        <v>30</v>
      </c>
      <c r="D3125" s="7" t="s">
        <v>34</v>
      </c>
      <c r="E3125" s="7" t="s">
        <v>32</v>
      </c>
      <c r="F3125" s="8">
        <v>2.0</v>
      </c>
      <c r="G3125" s="9">
        <v>1.0</v>
      </c>
    </row>
    <row r="3126" ht="14.25" hidden="1" customHeight="1">
      <c r="B3126" s="7" t="s">
        <v>16</v>
      </c>
      <c r="C3126" s="7" t="s">
        <v>29</v>
      </c>
      <c r="D3126" s="7" t="s">
        <v>9</v>
      </c>
      <c r="E3126" s="7" t="s">
        <v>31</v>
      </c>
      <c r="F3126" s="8">
        <v>2.0</v>
      </c>
      <c r="G3126" s="9">
        <v>2.0</v>
      </c>
    </row>
    <row r="3127" ht="14.25" hidden="1" customHeight="1">
      <c r="B3127" s="7" t="s">
        <v>16</v>
      </c>
      <c r="C3127" s="7" t="s">
        <v>7</v>
      </c>
      <c r="D3127" s="7" t="s">
        <v>9</v>
      </c>
      <c r="E3127" s="7" t="s">
        <v>8</v>
      </c>
      <c r="F3127" s="8">
        <v>2.0</v>
      </c>
      <c r="G3127" s="9">
        <v>2.0</v>
      </c>
    </row>
    <row r="3128" ht="14.25" hidden="1" customHeight="1">
      <c r="B3128" s="7" t="s">
        <v>16</v>
      </c>
      <c r="C3128" s="7" t="s">
        <v>7</v>
      </c>
      <c r="D3128" s="7" t="s">
        <v>9</v>
      </c>
      <c r="E3128" s="7" t="s">
        <v>8</v>
      </c>
      <c r="F3128" s="8">
        <v>2.0</v>
      </c>
      <c r="G3128" s="9">
        <v>1.0</v>
      </c>
    </row>
    <row r="3129" ht="14.25" hidden="1" customHeight="1">
      <c r="B3129" s="7" t="s">
        <v>16</v>
      </c>
      <c r="C3129" s="7" t="s">
        <v>7</v>
      </c>
      <c r="D3129" s="7" t="s">
        <v>24</v>
      </c>
      <c r="E3129" s="7" t="s">
        <v>31</v>
      </c>
      <c r="F3129" s="8">
        <v>2.0</v>
      </c>
      <c r="G3129" s="9">
        <v>1.0</v>
      </c>
    </row>
    <row r="3130" ht="14.25" hidden="1" customHeight="1">
      <c r="B3130" s="7" t="s">
        <v>16</v>
      </c>
      <c r="C3130" s="7" t="s">
        <v>30</v>
      </c>
      <c r="D3130" s="7" t="s">
        <v>24</v>
      </c>
      <c r="E3130" s="7" t="s">
        <v>31</v>
      </c>
      <c r="F3130" s="8">
        <v>2.0</v>
      </c>
      <c r="G3130" s="9">
        <v>1.0</v>
      </c>
    </row>
    <row r="3131" ht="14.25" hidden="1" customHeight="1">
      <c r="B3131" s="7" t="s">
        <v>16</v>
      </c>
      <c r="C3131" s="7" t="s">
        <v>7</v>
      </c>
      <c r="D3131" s="7" t="s">
        <v>10</v>
      </c>
      <c r="E3131" s="7" t="s">
        <v>25</v>
      </c>
      <c r="F3131" s="8">
        <v>2.0</v>
      </c>
      <c r="G3131" s="9">
        <v>1.0</v>
      </c>
    </row>
    <row r="3132" ht="14.25" hidden="1" customHeight="1">
      <c r="B3132" s="7" t="s">
        <v>16</v>
      </c>
      <c r="C3132" s="7" t="s">
        <v>30</v>
      </c>
      <c r="D3132" s="7" t="s">
        <v>10</v>
      </c>
      <c r="E3132" s="7" t="s">
        <v>24</v>
      </c>
      <c r="F3132" s="8">
        <v>2.0</v>
      </c>
      <c r="G3132" s="9">
        <v>1.0</v>
      </c>
    </row>
    <row r="3133" ht="14.25" hidden="1" customHeight="1">
      <c r="B3133" s="7" t="s">
        <v>16</v>
      </c>
      <c r="C3133" s="7" t="s">
        <v>7</v>
      </c>
      <c r="D3133" s="7" t="s">
        <v>10</v>
      </c>
      <c r="E3133" s="7" t="s">
        <v>31</v>
      </c>
      <c r="F3133" s="8">
        <v>2.0</v>
      </c>
      <c r="G3133" s="9">
        <v>1.0</v>
      </c>
    </row>
    <row r="3134" ht="14.25" hidden="1" customHeight="1">
      <c r="B3134" s="7" t="s">
        <v>16</v>
      </c>
      <c r="C3134" s="7" t="s">
        <v>30</v>
      </c>
      <c r="D3134" s="7" t="s">
        <v>10</v>
      </c>
      <c r="E3134" s="7" t="s">
        <v>31</v>
      </c>
      <c r="F3134" s="8">
        <v>2.0</v>
      </c>
      <c r="G3134" s="9">
        <v>1.0</v>
      </c>
    </row>
    <row r="3135" ht="14.25" hidden="1" customHeight="1">
      <c r="B3135" s="7" t="s">
        <v>16</v>
      </c>
      <c r="C3135" s="7" t="s">
        <v>7</v>
      </c>
      <c r="D3135" s="7" t="s">
        <v>10</v>
      </c>
      <c r="E3135" s="7" t="s">
        <v>31</v>
      </c>
      <c r="F3135" s="8">
        <v>2.0</v>
      </c>
      <c r="G3135" s="9">
        <v>1.0</v>
      </c>
    </row>
    <row r="3136" ht="14.25" hidden="1" customHeight="1">
      <c r="B3136" s="7" t="s">
        <v>16</v>
      </c>
      <c r="C3136" s="7" t="s">
        <v>7</v>
      </c>
      <c r="D3136" s="7" t="s">
        <v>32</v>
      </c>
      <c r="E3136" s="7" t="s">
        <v>25</v>
      </c>
      <c r="F3136" s="8">
        <v>2.0</v>
      </c>
      <c r="G3136" s="9">
        <v>2.0</v>
      </c>
    </row>
    <row r="3137" ht="14.25" hidden="1" customHeight="1">
      <c r="B3137" s="7" t="s">
        <v>16</v>
      </c>
      <c r="C3137" s="7" t="s">
        <v>7</v>
      </c>
      <c r="D3137" s="7" t="s">
        <v>32</v>
      </c>
      <c r="E3137" s="7" t="s">
        <v>25</v>
      </c>
      <c r="F3137" s="8">
        <v>2.0</v>
      </c>
      <c r="G3137" s="9">
        <v>1.0</v>
      </c>
    </row>
    <row r="3138" ht="14.25" hidden="1" customHeight="1">
      <c r="B3138" s="7" t="s">
        <v>16</v>
      </c>
      <c r="C3138" s="7" t="s">
        <v>7</v>
      </c>
      <c r="D3138" s="7" t="s">
        <v>32</v>
      </c>
      <c r="E3138" s="7" t="s">
        <v>33</v>
      </c>
      <c r="F3138" s="8">
        <v>2.0</v>
      </c>
      <c r="G3138" s="9">
        <v>1.0</v>
      </c>
    </row>
    <row r="3139" ht="14.25" hidden="1" customHeight="1">
      <c r="B3139" s="7" t="s">
        <v>16</v>
      </c>
      <c r="C3139" s="7" t="s">
        <v>7</v>
      </c>
      <c r="D3139" s="7" t="s">
        <v>32</v>
      </c>
      <c r="E3139" s="7" t="s">
        <v>33</v>
      </c>
      <c r="F3139" s="8">
        <v>2.0</v>
      </c>
      <c r="G3139" s="9">
        <v>1.0</v>
      </c>
    </row>
    <row r="3140" ht="14.25" hidden="1" customHeight="1">
      <c r="B3140" s="7" t="s">
        <v>16</v>
      </c>
      <c r="C3140" s="7" t="s">
        <v>7</v>
      </c>
      <c r="D3140" s="7" t="s">
        <v>32</v>
      </c>
      <c r="E3140" s="7" t="s">
        <v>28</v>
      </c>
      <c r="F3140" s="8">
        <v>2.0</v>
      </c>
      <c r="G3140" s="9">
        <v>1.0</v>
      </c>
    </row>
    <row r="3141" ht="14.25" hidden="1" customHeight="1">
      <c r="B3141" s="7" t="s">
        <v>16</v>
      </c>
      <c r="C3141" s="7" t="s">
        <v>7</v>
      </c>
      <c r="D3141" s="7" t="s">
        <v>32</v>
      </c>
      <c r="E3141" s="7" t="s">
        <v>35</v>
      </c>
      <c r="F3141" s="8">
        <v>2.0</v>
      </c>
      <c r="G3141" s="9">
        <v>1.0</v>
      </c>
    </row>
    <row r="3142" ht="14.25" hidden="1" customHeight="1">
      <c r="B3142" s="7" t="s">
        <v>16</v>
      </c>
      <c r="C3142" s="7" t="s">
        <v>7</v>
      </c>
      <c r="D3142" s="7" t="s">
        <v>32</v>
      </c>
      <c r="E3142" s="7" t="s">
        <v>9</v>
      </c>
      <c r="F3142" s="8">
        <v>2.0</v>
      </c>
      <c r="G3142" s="9">
        <v>1.0</v>
      </c>
    </row>
    <row r="3143" ht="14.25" hidden="1" customHeight="1">
      <c r="B3143" s="7" t="s">
        <v>16</v>
      </c>
      <c r="C3143" s="7" t="s">
        <v>30</v>
      </c>
      <c r="D3143" s="7" t="s">
        <v>32</v>
      </c>
      <c r="E3143" s="7" t="s">
        <v>31</v>
      </c>
      <c r="F3143" s="8">
        <v>2.0</v>
      </c>
      <c r="G3143" s="9">
        <v>1.0</v>
      </c>
    </row>
    <row r="3144" ht="14.25" hidden="1" customHeight="1">
      <c r="B3144" s="7" t="s">
        <v>16</v>
      </c>
      <c r="C3144" s="7" t="s">
        <v>29</v>
      </c>
      <c r="D3144" s="7" t="s">
        <v>31</v>
      </c>
      <c r="E3144" s="7" t="s">
        <v>28</v>
      </c>
      <c r="F3144" s="8">
        <v>2.0</v>
      </c>
      <c r="G3144" s="9">
        <v>2.0</v>
      </c>
    </row>
    <row r="3145" ht="14.25" hidden="1" customHeight="1">
      <c r="B3145" s="7" t="s">
        <v>16</v>
      </c>
      <c r="C3145" s="7" t="s">
        <v>7</v>
      </c>
      <c r="D3145" s="7" t="s">
        <v>31</v>
      </c>
      <c r="E3145" s="7" t="s">
        <v>28</v>
      </c>
      <c r="F3145" s="8">
        <v>2.0</v>
      </c>
      <c r="G3145" s="9">
        <v>1.0</v>
      </c>
    </row>
    <row r="3146" ht="14.25" hidden="1" customHeight="1">
      <c r="B3146" s="7" t="s">
        <v>16</v>
      </c>
      <c r="C3146" s="7" t="s">
        <v>7</v>
      </c>
      <c r="D3146" s="7" t="s">
        <v>31</v>
      </c>
      <c r="E3146" s="7" t="s">
        <v>9</v>
      </c>
      <c r="F3146" s="8">
        <v>2.0</v>
      </c>
      <c r="G3146" s="9">
        <v>1.0</v>
      </c>
    </row>
    <row r="3147" ht="14.25" hidden="1" customHeight="1">
      <c r="B3147" s="7" t="s">
        <v>16</v>
      </c>
      <c r="C3147" s="7" t="s">
        <v>7</v>
      </c>
      <c r="D3147" s="7" t="s">
        <v>31</v>
      </c>
      <c r="E3147" s="7" t="s">
        <v>10</v>
      </c>
      <c r="F3147" s="8">
        <v>2.0</v>
      </c>
      <c r="G3147" s="9">
        <v>1.0</v>
      </c>
    </row>
    <row r="3148" ht="14.25" hidden="1" customHeight="1">
      <c r="B3148" s="7" t="s">
        <v>16</v>
      </c>
      <c r="C3148" s="7" t="s">
        <v>7</v>
      </c>
      <c r="D3148" s="7" t="s">
        <v>31</v>
      </c>
      <c r="E3148" s="7" t="s">
        <v>32</v>
      </c>
      <c r="F3148" s="8">
        <v>2.0</v>
      </c>
      <c r="G3148" s="9">
        <v>1.0</v>
      </c>
    </row>
    <row r="3149" ht="14.25" hidden="1" customHeight="1">
      <c r="B3149" s="7" t="s">
        <v>16</v>
      </c>
      <c r="C3149" s="7" t="s">
        <v>29</v>
      </c>
      <c r="D3149" s="7" t="s">
        <v>31</v>
      </c>
      <c r="E3149" s="7" t="s">
        <v>31</v>
      </c>
      <c r="F3149" s="8">
        <v>2.0</v>
      </c>
      <c r="G3149" s="9">
        <v>2.0</v>
      </c>
    </row>
    <row r="3150" ht="14.25" hidden="1" customHeight="1">
      <c r="B3150" s="7" t="s">
        <v>16</v>
      </c>
      <c r="C3150" s="7" t="s">
        <v>29</v>
      </c>
      <c r="D3150" s="7" t="s">
        <v>31</v>
      </c>
      <c r="E3150" s="7" t="s">
        <v>31</v>
      </c>
      <c r="F3150" s="8">
        <v>2.0</v>
      </c>
      <c r="G3150" s="9">
        <v>2.0</v>
      </c>
    </row>
    <row r="3151" ht="14.25" hidden="1" customHeight="1">
      <c r="B3151" s="7" t="s">
        <v>16</v>
      </c>
      <c r="C3151" s="7" t="s">
        <v>29</v>
      </c>
      <c r="D3151" s="7" t="s">
        <v>8</v>
      </c>
      <c r="E3151" s="7" t="s">
        <v>35</v>
      </c>
      <c r="F3151" s="8">
        <v>2.0</v>
      </c>
      <c r="G3151" s="9">
        <v>2.0</v>
      </c>
    </row>
    <row r="3152" ht="14.25" hidden="1" customHeight="1">
      <c r="B3152" s="7" t="s">
        <v>16</v>
      </c>
      <c r="C3152" s="7" t="s">
        <v>7</v>
      </c>
      <c r="D3152" s="7" t="s">
        <v>8</v>
      </c>
      <c r="E3152" s="7" t="s">
        <v>9</v>
      </c>
      <c r="F3152" s="8">
        <v>2.0</v>
      </c>
      <c r="G3152" s="9">
        <v>2.0</v>
      </c>
    </row>
    <row r="3153" ht="14.25" hidden="1" customHeight="1">
      <c r="B3153" s="7" t="s">
        <v>16</v>
      </c>
      <c r="C3153" s="7" t="s">
        <v>29</v>
      </c>
      <c r="D3153" s="7" t="s">
        <v>8</v>
      </c>
      <c r="E3153" s="7" t="s">
        <v>9</v>
      </c>
      <c r="F3153" s="8">
        <v>2.0</v>
      </c>
      <c r="G3153" s="9">
        <v>2.0</v>
      </c>
    </row>
    <row r="3154" ht="14.25" hidden="1" customHeight="1">
      <c r="B3154" s="7" t="s">
        <v>16</v>
      </c>
      <c r="C3154" s="7" t="s">
        <v>7</v>
      </c>
      <c r="D3154" s="7" t="s">
        <v>8</v>
      </c>
      <c r="E3154" s="7" t="s">
        <v>9</v>
      </c>
      <c r="F3154" s="8">
        <v>2.0</v>
      </c>
      <c r="G3154" s="9">
        <v>1.0</v>
      </c>
    </row>
    <row r="3155" ht="14.25" hidden="1" customHeight="1">
      <c r="B3155" s="7" t="s">
        <v>16</v>
      </c>
      <c r="C3155" s="7" t="s">
        <v>36</v>
      </c>
      <c r="D3155" s="7" t="s">
        <v>8</v>
      </c>
      <c r="E3155" s="7" t="s">
        <v>24</v>
      </c>
      <c r="F3155" s="8">
        <v>2.0</v>
      </c>
      <c r="G3155" s="9">
        <v>2.0</v>
      </c>
    </row>
    <row r="3156" ht="14.25" hidden="1" customHeight="1">
      <c r="B3156" s="7" t="s">
        <v>16</v>
      </c>
      <c r="C3156" s="7" t="s">
        <v>7</v>
      </c>
      <c r="D3156" s="7" t="s">
        <v>8</v>
      </c>
      <c r="E3156" s="7" t="s">
        <v>10</v>
      </c>
      <c r="F3156" s="8">
        <v>2.0</v>
      </c>
      <c r="G3156" s="9">
        <v>1.0</v>
      </c>
    </row>
    <row r="3157" ht="14.25" customHeight="1">
      <c r="B3157" s="7" t="s">
        <v>16</v>
      </c>
      <c r="C3157" s="7" t="s">
        <v>36</v>
      </c>
      <c r="D3157" s="7" t="s">
        <v>8</v>
      </c>
      <c r="E3157" s="7" t="s">
        <v>31</v>
      </c>
      <c r="F3157" s="8">
        <v>2.0</v>
      </c>
      <c r="G3157" s="9">
        <v>2.0</v>
      </c>
    </row>
    <row r="3158" ht="14.25" customHeight="1">
      <c r="B3158" s="7" t="s">
        <v>16</v>
      </c>
      <c r="C3158" s="7" t="s">
        <v>7</v>
      </c>
      <c r="D3158" s="7" t="s">
        <v>8</v>
      </c>
      <c r="E3158" s="7" t="s">
        <v>31</v>
      </c>
      <c r="F3158" s="8">
        <v>2.0</v>
      </c>
      <c r="G3158" s="9">
        <v>1.0</v>
      </c>
    </row>
    <row r="3159" ht="14.25" hidden="1" customHeight="1">
      <c r="B3159" s="7" t="s">
        <v>16</v>
      </c>
      <c r="C3159" s="7" t="s">
        <v>29</v>
      </c>
      <c r="D3159" s="7" t="s">
        <v>28</v>
      </c>
      <c r="E3159" s="7" t="s">
        <v>35</v>
      </c>
      <c r="F3159" s="8">
        <v>1.0</v>
      </c>
      <c r="G3159" s="9">
        <v>1.0</v>
      </c>
    </row>
    <row r="3160" ht="14.25" hidden="1" customHeight="1">
      <c r="B3160" s="7" t="s">
        <v>16</v>
      </c>
      <c r="C3160" s="7" t="s">
        <v>29</v>
      </c>
      <c r="D3160" s="7" t="s">
        <v>28</v>
      </c>
      <c r="E3160" s="7" t="s">
        <v>9</v>
      </c>
      <c r="F3160" s="8">
        <v>1.0</v>
      </c>
      <c r="G3160" s="9">
        <v>1.0</v>
      </c>
    </row>
    <row r="3161" ht="14.25" hidden="1" customHeight="1">
      <c r="B3161" s="7" t="s">
        <v>16</v>
      </c>
      <c r="C3161" s="7" t="s">
        <v>29</v>
      </c>
      <c r="D3161" s="7" t="s">
        <v>28</v>
      </c>
      <c r="E3161" s="7" t="s">
        <v>31</v>
      </c>
      <c r="F3161" s="8">
        <v>1.0</v>
      </c>
      <c r="G3161" s="9">
        <v>1.0</v>
      </c>
    </row>
    <row r="3162" ht="14.25" hidden="1" customHeight="1">
      <c r="B3162" s="7" t="s">
        <v>16</v>
      </c>
      <c r="C3162" s="7" t="s">
        <v>29</v>
      </c>
      <c r="D3162" s="7" t="s">
        <v>34</v>
      </c>
      <c r="E3162" s="7" t="s">
        <v>32</v>
      </c>
      <c r="F3162" s="8">
        <v>1.0</v>
      </c>
      <c r="G3162" s="9">
        <v>1.0</v>
      </c>
    </row>
    <row r="3163" ht="14.25" hidden="1" customHeight="1">
      <c r="B3163" s="7" t="s">
        <v>16</v>
      </c>
      <c r="C3163" s="7" t="s">
        <v>29</v>
      </c>
      <c r="D3163" s="7" t="s">
        <v>34</v>
      </c>
      <c r="E3163" s="7" t="s">
        <v>8</v>
      </c>
      <c r="F3163" s="8">
        <v>1.0</v>
      </c>
      <c r="G3163" s="9">
        <v>1.0</v>
      </c>
    </row>
    <row r="3164" ht="14.25" hidden="1" customHeight="1">
      <c r="B3164" s="7" t="s">
        <v>16</v>
      </c>
      <c r="C3164" s="7" t="s">
        <v>29</v>
      </c>
      <c r="D3164" s="7" t="s">
        <v>9</v>
      </c>
      <c r="E3164" s="7" t="s">
        <v>24</v>
      </c>
      <c r="F3164" s="8">
        <v>1.0</v>
      </c>
      <c r="G3164" s="9">
        <v>1.0</v>
      </c>
    </row>
    <row r="3165" ht="14.25" hidden="1" customHeight="1">
      <c r="B3165" s="7" t="s">
        <v>16</v>
      </c>
      <c r="C3165" s="7" t="s">
        <v>29</v>
      </c>
      <c r="D3165" s="7" t="s">
        <v>9</v>
      </c>
      <c r="E3165" s="7" t="s">
        <v>10</v>
      </c>
      <c r="F3165" s="8">
        <v>1.0</v>
      </c>
      <c r="G3165" s="9">
        <v>1.0</v>
      </c>
    </row>
    <row r="3166" ht="14.25" hidden="1" customHeight="1">
      <c r="B3166" s="7" t="s">
        <v>16</v>
      </c>
      <c r="C3166" s="7" t="s">
        <v>29</v>
      </c>
      <c r="D3166" s="7" t="s">
        <v>9</v>
      </c>
      <c r="E3166" s="7" t="s">
        <v>31</v>
      </c>
      <c r="F3166" s="8">
        <v>1.0</v>
      </c>
      <c r="G3166" s="9">
        <v>1.0</v>
      </c>
    </row>
    <row r="3167" ht="14.25" hidden="1" customHeight="1">
      <c r="B3167" s="7" t="s">
        <v>16</v>
      </c>
      <c r="C3167" s="7" t="s">
        <v>29</v>
      </c>
      <c r="D3167" s="7" t="s">
        <v>24</v>
      </c>
      <c r="E3167" s="7" t="s">
        <v>10</v>
      </c>
      <c r="F3167" s="8">
        <v>1.0</v>
      </c>
      <c r="G3167" s="9">
        <v>1.0</v>
      </c>
    </row>
    <row r="3168" ht="14.25" hidden="1" customHeight="1">
      <c r="B3168" s="7" t="s">
        <v>16</v>
      </c>
      <c r="C3168" s="7" t="s">
        <v>29</v>
      </c>
      <c r="D3168" s="7" t="s">
        <v>32</v>
      </c>
      <c r="E3168" s="7" t="s">
        <v>31</v>
      </c>
      <c r="F3168" s="8">
        <v>1.0</v>
      </c>
      <c r="G3168" s="9">
        <v>1.0</v>
      </c>
    </row>
    <row r="3169" ht="14.25" hidden="1" customHeight="1">
      <c r="B3169" s="7" t="s">
        <v>16</v>
      </c>
      <c r="C3169" s="7" t="s">
        <v>29</v>
      </c>
      <c r="D3169" s="7" t="s">
        <v>31</v>
      </c>
      <c r="E3169" s="7" t="s">
        <v>28</v>
      </c>
      <c r="F3169" s="8">
        <v>1.0</v>
      </c>
      <c r="G3169" s="9">
        <v>1.0</v>
      </c>
    </row>
    <row r="3170" ht="14.25" hidden="1" customHeight="1">
      <c r="B3170" s="7" t="s">
        <v>16</v>
      </c>
      <c r="C3170" s="7" t="s">
        <v>36</v>
      </c>
      <c r="D3170" s="7" t="s">
        <v>31</v>
      </c>
      <c r="E3170" s="7" t="s">
        <v>28</v>
      </c>
      <c r="F3170" s="8">
        <v>1.0</v>
      </c>
      <c r="G3170" s="9">
        <v>1.0</v>
      </c>
    </row>
    <row r="3171" ht="14.25" hidden="1" customHeight="1">
      <c r="B3171" s="7" t="s">
        <v>16</v>
      </c>
      <c r="C3171" s="7" t="s">
        <v>36</v>
      </c>
      <c r="D3171" s="7" t="s">
        <v>31</v>
      </c>
      <c r="E3171" s="7" t="s">
        <v>10</v>
      </c>
      <c r="F3171" s="8">
        <v>1.0</v>
      </c>
      <c r="G3171" s="9">
        <v>1.0</v>
      </c>
    </row>
    <row r="3172" ht="14.25" hidden="1" customHeight="1">
      <c r="B3172" s="7" t="s">
        <v>16</v>
      </c>
      <c r="C3172" s="7" t="s">
        <v>36</v>
      </c>
      <c r="D3172" s="7" t="s">
        <v>8</v>
      </c>
      <c r="E3172" s="7" t="s">
        <v>28</v>
      </c>
      <c r="F3172" s="8">
        <v>1.0</v>
      </c>
      <c r="G3172" s="9">
        <v>1.0</v>
      </c>
    </row>
    <row r="3173" ht="14.25" hidden="1" customHeight="1">
      <c r="B3173" s="7" t="s">
        <v>16</v>
      </c>
      <c r="C3173" s="7" t="s">
        <v>29</v>
      </c>
      <c r="D3173" s="7" t="s">
        <v>8</v>
      </c>
      <c r="E3173" s="7" t="s">
        <v>35</v>
      </c>
      <c r="F3173" s="8">
        <v>1.0</v>
      </c>
      <c r="G3173" s="9">
        <v>1.0</v>
      </c>
    </row>
    <row r="3174" ht="14.25" hidden="1" customHeight="1">
      <c r="B3174" s="7" t="s">
        <v>16</v>
      </c>
      <c r="C3174" s="7" t="s">
        <v>36</v>
      </c>
      <c r="D3174" s="7" t="s">
        <v>8</v>
      </c>
      <c r="E3174" s="7" t="s">
        <v>9</v>
      </c>
      <c r="F3174" s="8">
        <v>1.0</v>
      </c>
      <c r="G3174" s="9">
        <v>1.0</v>
      </c>
    </row>
    <row r="3175" ht="14.25" hidden="1" customHeight="1">
      <c r="B3175" s="7" t="s">
        <v>16</v>
      </c>
      <c r="C3175" s="7" t="s">
        <v>29</v>
      </c>
      <c r="D3175" s="7" t="s">
        <v>8</v>
      </c>
      <c r="E3175" s="7" t="s">
        <v>10</v>
      </c>
      <c r="F3175" s="8">
        <v>1.0</v>
      </c>
      <c r="G3175" s="9">
        <v>1.0</v>
      </c>
    </row>
    <row r="3176" ht="14.25" customHeight="1">
      <c r="B3176" s="7" t="s">
        <v>16</v>
      </c>
      <c r="C3176" s="7" t="s">
        <v>29</v>
      </c>
      <c r="D3176" s="7" t="s">
        <v>8</v>
      </c>
      <c r="E3176" s="7" t="s">
        <v>31</v>
      </c>
      <c r="F3176" s="8">
        <v>1.0</v>
      </c>
      <c r="G3176" s="9">
        <v>1.0</v>
      </c>
    </row>
    <row r="3177" ht="14.25" hidden="1" customHeight="1">
      <c r="B3177" s="7" t="s">
        <v>13</v>
      </c>
      <c r="C3177" s="7" t="s">
        <v>7</v>
      </c>
      <c r="D3177" s="7" t="s">
        <v>8</v>
      </c>
      <c r="E3177" s="7" t="s">
        <v>24</v>
      </c>
      <c r="F3177" s="8">
        <v>4892.0</v>
      </c>
      <c r="G3177" s="9">
        <v>2446.0</v>
      </c>
    </row>
    <row r="3178" ht="14.25" hidden="1" customHeight="1">
      <c r="B3178" s="7" t="s">
        <v>13</v>
      </c>
      <c r="C3178" s="7" t="s">
        <v>7</v>
      </c>
      <c r="D3178" s="7" t="s">
        <v>25</v>
      </c>
      <c r="E3178" s="7" t="s">
        <v>8</v>
      </c>
      <c r="F3178" s="8">
        <v>4710.0</v>
      </c>
      <c r="G3178" s="9">
        <v>2355.0</v>
      </c>
    </row>
    <row r="3179" ht="14.25" hidden="1" customHeight="1">
      <c r="B3179" s="7" t="s">
        <v>13</v>
      </c>
      <c r="C3179" s="7" t="s">
        <v>7</v>
      </c>
      <c r="D3179" s="7" t="s">
        <v>8</v>
      </c>
      <c r="E3179" s="7" t="s">
        <v>9</v>
      </c>
      <c r="F3179" s="8">
        <v>4694.0</v>
      </c>
      <c r="G3179" s="9">
        <v>2347.0</v>
      </c>
    </row>
    <row r="3180" ht="14.25" hidden="1" customHeight="1">
      <c r="B3180" s="7" t="s">
        <v>13</v>
      </c>
      <c r="C3180" s="7" t="s">
        <v>7</v>
      </c>
      <c r="D3180" s="7" t="s">
        <v>25</v>
      </c>
      <c r="E3180" s="7" t="s">
        <v>8</v>
      </c>
      <c r="F3180" s="8">
        <v>4386.0</v>
      </c>
      <c r="G3180" s="9">
        <v>2193.0</v>
      </c>
    </row>
    <row r="3181" ht="14.25" hidden="1" customHeight="1">
      <c r="B3181" s="7" t="s">
        <v>13</v>
      </c>
      <c r="C3181" s="7" t="s">
        <v>29</v>
      </c>
      <c r="D3181" s="7" t="s">
        <v>11</v>
      </c>
      <c r="E3181" s="7" t="s">
        <v>10</v>
      </c>
      <c r="F3181" s="8">
        <v>2910.0</v>
      </c>
      <c r="G3181" s="9">
        <v>2910.0</v>
      </c>
    </row>
    <row r="3182" ht="14.25" hidden="1" customHeight="1">
      <c r="B3182" s="7" t="s">
        <v>13</v>
      </c>
      <c r="C3182" s="7" t="s">
        <v>7</v>
      </c>
      <c r="D3182" s="7" t="s">
        <v>31</v>
      </c>
      <c r="E3182" s="7" t="s">
        <v>9</v>
      </c>
      <c r="F3182" s="8">
        <v>2910.0</v>
      </c>
      <c r="G3182" s="9">
        <v>1455.0</v>
      </c>
    </row>
    <row r="3183" ht="14.25" hidden="1" customHeight="1">
      <c r="B3183" s="7" t="s">
        <v>13</v>
      </c>
      <c r="C3183" s="7" t="s">
        <v>7</v>
      </c>
      <c r="D3183" s="7" t="s">
        <v>8</v>
      </c>
      <c r="E3183" s="7" t="s">
        <v>28</v>
      </c>
      <c r="F3183" s="8">
        <v>2744.0</v>
      </c>
      <c r="G3183" s="9">
        <v>1372.0</v>
      </c>
    </row>
    <row r="3184" ht="14.25" hidden="1" customHeight="1">
      <c r="B3184" s="7" t="s">
        <v>13</v>
      </c>
      <c r="C3184" s="7" t="s">
        <v>7</v>
      </c>
      <c r="D3184" s="7" t="s">
        <v>10</v>
      </c>
      <c r="E3184" s="7" t="s">
        <v>11</v>
      </c>
      <c r="F3184" s="8">
        <v>2742.0</v>
      </c>
      <c r="G3184" s="9">
        <v>1371.0</v>
      </c>
    </row>
    <row r="3185" ht="14.25" hidden="1" customHeight="1">
      <c r="B3185" s="7" t="s">
        <v>13</v>
      </c>
      <c r="C3185" s="7" t="s">
        <v>7</v>
      </c>
      <c r="D3185" s="7" t="s">
        <v>8</v>
      </c>
      <c r="E3185" s="7" t="s">
        <v>11</v>
      </c>
      <c r="F3185" s="8">
        <v>2614.0</v>
      </c>
      <c r="G3185" s="9">
        <v>1307.0</v>
      </c>
    </row>
    <row r="3186" ht="14.25" hidden="1" customHeight="1">
      <c r="B3186" s="7" t="s">
        <v>13</v>
      </c>
      <c r="C3186" s="7" t="s">
        <v>7</v>
      </c>
      <c r="D3186" s="7" t="s">
        <v>9</v>
      </c>
      <c r="E3186" s="7" t="s">
        <v>25</v>
      </c>
      <c r="F3186" s="8">
        <v>2544.0</v>
      </c>
      <c r="G3186" s="9">
        <v>1272.0</v>
      </c>
    </row>
    <row r="3187" ht="14.25" hidden="1" customHeight="1">
      <c r="B3187" s="7" t="s">
        <v>13</v>
      </c>
      <c r="C3187" s="7" t="s">
        <v>7</v>
      </c>
      <c r="D3187" s="7" t="s">
        <v>8</v>
      </c>
      <c r="E3187" s="7" t="s">
        <v>25</v>
      </c>
      <c r="F3187" s="8">
        <v>2314.0</v>
      </c>
      <c r="G3187" s="9">
        <v>1157.0</v>
      </c>
    </row>
    <row r="3188" ht="14.25" hidden="1" customHeight="1">
      <c r="B3188" s="7" t="s">
        <v>13</v>
      </c>
      <c r="C3188" s="7" t="s">
        <v>7</v>
      </c>
      <c r="D3188" s="7" t="s">
        <v>31</v>
      </c>
      <c r="E3188" s="7" t="s">
        <v>28</v>
      </c>
      <c r="F3188" s="8">
        <v>1658.0</v>
      </c>
      <c r="G3188" s="9">
        <v>829.0</v>
      </c>
    </row>
    <row r="3189" ht="14.25" hidden="1" customHeight="1">
      <c r="B3189" s="7" t="s">
        <v>13</v>
      </c>
      <c r="C3189" s="7" t="s">
        <v>29</v>
      </c>
      <c r="D3189" s="7" t="s">
        <v>31</v>
      </c>
      <c r="E3189" s="7" t="s">
        <v>9</v>
      </c>
      <c r="F3189" s="8">
        <v>1651.0</v>
      </c>
      <c r="G3189" s="9">
        <v>1651.0</v>
      </c>
    </row>
    <row r="3190" ht="14.25" hidden="1" customHeight="1">
      <c r="B3190" s="7" t="s">
        <v>13</v>
      </c>
      <c r="C3190" s="7" t="s">
        <v>7</v>
      </c>
      <c r="D3190" s="7" t="s">
        <v>31</v>
      </c>
      <c r="E3190" s="7" t="s">
        <v>9</v>
      </c>
      <c r="F3190" s="8">
        <v>1634.0</v>
      </c>
      <c r="G3190" s="9">
        <v>817.0</v>
      </c>
    </row>
    <row r="3191" ht="14.25" hidden="1" customHeight="1">
      <c r="B3191" s="7" t="s">
        <v>13</v>
      </c>
      <c r="C3191" s="7" t="s">
        <v>7</v>
      </c>
      <c r="D3191" s="7" t="s">
        <v>31</v>
      </c>
      <c r="E3191" s="7" t="s">
        <v>25</v>
      </c>
      <c r="F3191" s="8">
        <v>1458.0</v>
      </c>
      <c r="G3191" s="9">
        <v>729.0</v>
      </c>
    </row>
    <row r="3192" ht="14.25" hidden="1" customHeight="1">
      <c r="B3192" s="7" t="s">
        <v>13</v>
      </c>
      <c r="C3192" s="7" t="s">
        <v>7</v>
      </c>
      <c r="D3192" s="7" t="s">
        <v>25</v>
      </c>
      <c r="E3192" s="7" t="s">
        <v>9</v>
      </c>
      <c r="F3192" s="8">
        <v>1432.0</v>
      </c>
      <c r="G3192" s="9">
        <v>716.0</v>
      </c>
    </row>
    <row r="3193" ht="14.25" hidden="1" customHeight="1">
      <c r="B3193" s="7" t="s">
        <v>13</v>
      </c>
      <c r="C3193" s="7" t="s">
        <v>7</v>
      </c>
      <c r="D3193" s="7" t="s">
        <v>33</v>
      </c>
      <c r="E3193" s="7" t="s">
        <v>8</v>
      </c>
      <c r="F3193" s="8">
        <v>1356.0</v>
      </c>
      <c r="G3193" s="9">
        <v>678.0</v>
      </c>
    </row>
    <row r="3194" ht="14.25" hidden="1" customHeight="1">
      <c r="B3194" s="7" t="s">
        <v>13</v>
      </c>
      <c r="C3194" s="7" t="s">
        <v>7</v>
      </c>
      <c r="D3194" s="7" t="s">
        <v>28</v>
      </c>
      <c r="E3194" s="7" t="s">
        <v>25</v>
      </c>
      <c r="F3194" s="8">
        <v>1248.0</v>
      </c>
      <c r="G3194" s="9">
        <v>624.0</v>
      </c>
    </row>
    <row r="3195" ht="14.25" customHeight="1">
      <c r="B3195" s="7" t="s">
        <v>13</v>
      </c>
      <c r="C3195" s="7" t="s">
        <v>7</v>
      </c>
      <c r="D3195" s="7" t="s">
        <v>8</v>
      </c>
      <c r="E3195" s="7" t="s">
        <v>31</v>
      </c>
      <c r="F3195" s="8">
        <v>1212.0</v>
      </c>
      <c r="G3195" s="9">
        <v>606.0</v>
      </c>
    </row>
    <row r="3196" ht="14.25" hidden="1" customHeight="1">
      <c r="B3196" s="7" t="s">
        <v>13</v>
      </c>
      <c r="C3196" s="7" t="s">
        <v>7</v>
      </c>
      <c r="D3196" s="7" t="s">
        <v>25</v>
      </c>
      <c r="E3196" s="7" t="s">
        <v>10</v>
      </c>
      <c r="F3196" s="8">
        <v>1140.0</v>
      </c>
      <c r="G3196" s="9">
        <v>570.0</v>
      </c>
    </row>
    <row r="3197" ht="14.25" hidden="1" customHeight="1">
      <c r="B3197" s="7" t="s">
        <v>13</v>
      </c>
      <c r="C3197" s="7" t="s">
        <v>29</v>
      </c>
      <c r="D3197" s="7" t="s">
        <v>31</v>
      </c>
      <c r="E3197" s="7" t="s">
        <v>28</v>
      </c>
      <c r="F3197" s="8">
        <v>1046.0</v>
      </c>
      <c r="G3197" s="9">
        <v>1046.0</v>
      </c>
    </row>
    <row r="3198" ht="14.25" hidden="1" customHeight="1">
      <c r="B3198" s="7" t="s">
        <v>13</v>
      </c>
      <c r="C3198" s="7" t="s">
        <v>7</v>
      </c>
      <c r="D3198" s="7" t="s">
        <v>33</v>
      </c>
      <c r="E3198" s="7" t="s">
        <v>8</v>
      </c>
      <c r="F3198" s="8">
        <v>1040.0</v>
      </c>
      <c r="G3198" s="9">
        <v>520.0</v>
      </c>
    </row>
    <row r="3199" ht="14.25" customHeight="1">
      <c r="B3199" s="7" t="s">
        <v>13</v>
      </c>
      <c r="C3199" s="7" t="s">
        <v>30</v>
      </c>
      <c r="D3199" s="7" t="s">
        <v>8</v>
      </c>
      <c r="E3199" s="7" t="s">
        <v>31</v>
      </c>
      <c r="F3199" s="8">
        <v>1014.0</v>
      </c>
      <c r="G3199" s="9">
        <v>507.0</v>
      </c>
    </row>
    <row r="3200" ht="14.25" hidden="1" customHeight="1">
      <c r="B3200" s="7" t="s">
        <v>13</v>
      </c>
      <c r="C3200" s="7" t="s">
        <v>7</v>
      </c>
      <c r="D3200" s="7" t="s">
        <v>25</v>
      </c>
      <c r="E3200" s="7" t="s">
        <v>31</v>
      </c>
      <c r="F3200" s="8">
        <v>980.0</v>
      </c>
      <c r="G3200" s="9">
        <v>490.0</v>
      </c>
    </row>
    <row r="3201" ht="14.25" hidden="1" customHeight="1">
      <c r="B3201" s="7" t="s">
        <v>13</v>
      </c>
      <c r="C3201" s="7" t="s">
        <v>7</v>
      </c>
      <c r="D3201" s="7" t="s">
        <v>8</v>
      </c>
      <c r="E3201" s="7" t="s">
        <v>10</v>
      </c>
      <c r="F3201" s="8">
        <v>906.0</v>
      </c>
      <c r="G3201" s="9">
        <v>453.0</v>
      </c>
    </row>
    <row r="3202" ht="14.25" hidden="1" customHeight="1">
      <c r="B3202" s="7" t="s">
        <v>13</v>
      </c>
      <c r="C3202" s="7" t="s">
        <v>7</v>
      </c>
      <c r="D3202" s="7" t="s">
        <v>25</v>
      </c>
      <c r="E3202" s="7" t="s">
        <v>28</v>
      </c>
      <c r="F3202" s="8">
        <v>886.0</v>
      </c>
      <c r="G3202" s="9">
        <v>443.0</v>
      </c>
    </row>
    <row r="3203" ht="14.25" hidden="1" customHeight="1">
      <c r="B3203" s="7" t="s">
        <v>13</v>
      </c>
      <c r="C3203" s="7" t="s">
        <v>7</v>
      </c>
      <c r="D3203" s="7" t="s">
        <v>8</v>
      </c>
      <c r="E3203" s="7" t="s">
        <v>28</v>
      </c>
      <c r="F3203" s="8">
        <v>884.0</v>
      </c>
      <c r="G3203" s="9">
        <v>442.0</v>
      </c>
    </row>
    <row r="3204" ht="14.25" hidden="1" customHeight="1">
      <c r="B3204" s="7" t="s">
        <v>13</v>
      </c>
      <c r="C3204" s="7" t="s">
        <v>7</v>
      </c>
      <c r="D3204" s="7" t="s">
        <v>8</v>
      </c>
      <c r="E3204" s="7" t="s">
        <v>33</v>
      </c>
      <c r="F3204" s="8">
        <v>832.0</v>
      </c>
      <c r="G3204" s="9">
        <v>416.0</v>
      </c>
    </row>
    <row r="3205" ht="14.25" hidden="1" customHeight="1">
      <c r="B3205" s="7" t="s">
        <v>13</v>
      </c>
      <c r="C3205" s="7" t="s">
        <v>7</v>
      </c>
      <c r="D3205" s="7" t="s">
        <v>10</v>
      </c>
      <c r="E3205" s="7" t="s">
        <v>9</v>
      </c>
      <c r="F3205" s="8">
        <v>824.0</v>
      </c>
      <c r="G3205" s="9">
        <v>412.0</v>
      </c>
    </row>
    <row r="3206" ht="14.25" hidden="1" customHeight="1">
      <c r="B3206" s="7" t="s">
        <v>13</v>
      </c>
      <c r="C3206" s="7" t="s">
        <v>30</v>
      </c>
      <c r="D3206" s="7" t="s">
        <v>31</v>
      </c>
      <c r="E3206" s="7" t="s">
        <v>9</v>
      </c>
      <c r="F3206" s="8">
        <v>814.0</v>
      </c>
      <c r="G3206" s="9">
        <v>407.0</v>
      </c>
    </row>
    <row r="3207" ht="14.25" hidden="1" customHeight="1">
      <c r="B3207" s="7" t="s">
        <v>13</v>
      </c>
      <c r="C3207" s="7" t="s">
        <v>30</v>
      </c>
      <c r="D3207" s="7" t="s">
        <v>31</v>
      </c>
      <c r="E3207" s="7" t="s">
        <v>25</v>
      </c>
      <c r="F3207" s="8">
        <v>778.0</v>
      </c>
      <c r="G3207" s="9">
        <v>389.0</v>
      </c>
    </row>
    <row r="3208" ht="14.25" hidden="1" customHeight="1">
      <c r="B3208" s="7" t="s">
        <v>13</v>
      </c>
      <c r="C3208" s="7" t="s">
        <v>7</v>
      </c>
      <c r="D3208" s="7" t="s">
        <v>9</v>
      </c>
      <c r="E3208" s="7" t="s">
        <v>8</v>
      </c>
      <c r="F3208" s="8">
        <v>740.0</v>
      </c>
      <c r="G3208" s="9">
        <v>370.0</v>
      </c>
    </row>
    <row r="3209" ht="14.25" hidden="1" customHeight="1">
      <c r="B3209" s="7" t="s">
        <v>13</v>
      </c>
      <c r="C3209" s="7" t="s">
        <v>7</v>
      </c>
      <c r="D3209" s="7" t="s">
        <v>28</v>
      </c>
      <c r="E3209" s="7" t="s">
        <v>8</v>
      </c>
      <c r="F3209" s="8">
        <v>728.0</v>
      </c>
      <c r="G3209" s="9">
        <v>364.0</v>
      </c>
    </row>
    <row r="3210" ht="14.25" hidden="1" customHeight="1">
      <c r="B3210" s="7" t="s">
        <v>13</v>
      </c>
      <c r="C3210" s="7" t="s">
        <v>29</v>
      </c>
      <c r="D3210" s="7" t="s">
        <v>10</v>
      </c>
      <c r="E3210" s="7" t="s">
        <v>11</v>
      </c>
      <c r="F3210" s="8">
        <v>716.0</v>
      </c>
      <c r="G3210" s="9">
        <v>716.0</v>
      </c>
    </row>
    <row r="3211" ht="14.25" hidden="1" customHeight="1">
      <c r="B3211" s="7" t="s">
        <v>13</v>
      </c>
      <c r="C3211" s="7" t="s">
        <v>7</v>
      </c>
      <c r="D3211" s="7" t="s">
        <v>8</v>
      </c>
      <c r="E3211" s="7" t="s">
        <v>10</v>
      </c>
      <c r="F3211" s="8">
        <v>698.0</v>
      </c>
      <c r="G3211" s="9">
        <v>349.0</v>
      </c>
    </row>
    <row r="3212" ht="14.25" customHeight="1">
      <c r="B3212" s="7" t="s">
        <v>13</v>
      </c>
      <c r="C3212" s="7" t="s">
        <v>7</v>
      </c>
      <c r="D3212" s="7" t="s">
        <v>8</v>
      </c>
      <c r="E3212" s="7" t="s">
        <v>31</v>
      </c>
      <c r="F3212" s="8">
        <v>696.0</v>
      </c>
      <c r="G3212" s="9">
        <v>348.0</v>
      </c>
    </row>
    <row r="3213" ht="14.25" hidden="1" customHeight="1">
      <c r="B3213" s="7" t="s">
        <v>13</v>
      </c>
      <c r="C3213" s="7" t="s">
        <v>29</v>
      </c>
      <c r="D3213" s="7" t="s">
        <v>8</v>
      </c>
      <c r="E3213" s="7" t="s">
        <v>9</v>
      </c>
      <c r="F3213" s="8">
        <v>669.0</v>
      </c>
      <c r="G3213" s="9">
        <v>669.0</v>
      </c>
    </row>
    <row r="3214" ht="14.25" hidden="1" customHeight="1">
      <c r="B3214" s="7" t="s">
        <v>13</v>
      </c>
      <c r="C3214" s="7" t="s">
        <v>29</v>
      </c>
      <c r="D3214" s="7" t="s">
        <v>8</v>
      </c>
      <c r="E3214" s="7" t="s">
        <v>24</v>
      </c>
      <c r="F3214" s="8">
        <v>666.0</v>
      </c>
      <c r="G3214" s="9">
        <v>666.0</v>
      </c>
    </row>
    <row r="3215" ht="14.25" hidden="1" customHeight="1">
      <c r="B3215" s="7" t="s">
        <v>13</v>
      </c>
      <c r="C3215" s="7" t="s">
        <v>29</v>
      </c>
      <c r="D3215" s="7" t="s">
        <v>32</v>
      </c>
      <c r="E3215" s="7" t="s">
        <v>28</v>
      </c>
      <c r="F3215" s="8">
        <v>641.0</v>
      </c>
      <c r="G3215" s="9">
        <v>641.0</v>
      </c>
    </row>
    <row r="3216" ht="14.25" hidden="1" customHeight="1">
      <c r="B3216" s="7" t="s">
        <v>13</v>
      </c>
      <c r="C3216" s="7" t="s">
        <v>7</v>
      </c>
      <c r="D3216" s="7" t="s">
        <v>10</v>
      </c>
      <c r="E3216" s="7" t="s">
        <v>33</v>
      </c>
      <c r="F3216" s="8">
        <v>608.0</v>
      </c>
      <c r="G3216" s="9">
        <v>304.0</v>
      </c>
    </row>
    <row r="3217" ht="14.25" hidden="1" customHeight="1">
      <c r="B3217" s="7" t="s">
        <v>13</v>
      </c>
      <c r="C3217" s="7" t="s">
        <v>30</v>
      </c>
      <c r="D3217" s="7" t="s">
        <v>31</v>
      </c>
      <c r="E3217" s="7" t="s">
        <v>28</v>
      </c>
      <c r="F3217" s="8">
        <v>606.0</v>
      </c>
      <c r="G3217" s="9">
        <v>303.0</v>
      </c>
    </row>
    <row r="3218" ht="14.25" customHeight="1">
      <c r="B3218" s="7" t="s">
        <v>13</v>
      </c>
      <c r="C3218" s="7" t="s">
        <v>7</v>
      </c>
      <c r="D3218" s="7" t="s">
        <v>8</v>
      </c>
      <c r="E3218" s="7" t="s">
        <v>31</v>
      </c>
      <c r="F3218" s="8">
        <v>604.0</v>
      </c>
      <c r="G3218" s="9">
        <v>302.0</v>
      </c>
    </row>
    <row r="3219" ht="14.25" hidden="1" customHeight="1">
      <c r="B3219" s="7" t="s">
        <v>13</v>
      </c>
      <c r="C3219" s="7" t="s">
        <v>7</v>
      </c>
      <c r="D3219" s="7" t="s">
        <v>8</v>
      </c>
      <c r="E3219" s="7" t="s">
        <v>35</v>
      </c>
      <c r="F3219" s="8">
        <v>586.0</v>
      </c>
      <c r="G3219" s="9">
        <v>293.0</v>
      </c>
    </row>
    <row r="3220" ht="14.25" hidden="1" customHeight="1">
      <c r="B3220" s="7" t="s">
        <v>13</v>
      </c>
      <c r="C3220" s="7" t="s">
        <v>7</v>
      </c>
      <c r="D3220" s="7" t="s">
        <v>9</v>
      </c>
      <c r="E3220" s="7" t="s">
        <v>28</v>
      </c>
      <c r="F3220" s="8">
        <v>574.0</v>
      </c>
      <c r="G3220" s="9">
        <v>287.0</v>
      </c>
    </row>
    <row r="3221" ht="14.25" hidden="1" customHeight="1">
      <c r="B3221" s="7" t="s">
        <v>13</v>
      </c>
      <c r="C3221" s="7" t="s">
        <v>7</v>
      </c>
      <c r="D3221" s="7" t="s">
        <v>25</v>
      </c>
      <c r="E3221" s="7" t="s">
        <v>33</v>
      </c>
      <c r="F3221" s="8">
        <v>564.0</v>
      </c>
      <c r="G3221" s="9">
        <v>282.0</v>
      </c>
    </row>
    <row r="3222" ht="14.25" hidden="1" customHeight="1">
      <c r="B3222" s="7" t="s">
        <v>13</v>
      </c>
      <c r="C3222" s="7" t="s">
        <v>7</v>
      </c>
      <c r="D3222" s="7" t="s">
        <v>33</v>
      </c>
      <c r="E3222" s="7" t="s">
        <v>9</v>
      </c>
      <c r="F3222" s="8">
        <v>562.0</v>
      </c>
      <c r="G3222" s="9">
        <v>281.0</v>
      </c>
    </row>
    <row r="3223" ht="14.25" hidden="1" customHeight="1">
      <c r="B3223" s="7" t="s">
        <v>13</v>
      </c>
      <c r="C3223" s="7" t="s">
        <v>29</v>
      </c>
      <c r="D3223" s="7" t="s">
        <v>28</v>
      </c>
      <c r="E3223" s="7" t="s">
        <v>8</v>
      </c>
      <c r="F3223" s="8">
        <v>549.0</v>
      </c>
      <c r="G3223" s="9">
        <v>549.0</v>
      </c>
    </row>
    <row r="3224" ht="14.25" hidden="1" customHeight="1">
      <c r="B3224" s="7" t="s">
        <v>13</v>
      </c>
      <c r="C3224" s="7" t="s">
        <v>7</v>
      </c>
      <c r="D3224" s="7" t="s">
        <v>9</v>
      </c>
      <c r="E3224" s="7" t="s">
        <v>31</v>
      </c>
      <c r="F3224" s="8">
        <v>540.0</v>
      </c>
      <c r="G3224" s="9">
        <v>270.0</v>
      </c>
    </row>
    <row r="3225" ht="14.25" hidden="1" customHeight="1">
      <c r="B3225" s="7" t="s">
        <v>13</v>
      </c>
      <c r="C3225" s="7" t="s">
        <v>30</v>
      </c>
      <c r="D3225" s="7" t="s">
        <v>8</v>
      </c>
      <c r="E3225" s="7" t="s">
        <v>24</v>
      </c>
      <c r="F3225" s="8">
        <v>522.0</v>
      </c>
      <c r="G3225" s="9">
        <v>261.0</v>
      </c>
    </row>
    <row r="3226" ht="14.25" hidden="1" customHeight="1">
      <c r="B3226" s="7" t="s">
        <v>13</v>
      </c>
      <c r="C3226" s="7" t="s">
        <v>7</v>
      </c>
      <c r="D3226" s="7" t="s">
        <v>32</v>
      </c>
      <c r="E3226" s="7" t="s">
        <v>9</v>
      </c>
      <c r="F3226" s="8">
        <v>512.0</v>
      </c>
      <c r="G3226" s="9">
        <v>256.0</v>
      </c>
    </row>
    <row r="3227" ht="14.25" hidden="1" customHeight="1">
      <c r="B3227" s="7" t="s">
        <v>13</v>
      </c>
      <c r="C3227" s="7" t="s">
        <v>7</v>
      </c>
      <c r="D3227" s="7" t="s">
        <v>9</v>
      </c>
      <c r="E3227" s="7" t="s">
        <v>25</v>
      </c>
      <c r="F3227" s="8">
        <v>504.0</v>
      </c>
      <c r="G3227" s="9">
        <v>252.0</v>
      </c>
    </row>
    <row r="3228" ht="14.25" hidden="1" customHeight="1">
      <c r="B3228" s="7" t="s">
        <v>13</v>
      </c>
      <c r="C3228" s="7" t="s">
        <v>7</v>
      </c>
      <c r="D3228" s="7" t="s">
        <v>9</v>
      </c>
      <c r="E3228" s="7" t="s">
        <v>8</v>
      </c>
      <c r="F3228" s="8">
        <v>504.0</v>
      </c>
      <c r="G3228" s="9">
        <v>252.0</v>
      </c>
    </row>
    <row r="3229" ht="14.25" hidden="1" customHeight="1">
      <c r="B3229" s="7" t="s">
        <v>13</v>
      </c>
      <c r="C3229" s="7" t="s">
        <v>7</v>
      </c>
      <c r="D3229" s="7" t="s">
        <v>32</v>
      </c>
      <c r="E3229" s="7" t="s">
        <v>28</v>
      </c>
      <c r="F3229" s="8">
        <v>490.0</v>
      </c>
      <c r="G3229" s="9">
        <v>245.0</v>
      </c>
    </row>
    <row r="3230" ht="14.25" hidden="1" customHeight="1">
      <c r="B3230" s="7" t="s">
        <v>13</v>
      </c>
      <c r="C3230" s="7" t="s">
        <v>29</v>
      </c>
      <c r="D3230" s="7" t="s">
        <v>33</v>
      </c>
      <c r="E3230" s="7" t="s">
        <v>8</v>
      </c>
      <c r="F3230" s="8">
        <v>489.0</v>
      </c>
      <c r="G3230" s="9">
        <v>489.0</v>
      </c>
    </row>
    <row r="3231" ht="14.25" hidden="1" customHeight="1">
      <c r="B3231" s="7" t="s">
        <v>13</v>
      </c>
      <c r="C3231" s="7" t="s">
        <v>7</v>
      </c>
      <c r="D3231" s="7" t="s">
        <v>34</v>
      </c>
      <c r="E3231" s="7" t="s">
        <v>28</v>
      </c>
      <c r="F3231" s="8">
        <v>456.0</v>
      </c>
      <c r="G3231" s="9">
        <v>228.0</v>
      </c>
    </row>
    <row r="3232" ht="14.25" hidden="1" customHeight="1">
      <c r="B3232" s="7" t="s">
        <v>13</v>
      </c>
      <c r="C3232" s="7" t="s">
        <v>30</v>
      </c>
      <c r="D3232" s="7" t="s">
        <v>8</v>
      </c>
      <c r="E3232" s="7" t="s">
        <v>9</v>
      </c>
      <c r="F3232" s="8">
        <v>452.0</v>
      </c>
      <c r="G3232" s="9">
        <v>226.0</v>
      </c>
    </row>
    <row r="3233" ht="14.25" hidden="1" customHeight="1">
      <c r="B3233" s="7" t="s">
        <v>13</v>
      </c>
      <c r="C3233" s="7" t="s">
        <v>7</v>
      </c>
      <c r="D3233" s="7" t="s">
        <v>31</v>
      </c>
      <c r="E3233" s="7" t="s">
        <v>28</v>
      </c>
      <c r="F3233" s="8">
        <v>450.0</v>
      </c>
      <c r="G3233" s="9">
        <v>225.0</v>
      </c>
    </row>
    <row r="3234" ht="14.25" hidden="1" customHeight="1">
      <c r="B3234" s="7" t="s">
        <v>13</v>
      </c>
      <c r="C3234" s="7" t="s">
        <v>29</v>
      </c>
      <c r="D3234" s="7" t="s">
        <v>11</v>
      </c>
      <c r="E3234" s="7" t="s">
        <v>8</v>
      </c>
      <c r="F3234" s="8">
        <v>432.0</v>
      </c>
      <c r="G3234" s="9">
        <v>432.0</v>
      </c>
    </row>
    <row r="3235" ht="14.25" hidden="1" customHeight="1">
      <c r="B3235" s="7" t="s">
        <v>13</v>
      </c>
      <c r="C3235" s="7" t="s">
        <v>29</v>
      </c>
      <c r="D3235" s="7" t="s">
        <v>32</v>
      </c>
      <c r="E3235" s="7" t="s">
        <v>9</v>
      </c>
      <c r="F3235" s="8">
        <v>432.0</v>
      </c>
      <c r="G3235" s="9">
        <v>432.0</v>
      </c>
    </row>
    <row r="3236" ht="14.25" hidden="1" customHeight="1">
      <c r="B3236" s="7" t="s">
        <v>13</v>
      </c>
      <c r="C3236" s="7" t="s">
        <v>7</v>
      </c>
      <c r="D3236" s="7" t="s">
        <v>28</v>
      </c>
      <c r="E3236" s="7" t="s">
        <v>25</v>
      </c>
      <c r="F3236" s="8">
        <v>430.0</v>
      </c>
      <c r="G3236" s="9">
        <v>215.0</v>
      </c>
    </row>
    <row r="3237" ht="14.25" hidden="1" customHeight="1">
      <c r="B3237" s="7" t="s">
        <v>13</v>
      </c>
      <c r="C3237" s="7" t="s">
        <v>7</v>
      </c>
      <c r="D3237" s="7" t="s">
        <v>28</v>
      </c>
      <c r="E3237" s="7" t="s">
        <v>8</v>
      </c>
      <c r="F3237" s="8">
        <v>424.0</v>
      </c>
      <c r="G3237" s="9">
        <v>212.0</v>
      </c>
    </row>
    <row r="3238" ht="14.25" hidden="1" customHeight="1">
      <c r="B3238" s="7" t="s">
        <v>13</v>
      </c>
      <c r="C3238" s="7" t="s">
        <v>30</v>
      </c>
      <c r="D3238" s="7" t="s">
        <v>8</v>
      </c>
      <c r="E3238" s="7" t="s">
        <v>25</v>
      </c>
      <c r="F3238" s="8">
        <v>424.0</v>
      </c>
      <c r="G3238" s="9">
        <v>212.0</v>
      </c>
    </row>
    <row r="3239" ht="14.25" hidden="1" customHeight="1">
      <c r="B3239" s="7" t="s">
        <v>13</v>
      </c>
      <c r="C3239" s="7" t="s">
        <v>7</v>
      </c>
      <c r="D3239" s="7" t="s">
        <v>11</v>
      </c>
      <c r="E3239" s="7" t="s">
        <v>10</v>
      </c>
      <c r="F3239" s="8">
        <v>410.0</v>
      </c>
      <c r="G3239" s="9">
        <v>205.0</v>
      </c>
    </row>
    <row r="3240" ht="14.25" hidden="1" customHeight="1">
      <c r="B3240" s="7" t="s">
        <v>13</v>
      </c>
      <c r="C3240" s="7" t="s">
        <v>7</v>
      </c>
      <c r="D3240" s="7" t="s">
        <v>33</v>
      </c>
      <c r="E3240" s="7" t="s">
        <v>25</v>
      </c>
      <c r="F3240" s="8">
        <v>406.0</v>
      </c>
      <c r="G3240" s="9">
        <v>203.0</v>
      </c>
    </row>
    <row r="3241" ht="14.25" hidden="1" customHeight="1">
      <c r="B3241" s="7" t="s">
        <v>13</v>
      </c>
      <c r="C3241" s="7" t="s">
        <v>7</v>
      </c>
      <c r="D3241" s="7" t="s">
        <v>10</v>
      </c>
      <c r="E3241" s="7" t="s">
        <v>25</v>
      </c>
      <c r="F3241" s="8">
        <v>406.0</v>
      </c>
      <c r="G3241" s="9">
        <v>203.0</v>
      </c>
    </row>
    <row r="3242" ht="14.25" hidden="1" customHeight="1">
      <c r="B3242" s="7" t="s">
        <v>13</v>
      </c>
      <c r="C3242" s="7" t="s">
        <v>7</v>
      </c>
      <c r="D3242" s="7" t="s">
        <v>9</v>
      </c>
      <c r="E3242" s="7" t="s">
        <v>28</v>
      </c>
      <c r="F3242" s="8">
        <v>384.0</v>
      </c>
      <c r="G3242" s="9">
        <v>192.0</v>
      </c>
    </row>
    <row r="3243" ht="14.25" hidden="1" customHeight="1">
      <c r="B3243" s="7" t="s">
        <v>13</v>
      </c>
      <c r="C3243" s="7" t="s">
        <v>29</v>
      </c>
      <c r="D3243" s="7" t="s">
        <v>34</v>
      </c>
      <c r="E3243" s="7" t="s">
        <v>8</v>
      </c>
      <c r="F3243" s="8">
        <v>363.0</v>
      </c>
      <c r="G3243" s="9">
        <v>363.0</v>
      </c>
    </row>
    <row r="3244" ht="14.25" hidden="1" customHeight="1">
      <c r="B3244" s="7" t="s">
        <v>13</v>
      </c>
      <c r="C3244" s="7" t="s">
        <v>7</v>
      </c>
      <c r="D3244" s="7" t="s">
        <v>31</v>
      </c>
      <c r="E3244" s="7" t="s">
        <v>33</v>
      </c>
      <c r="F3244" s="8">
        <v>360.0</v>
      </c>
      <c r="G3244" s="9">
        <v>180.0</v>
      </c>
    </row>
    <row r="3245" ht="14.25" hidden="1" customHeight="1">
      <c r="B3245" s="7" t="s">
        <v>13</v>
      </c>
      <c r="C3245" s="7" t="s">
        <v>7</v>
      </c>
      <c r="D3245" s="7" t="s">
        <v>25</v>
      </c>
      <c r="E3245" s="7" t="s">
        <v>10</v>
      </c>
      <c r="F3245" s="8">
        <v>356.0</v>
      </c>
      <c r="G3245" s="9">
        <v>178.0</v>
      </c>
    </row>
    <row r="3246" ht="14.25" hidden="1" customHeight="1">
      <c r="B3246" s="7" t="s">
        <v>13</v>
      </c>
      <c r="C3246" s="7" t="s">
        <v>7</v>
      </c>
      <c r="D3246" s="7" t="s">
        <v>33</v>
      </c>
      <c r="E3246" s="7" t="s">
        <v>28</v>
      </c>
      <c r="F3246" s="8">
        <v>356.0</v>
      </c>
      <c r="G3246" s="9">
        <v>178.0</v>
      </c>
    </row>
    <row r="3247" ht="14.25" hidden="1" customHeight="1">
      <c r="B3247" s="7" t="s">
        <v>13</v>
      </c>
      <c r="C3247" s="7" t="s">
        <v>29</v>
      </c>
      <c r="D3247" s="7" t="s">
        <v>34</v>
      </c>
      <c r="E3247" s="7" t="s">
        <v>28</v>
      </c>
      <c r="F3247" s="8">
        <v>356.0</v>
      </c>
      <c r="G3247" s="9">
        <v>356.0</v>
      </c>
    </row>
    <row r="3248" ht="14.25" hidden="1" customHeight="1">
      <c r="B3248" s="7" t="s">
        <v>13</v>
      </c>
      <c r="C3248" s="7" t="s">
        <v>7</v>
      </c>
      <c r="D3248" s="7" t="s">
        <v>28</v>
      </c>
      <c r="E3248" s="7" t="s">
        <v>31</v>
      </c>
      <c r="F3248" s="8">
        <v>348.0</v>
      </c>
      <c r="G3248" s="9">
        <v>174.0</v>
      </c>
    </row>
    <row r="3249" ht="14.25" hidden="1" customHeight="1">
      <c r="B3249" s="7" t="s">
        <v>13</v>
      </c>
      <c r="C3249" s="7" t="s">
        <v>29</v>
      </c>
      <c r="D3249" s="7" t="s">
        <v>9</v>
      </c>
      <c r="E3249" s="7" t="s">
        <v>8</v>
      </c>
      <c r="F3249" s="8">
        <v>348.0</v>
      </c>
      <c r="G3249" s="9">
        <v>348.0</v>
      </c>
    </row>
    <row r="3250" ht="14.25" hidden="1" customHeight="1">
      <c r="B3250" s="7" t="s">
        <v>13</v>
      </c>
      <c r="C3250" s="7" t="s">
        <v>29</v>
      </c>
      <c r="D3250" s="7" t="s">
        <v>31</v>
      </c>
      <c r="E3250" s="7" t="s">
        <v>33</v>
      </c>
      <c r="F3250" s="8">
        <v>333.0</v>
      </c>
      <c r="G3250" s="9">
        <v>333.0</v>
      </c>
    </row>
    <row r="3251" ht="14.25" hidden="1" customHeight="1">
      <c r="B3251" s="7" t="s">
        <v>13</v>
      </c>
      <c r="C3251" s="7" t="s">
        <v>29</v>
      </c>
      <c r="D3251" s="7" t="s">
        <v>8</v>
      </c>
      <c r="E3251" s="7" t="s">
        <v>10</v>
      </c>
      <c r="F3251" s="8">
        <v>330.0</v>
      </c>
      <c r="G3251" s="9">
        <v>330.0</v>
      </c>
    </row>
    <row r="3252" ht="14.25" hidden="1" customHeight="1">
      <c r="B3252" s="7" t="s">
        <v>13</v>
      </c>
      <c r="C3252" s="7" t="s">
        <v>30</v>
      </c>
      <c r="D3252" s="7" t="s">
        <v>8</v>
      </c>
      <c r="E3252" s="7" t="s">
        <v>28</v>
      </c>
      <c r="F3252" s="8">
        <v>328.0</v>
      </c>
      <c r="G3252" s="9">
        <v>164.0</v>
      </c>
    </row>
    <row r="3253" ht="14.25" hidden="1" customHeight="1">
      <c r="B3253" s="7" t="s">
        <v>13</v>
      </c>
      <c r="C3253" s="7" t="s">
        <v>7</v>
      </c>
      <c r="D3253" s="7" t="s">
        <v>11</v>
      </c>
      <c r="E3253" s="7" t="s">
        <v>8</v>
      </c>
      <c r="F3253" s="8">
        <v>322.0</v>
      </c>
      <c r="G3253" s="9">
        <v>161.0</v>
      </c>
    </row>
    <row r="3254" ht="14.25" hidden="1" customHeight="1">
      <c r="B3254" s="7" t="s">
        <v>13</v>
      </c>
      <c r="C3254" s="7" t="s">
        <v>7</v>
      </c>
      <c r="D3254" s="7" t="s">
        <v>33</v>
      </c>
      <c r="E3254" s="7" t="s">
        <v>31</v>
      </c>
      <c r="F3254" s="8">
        <v>316.0</v>
      </c>
      <c r="G3254" s="9">
        <v>158.0</v>
      </c>
    </row>
    <row r="3255" ht="14.25" hidden="1" customHeight="1">
      <c r="B3255" s="7" t="s">
        <v>13</v>
      </c>
      <c r="C3255" s="7" t="s">
        <v>29</v>
      </c>
      <c r="D3255" s="7" t="s">
        <v>28</v>
      </c>
      <c r="E3255" s="7" t="s">
        <v>31</v>
      </c>
      <c r="F3255" s="8">
        <v>308.0</v>
      </c>
      <c r="G3255" s="9">
        <v>308.0</v>
      </c>
    </row>
    <row r="3256" ht="14.25" hidden="1" customHeight="1">
      <c r="B3256" s="7" t="s">
        <v>13</v>
      </c>
      <c r="C3256" s="7" t="s">
        <v>29</v>
      </c>
      <c r="D3256" s="7" t="s">
        <v>28</v>
      </c>
      <c r="E3256" s="7" t="s">
        <v>25</v>
      </c>
      <c r="F3256" s="8">
        <v>294.0</v>
      </c>
      <c r="G3256" s="9">
        <v>294.0</v>
      </c>
    </row>
    <row r="3257" ht="14.25" hidden="1" customHeight="1">
      <c r="B3257" s="7" t="s">
        <v>13</v>
      </c>
      <c r="C3257" s="7" t="s">
        <v>29</v>
      </c>
      <c r="D3257" s="7" t="s">
        <v>8</v>
      </c>
      <c r="E3257" s="7" t="s">
        <v>11</v>
      </c>
      <c r="F3257" s="8">
        <v>285.0</v>
      </c>
      <c r="G3257" s="9">
        <v>285.0</v>
      </c>
    </row>
    <row r="3258" ht="14.25" hidden="1" customHeight="1">
      <c r="B3258" s="7" t="s">
        <v>13</v>
      </c>
      <c r="C3258" s="7" t="s">
        <v>7</v>
      </c>
      <c r="D3258" s="7" t="s">
        <v>32</v>
      </c>
      <c r="E3258" s="7" t="s">
        <v>33</v>
      </c>
      <c r="F3258" s="8">
        <v>274.0</v>
      </c>
      <c r="G3258" s="9">
        <v>137.0</v>
      </c>
    </row>
    <row r="3259" ht="14.25" hidden="1" customHeight="1">
      <c r="B3259" s="7" t="s">
        <v>13</v>
      </c>
      <c r="C3259" s="7" t="s">
        <v>29</v>
      </c>
      <c r="D3259" s="7" t="s">
        <v>8</v>
      </c>
      <c r="E3259" s="7" t="s">
        <v>28</v>
      </c>
      <c r="F3259" s="8">
        <v>271.0</v>
      </c>
      <c r="G3259" s="9">
        <v>271.0</v>
      </c>
    </row>
    <row r="3260" ht="14.25" hidden="1" customHeight="1">
      <c r="B3260" s="7" t="s">
        <v>13</v>
      </c>
      <c r="C3260" s="7" t="s">
        <v>30</v>
      </c>
      <c r="D3260" s="7" t="s">
        <v>9</v>
      </c>
      <c r="E3260" s="7" t="s">
        <v>25</v>
      </c>
      <c r="F3260" s="8">
        <v>270.0</v>
      </c>
      <c r="G3260" s="9">
        <v>135.0</v>
      </c>
    </row>
    <row r="3261" ht="14.25" hidden="1" customHeight="1">
      <c r="B3261" s="7" t="s">
        <v>13</v>
      </c>
      <c r="C3261" s="7" t="s">
        <v>7</v>
      </c>
      <c r="D3261" s="7" t="s">
        <v>31</v>
      </c>
      <c r="E3261" s="7" t="s">
        <v>25</v>
      </c>
      <c r="F3261" s="8">
        <v>262.0</v>
      </c>
      <c r="G3261" s="9">
        <v>131.0</v>
      </c>
    </row>
    <row r="3262" ht="14.25" hidden="1" customHeight="1">
      <c r="B3262" s="7" t="s">
        <v>13</v>
      </c>
      <c r="C3262" s="7" t="s">
        <v>7</v>
      </c>
      <c r="D3262" s="7" t="s">
        <v>32</v>
      </c>
      <c r="E3262" s="7" t="s">
        <v>28</v>
      </c>
      <c r="F3262" s="8">
        <v>260.0</v>
      </c>
      <c r="G3262" s="9">
        <v>130.0</v>
      </c>
    </row>
    <row r="3263" ht="14.25" hidden="1" customHeight="1">
      <c r="B3263" s="7" t="s">
        <v>13</v>
      </c>
      <c r="C3263" s="7" t="s">
        <v>7</v>
      </c>
      <c r="D3263" s="7" t="s">
        <v>8</v>
      </c>
      <c r="E3263" s="7" t="s">
        <v>25</v>
      </c>
      <c r="F3263" s="8">
        <v>254.0</v>
      </c>
      <c r="G3263" s="9">
        <v>127.0</v>
      </c>
    </row>
    <row r="3264" ht="14.25" hidden="1" customHeight="1">
      <c r="B3264" s="7" t="s">
        <v>13</v>
      </c>
      <c r="C3264" s="7" t="s">
        <v>29</v>
      </c>
      <c r="D3264" s="7" t="s">
        <v>11</v>
      </c>
      <c r="E3264" s="7" t="s">
        <v>8</v>
      </c>
      <c r="F3264" s="8">
        <v>247.0</v>
      </c>
      <c r="G3264" s="9">
        <v>247.0</v>
      </c>
    </row>
    <row r="3265" ht="14.25" hidden="1" customHeight="1">
      <c r="B3265" s="7" t="s">
        <v>13</v>
      </c>
      <c r="C3265" s="7" t="s">
        <v>7</v>
      </c>
      <c r="D3265" s="7" t="s">
        <v>32</v>
      </c>
      <c r="E3265" s="7" t="s">
        <v>25</v>
      </c>
      <c r="F3265" s="8">
        <v>244.0</v>
      </c>
      <c r="G3265" s="9">
        <v>122.0</v>
      </c>
    </row>
    <row r="3266" ht="14.25" hidden="1" customHeight="1">
      <c r="B3266" s="7" t="s">
        <v>13</v>
      </c>
      <c r="C3266" s="7" t="s">
        <v>29</v>
      </c>
      <c r="D3266" s="7" t="s">
        <v>33</v>
      </c>
      <c r="E3266" s="7" t="s">
        <v>8</v>
      </c>
      <c r="F3266" s="8">
        <v>239.0</v>
      </c>
      <c r="G3266" s="9">
        <v>239.0</v>
      </c>
    </row>
    <row r="3267" ht="14.25" hidden="1" customHeight="1">
      <c r="B3267" s="7" t="s">
        <v>13</v>
      </c>
      <c r="C3267" s="7" t="s">
        <v>30</v>
      </c>
      <c r="D3267" s="7" t="s">
        <v>8</v>
      </c>
      <c r="E3267" s="7" t="s">
        <v>10</v>
      </c>
      <c r="F3267" s="8">
        <v>234.0</v>
      </c>
      <c r="G3267" s="9">
        <v>117.0</v>
      </c>
    </row>
    <row r="3268" ht="14.25" customHeight="1">
      <c r="B3268" s="7" t="s">
        <v>13</v>
      </c>
      <c r="C3268" s="7" t="s">
        <v>29</v>
      </c>
      <c r="D3268" s="7" t="s">
        <v>8</v>
      </c>
      <c r="E3268" s="7" t="s">
        <v>31</v>
      </c>
      <c r="F3268" s="8">
        <v>231.0</v>
      </c>
      <c r="G3268" s="9">
        <v>231.0</v>
      </c>
    </row>
    <row r="3269" ht="14.25" hidden="1" customHeight="1">
      <c r="B3269" s="7" t="s">
        <v>13</v>
      </c>
      <c r="C3269" s="7" t="s">
        <v>7</v>
      </c>
      <c r="D3269" s="7" t="s">
        <v>9</v>
      </c>
      <c r="E3269" s="7" t="s">
        <v>33</v>
      </c>
      <c r="F3269" s="8">
        <v>228.0</v>
      </c>
      <c r="G3269" s="9">
        <v>114.0</v>
      </c>
    </row>
    <row r="3270" ht="14.25" customHeight="1">
      <c r="B3270" s="7" t="s">
        <v>13</v>
      </c>
      <c r="C3270" s="7" t="s">
        <v>29</v>
      </c>
      <c r="D3270" s="7" t="s">
        <v>8</v>
      </c>
      <c r="E3270" s="7" t="s">
        <v>31</v>
      </c>
      <c r="F3270" s="8">
        <v>226.0</v>
      </c>
      <c r="G3270" s="9">
        <v>226.0</v>
      </c>
    </row>
    <row r="3271" ht="14.25" hidden="1" customHeight="1">
      <c r="B3271" s="7" t="s">
        <v>13</v>
      </c>
      <c r="C3271" s="7" t="s">
        <v>7</v>
      </c>
      <c r="D3271" s="7" t="s">
        <v>33</v>
      </c>
      <c r="E3271" s="7" t="s">
        <v>25</v>
      </c>
      <c r="F3271" s="8">
        <v>222.0</v>
      </c>
      <c r="G3271" s="9">
        <v>111.0</v>
      </c>
    </row>
    <row r="3272" ht="14.25" hidden="1" customHeight="1">
      <c r="B3272" s="7" t="s">
        <v>13</v>
      </c>
      <c r="C3272" s="7" t="s">
        <v>7</v>
      </c>
      <c r="D3272" s="7" t="s">
        <v>34</v>
      </c>
      <c r="E3272" s="7" t="s">
        <v>8</v>
      </c>
      <c r="F3272" s="8">
        <v>212.0</v>
      </c>
      <c r="G3272" s="9">
        <v>106.0</v>
      </c>
    </row>
    <row r="3273" ht="14.25" hidden="1" customHeight="1">
      <c r="B3273" s="7" t="s">
        <v>13</v>
      </c>
      <c r="C3273" s="7" t="s">
        <v>7</v>
      </c>
      <c r="D3273" s="7" t="s">
        <v>31</v>
      </c>
      <c r="E3273" s="7" t="s">
        <v>24</v>
      </c>
      <c r="F3273" s="8">
        <v>208.0</v>
      </c>
      <c r="G3273" s="9">
        <v>104.0</v>
      </c>
    </row>
    <row r="3274" ht="14.25" hidden="1" customHeight="1">
      <c r="B3274" s="7" t="s">
        <v>13</v>
      </c>
      <c r="C3274" s="7" t="s">
        <v>7</v>
      </c>
      <c r="D3274" s="7" t="s">
        <v>28</v>
      </c>
      <c r="E3274" s="7" t="s">
        <v>31</v>
      </c>
      <c r="F3274" s="8">
        <v>206.0</v>
      </c>
      <c r="G3274" s="9">
        <v>103.0</v>
      </c>
    </row>
    <row r="3275" ht="14.25" hidden="1" customHeight="1">
      <c r="B3275" s="7" t="s">
        <v>13</v>
      </c>
      <c r="C3275" s="7" t="s">
        <v>7</v>
      </c>
      <c r="D3275" s="7" t="s">
        <v>11</v>
      </c>
      <c r="E3275" s="7" t="s">
        <v>8</v>
      </c>
      <c r="F3275" s="8">
        <v>200.0</v>
      </c>
      <c r="G3275" s="9">
        <v>100.0</v>
      </c>
    </row>
    <row r="3276" ht="14.25" hidden="1" customHeight="1">
      <c r="B3276" s="7" t="s">
        <v>13</v>
      </c>
      <c r="C3276" s="7" t="s">
        <v>7</v>
      </c>
      <c r="D3276" s="7" t="s">
        <v>28</v>
      </c>
      <c r="E3276" s="7" t="s">
        <v>8</v>
      </c>
      <c r="F3276" s="8">
        <v>198.0</v>
      </c>
      <c r="G3276" s="9">
        <v>99.0</v>
      </c>
    </row>
    <row r="3277" ht="14.25" hidden="1" customHeight="1">
      <c r="B3277" s="7" t="s">
        <v>13</v>
      </c>
      <c r="C3277" s="7" t="s">
        <v>29</v>
      </c>
      <c r="D3277" s="7" t="s">
        <v>32</v>
      </c>
      <c r="E3277" s="7" t="s">
        <v>35</v>
      </c>
      <c r="F3277" s="8">
        <v>192.0</v>
      </c>
      <c r="G3277" s="9">
        <v>192.0</v>
      </c>
    </row>
    <row r="3278" ht="14.25" hidden="1" customHeight="1">
      <c r="B3278" s="7" t="s">
        <v>13</v>
      </c>
      <c r="C3278" s="7" t="s">
        <v>7</v>
      </c>
      <c r="D3278" s="7" t="s">
        <v>32</v>
      </c>
      <c r="E3278" s="7" t="s">
        <v>8</v>
      </c>
      <c r="F3278" s="8">
        <v>192.0</v>
      </c>
      <c r="G3278" s="9">
        <v>96.0</v>
      </c>
    </row>
    <row r="3279" ht="14.25" hidden="1" customHeight="1">
      <c r="B3279" s="7" t="s">
        <v>13</v>
      </c>
      <c r="C3279" s="7" t="s">
        <v>29</v>
      </c>
      <c r="D3279" s="7" t="s">
        <v>32</v>
      </c>
      <c r="E3279" s="7" t="s">
        <v>33</v>
      </c>
      <c r="F3279" s="8">
        <v>187.0</v>
      </c>
      <c r="G3279" s="9">
        <v>187.0</v>
      </c>
    </row>
    <row r="3280" ht="14.25" hidden="1" customHeight="1">
      <c r="B3280" s="7" t="s">
        <v>13</v>
      </c>
      <c r="C3280" s="7" t="s">
        <v>7</v>
      </c>
      <c r="D3280" s="7" t="s">
        <v>28</v>
      </c>
      <c r="E3280" s="7" t="s">
        <v>31</v>
      </c>
      <c r="F3280" s="8">
        <v>184.0</v>
      </c>
      <c r="G3280" s="9">
        <v>92.0</v>
      </c>
    </row>
    <row r="3281" ht="14.25" hidden="1" customHeight="1">
      <c r="B3281" s="7" t="s">
        <v>13</v>
      </c>
      <c r="C3281" s="7" t="s">
        <v>7</v>
      </c>
      <c r="D3281" s="7" t="s">
        <v>9</v>
      </c>
      <c r="E3281" s="7" t="s">
        <v>32</v>
      </c>
      <c r="F3281" s="8">
        <v>184.0</v>
      </c>
      <c r="G3281" s="9">
        <v>92.0</v>
      </c>
    </row>
    <row r="3282" ht="14.25" hidden="1" customHeight="1">
      <c r="B3282" s="7" t="s">
        <v>13</v>
      </c>
      <c r="C3282" s="7" t="s">
        <v>7</v>
      </c>
      <c r="D3282" s="7" t="s">
        <v>11</v>
      </c>
      <c r="E3282" s="7" t="s">
        <v>10</v>
      </c>
      <c r="F3282" s="8">
        <v>182.0</v>
      </c>
      <c r="G3282" s="9">
        <v>91.0</v>
      </c>
    </row>
    <row r="3283" ht="14.25" hidden="1" customHeight="1">
      <c r="B3283" s="7" t="s">
        <v>13</v>
      </c>
      <c r="C3283" s="7" t="s">
        <v>7</v>
      </c>
      <c r="D3283" s="7" t="s">
        <v>24</v>
      </c>
      <c r="E3283" s="7" t="s">
        <v>31</v>
      </c>
      <c r="F3283" s="8">
        <v>170.0</v>
      </c>
      <c r="G3283" s="9">
        <v>85.0</v>
      </c>
    </row>
    <row r="3284" ht="14.25" hidden="1" customHeight="1">
      <c r="B3284" s="7" t="s">
        <v>13</v>
      </c>
      <c r="C3284" s="7" t="s">
        <v>29</v>
      </c>
      <c r="D3284" s="7" t="s">
        <v>28</v>
      </c>
      <c r="E3284" s="7" t="s">
        <v>8</v>
      </c>
      <c r="F3284" s="8">
        <v>169.0</v>
      </c>
      <c r="G3284" s="9">
        <v>169.0</v>
      </c>
    </row>
    <row r="3285" ht="14.25" hidden="1" customHeight="1">
      <c r="B3285" s="7" t="s">
        <v>13</v>
      </c>
      <c r="C3285" s="7" t="s">
        <v>29</v>
      </c>
      <c r="D3285" s="7" t="s">
        <v>9</v>
      </c>
      <c r="E3285" s="7" t="s">
        <v>33</v>
      </c>
      <c r="F3285" s="8">
        <v>167.0</v>
      </c>
      <c r="G3285" s="9">
        <v>167.0</v>
      </c>
    </row>
    <row r="3286" ht="14.25" hidden="1" customHeight="1">
      <c r="B3286" s="7" t="s">
        <v>13</v>
      </c>
      <c r="C3286" s="7" t="s">
        <v>29</v>
      </c>
      <c r="D3286" s="7" t="s">
        <v>8</v>
      </c>
      <c r="E3286" s="7" t="s">
        <v>33</v>
      </c>
      <c r="F3286" s="8">
        <v>163.0</v>
      </c>
      <c r="G3286" s="9">
        <v>163.0</v>
      </c>
    </row>
    <row r="3287" ht="14.25" hidden="1" customHeight="1">
      <c r="B3287" s="7" t="s">
        <v>13</v>
      </c>
      <c r="C3287" s="7" t="s">
        <v>29</v>
      </c>
      <c r="D3287" s="7" t="s">
        <v>8</v>
      </c>
      <c r="E3287" s="7" t="s">
        <v>25</v>
      </c>
      <c r="F3287" s="8">
        <v>159.0</v>
      </c>
      <c r="G3287" s="9">
        <v>159.0</v>
      </c>
    </row>
    <row r="3288" ht="14.25" hidden="1" customHeight="1">
      <c r="B3288" s="7" t="s">
        <v>13</v>
      </c>
      <c r="C3288" s="7" t="s">
        <v>7</v>
      </c>
      <c r="D3288" s="7" t="s">
        <v>10</v>
      </c>
      <c r="E3288" s="7" t="s">
        <v>28</v>
      </c>
      <c r="F3288" s="8">
        <v>154.0</v>
      </c>
      <c r="G3288" s="9">
        <v>77.0</v>
      </c>
    </row>
    <row r="3289" ht="14.25" hidden="1" customHeight="1">
      <c r="B3289" s="7" t="s">
        <v>13</v>
      </c>
      <c r="C3289" s="7" t="s">
        <v>7</v>
      </c>
      <c r="D3289" s="7" t="s">
        <v>31</v>
      </c>
      <c r="E3289" s="7" t="s">
        <v>35</v>
      </c>
      <c r="F3289" s="8">
        <v>152.0</v>
      </c>
      <c r="G3289" s="9">
        <v>76.0</v>
      </c>
    </row>
    <row r="3290" ht="14.25" hidden="1" customHeight="1">
      <c r="B3290" s="7" t="s">
        <v>13</v>
      </c>
      <c r="C3290" s="7" t="s">
        <v>7</v>
      </c>
      <c r="D3290" s="7" t="s">
        <v>31</v>
      </c>
      <c r="E3290" s="7" t="s">
        <v>31</v>
      </c>
      <c r="F3290" s="8">
        <v>146.0</v>
      </c>
      <c r="G3290" s="9">
        <v>73.0</v>
      </c>
    </row>
    <row r="3291" ht="14.25" hidden="1" customHeight="1">
      <c r="B3291" s="7" t="s">
        <v>13</v>
      </c>
      <c r="C3291" s="7" t="s">
        <v>29</v>
      </c>
      <c r="D3291" s="7" t="s">
        <v>9</v>
      </c>
      <c r="E3291" s="7" t="s">
        <v>28</v>
      </c>
      <c r="F3291" s="8">
        <v>142.0</v>
      </c>
      <c r="G3291" s="9">
        <v>142.0</v>
      </c>
    </row>
    <row r="3292" ht="14.25" hidden="1" customHeight="1">
      <c r="B3292" s="7" t="s">
        <v>13</v>
      </c>
      <c r="C3292" s="7" t="s">
        <v>7</v>
      </c>
      <c r="D3292" s="7" t="s">
        <v>33</v>
      </c>
      <c r="E3292" s="7" t="s">
        <v>32</v>
      </c>
      <c r="F3292" s="8">
        <v>140.0</v>
      </c>
      <c r="G3292" s="9">
        <v>70.0</v>
      </c>
    </row>
    <row r="3293" ht="14.25" hidden="1" customHeight="1">
      <c r="B3293" s="7" t="s">
        <v>13</v>
      </c>
      <c r="C3293" s="7" t="s">
        <v>7</v>
      </c>
      <c r="D3293" s="7" t="s">
        <v>8</v>
      </c>
      <c r="E3293" s="7" t="s">
        <v>9</v>
      </c>
      <c r="F3293" s="8">
        <v>136.0</v>
      </c>
      <c r="G3293" s="9">
        <v>68.0</v>
      </c>
    </row>
    <row r="3294" ht="14.25" hidden="1" customHeight="1">
      <c r="B3294" s="7" t="s">
        <v>13</v>
      </c>
      <c r="C3294" s="7" t="s">
        <v>29</v>
      </c>
      <c r="D3294" s="7" t="s">
        <v>25</v>
      </c>
      <c r="E3294" s="7" t="s">
        <v>8</v>
      </c>
      <c r="F3294" s="8">
        <v>132.0</v>
      </c>
      <c r="G3294" s="9">
        <v>132.0</v>
      </c>
    </row>
    <row r="3295" ht="14.25" hidden="1" customHeight="1">
      <c r="B3295" s="7" t="s">
        <v>13</v>
      </c>
      <c r="C3295" s="7" t="s">
        <v>29</v>
      </c>
      <c r="D3295" s="7" t="s">
        <v>10</v>
      </c>
      <c r="E3295" s="7" t="s">
        <v>25</v>
      </c>
      <c r="F3295" s="8">
        <v>129.0</v>
      </c>
      <c r="G3295" s="9">
        <v>129.0</v>
      </c>
    </row>
    <row r="3296" ht="14.25" hidden="1" customHeight="1">
      <c r="B3296" s="7" t="s">
        <v>13</v>
      </c>
      <c r="C3296" s="7" t="s">
        <v>7</v>
      </c>
      <c r="D3296" s="7" t="s">
        <v>25</v>
      </c>
      <c r="E3296" s="7" t="s">
        <v>31</v>
      </c>
      <c r="F3296" s="8">
        <v>128.0</v>
      </c>
      <c r="G3296" s="9">
        <v>64.0</v>
      </c>
    </row>
    <row r="3297" ht="14.25" hidden="1" customHeight="1">
      <c r="B3297" s="7" t="s">
        <v>13</v>
      </c>
      <c r="C3297" s="7" t="s">
        <v>29</v>
      </c>
      <c r="D3297" s="7" t="s">
        <v>31</v>
      </c>
      <c r="E3297" s="7" t="s">
        <v>9</v>
      </c>
      <c r="F3297" s="8">
        <v>128.0</v>
      </c>
      <c r="G3297" s="9">
        <v>128.0</v>
      </c>
    </row>
    <row r="3298" ht="14.25" hidden="1" customHeight="1">
      <c r="B3298" s="7" t="s">
        <v>13</v>
      </c>
      <c r="C3298" s="7" t="s">
        <v>7</v>
      </c>
      <c r="D3298" s="7" t="s">
        <v>31</v>
      </c>
      <c r="E3298" s="7" t="s">
        <v>10</v>
      </c>
      <c r="F3298" s="8">
        <v>128.0</v>
      </c>
      <c r="G3298" s="9">
        <v>64.0</v>
      </c>
    </row>
    <row r="3299" ht="14.25" customHeight="1">
      <c r="B3299" s="7" t="s">
        <v>13</v>
      </c>
      <c r="C3299" s="7" t="s">
        <v>7</v>
      </c>
      <c r="D3299" s="7" t="s">
        <v>8</v>
      </c>
      <c r="E3299" s="7" t="s">
        <v>31</v>
      </c>
      <c r="F3299" s="8">
        <v>124.0</v>
      </c>
      <c r="G3299" s="9">
        <v>62.0</v>
      </c>
    </row>
    <row r="3300" ht="14.25" hidden="1" customHeight="1">
      <c r="B3300" s="7" t="s">
        <v>13</v>
      </c>
      <c r="C3300" s="7" t="s">
        <v>7</v>
      </c>
      <c r="D3300" s="7" t="s">
        <v>33</v>
      </c>
      <c r="E3300" s="7" t="s">
        <v>28</v>
      </c>
      <c r="F3300" s="8">
        <v>122.0</v>
      </c>
      <c r="G3300" s="9">
        <v>61.0</v>
      </c>
    </row>
    <row r="3301" ht="14.25" hidden="1" customHeight="1">
      <c r="B3301" s="7" t="s">
        <v>13</v>
      </c>
      <c r="C3301" s="7" t="s">
        <v>29</v>
      </c>
      <c r="D3301" s="7" t="s">
        <v>28</v>
      </c>
      <c r="E3301" s="7" t="s">
        <v>10</v>
      </c>
      <c r="F3301" s="8">
        <v>120.0</v>
      </c>
      <c r="G3301" s="9">
        <v>120.0</v>
      </c>
    </row>
    <row r="3302" ht="14.25" hidden="1" customHeight="1">
      <c r="B3302" s="7" t="s">
        <v>13</v>
      </c>
      <c r="C3302" s="7" t="s">
        <v>29</v>
      </c>
      <c r="D3302" s="7" t="s">
        <v>33</v>
      </c>
      <c r="E3302" s="7" t="s">
        <v>8</v>
      </c>
      <c r="F3302" s="8">
        <v>118.0</v>
      </c>
      <c r="G3302" s="9">
        <v>118.0</v>
      </c>
    </row>
    <row r="3303" ht="14.25" hidden="1" customHeight="1">
      <c r="B3303" s="7" t="s">
        <v>13</v>
      </c>
      <c r="C3303" s="7" t="s">
        <v>30</v>
      </c>
      <c r="D3303" s="7" t="s">
        <v>33</v>
      </c>
      <c r="E3303" s="7" t="s">
        <v>8</v>
      </c>
      <c r="F3303" s="8">
        <v>118.0</v>
      </c>
      <c r="G3303" s="9">
        <v>59.0</v>
      </c>
    </row>
    <row r="3304" ht="14.25" hidden="1" customHeight="1">
      <c r="B3304" s="7" t="s">
        <v>13</v>
      </c>
      <c r="C3304" s="7" t="s">
        <v>7</v>
      </c>
      <c r="D3304" s="7" t="s">
        <v>10</v>
      </c>
      <c r="E3304" s="7" t="s">
        <v>25</v>
      </c>
      <c r="F3304" s="8">
        <v>118.0</v>
      </c>
      <c r="G3304" s="9">
        <v>59.0</v>
      </c>
    </row>
    <row r="3305" ht="14.25" hidden="1" customHeight="1">
      <c r="B3305" s="7" t="s">
        <v>13</v>
      </c>
      <c r="C3305" s="7" t="s">
        <v>7</v>
      </c>
      <c r="D3305" s="7" t="s">
        <v>32</v>
      </c>
      <c r="E3305" s="7" t="s">
        <v>9</v>
      </c>
      <c r="F3305" s="8">
        <v>118.0</v>
      </c>
      <c r="G3305" s="9">
        <v>59.0</v>
      </c>
    </row>
    <row r="3306" ht="14.25" customHeight="1">
      <c r="B3306" s="7" t="s">
        <v>13</v>
      </c>
      <c r="C3306" s="7" t="s">
        <v>7</v>
      </c>
      <c r="D3306" s="7" t="s">
        <v>8</v>
      </c>
      <c r="E3306" s="7" t="s">
        <v>31</v>
      </c>
      <c r="F3306" s="8">
        <v>116.0</v>
      </c>
      <c r="G3306" s="9">
        <v>58.0</v>
      </c>
    </row>
    <row r="3307" ht="14.25" hidden="1" customHeight="1">
      <c r="B3307" s="7" t="s">
        <v>13</v>
      </c>
      <c r="C3307" s="7" t="s">
        <v>7</v>
      </c>
      <c r="D3307" s="7" t="s">
        <v>9</v>
      </c>
      <c r="E3307" s="7" t="s">
        <v>35</v>
      </c>
      <c r="F3307" s="8">
        <v>114.0</v>
      </c>
      <c r="G3307" s="9">
        <v>57.0</v>
      </c>
    </row>
    <row r="3308" ht="14.25" hidden="1" customHeight="1">
      <c r="B3308" s="7" t="s">
        <v>13</v>
      </c>
      <c r="C3308" s="7" t="s">
        <v>7</v>
      </c>
      <c r="D3308" s="7" t="s">
        <v>9</v>
      </c>
      <c r="E3308" s="7" t="s">
        <v>31</v>
      </c>
      <c r="F3308" s="8">
        <v>114.0</v>
      </c>
      <c r="G3308" s="9">
        <v>57.0</v>
      </c>
    </row>
    <row r="3309" ht="14.25" hidden="1" customHeight="1">
      <c r="B3309" s="7" t="s">
        <v>13</v>
      </c>
      <c r="C3309" s="7" t="s">
        <v>29</v>
      </c>
      <c r="D3309" s="7" t="s">
        <v>33</v>
      </c>
      <c r="E3309" s="7" t="s">
        <v>9</v>
      </c>
      <c r="F3309" s="8">
        <v>113.0</v>
      </c>
      <c r="G3309" s="9">
        <v>113.0</v>
      </c>
    </row>
    <row r="3310" ht="14.25" hidden="1" customHeight="1">
      <c r="B3310" s="7" t="s">
        <v>13</v>
      </c>
      <c r="C3310" s="7" t="s">
        <v>30</v>
      </c>
      <c r="D3310" s="7" t="s">
        <v>33</v>
      </c>
      <c r="E3310" s="7" t="s">
        <v>9</v>
      </c>
      <c r="F3310" s="8">
        <v>110.0</v>
      </c>
      <c r="G3310" s="9">
        <v>55.0</v>
      </c>
    </row>
    <row r="3311" ht="14.25" hidden="1" customHeight="1">
      <c r="B3311" s="7" t="s">
        <v>13</v>
      </c>
      <c r="C3311" s="7" t="s">
        <v>7</v>
      </c>
      <c r="D3311" s="7" t="s">
        <v>9</v>
      </c>
      <c r="E3311" s="7" t="s">
        <v>35</v>
      </c>
      <c r="F3311" s="8">
        <v>110.0</v>
      </c>
      <c r="G3311" s="9">
        <v>55.0</v>
      </c>
    </row>
    <row r="3312" ht="14.25" hidden="1" customHeight="1">
      <c r="B3312" s="7" t="s">
        <v>13</v>
      </c>
      <c r="C3312" s="7" t="s">
        <v>30</v>
      </c>
      <c r="D3312" s="7" t="s">
        <v>31</v>
      </c>
      <c r="E3312" s="7" t="s">
        <v>10</v>
      </c>
      <c r="F3312" s="8">
        <v>110.0</v>
      </c>
      <c r="G3312" s="9">
        <v>55.0</v>
      </c>
    </row>
    <row r="3313" ht="14.25" hidden="1" customHeight="1">
      <c r="B3313" s="7" t="s">
        <v>13</v>
      </c>
      <c r="C3313" s="7" t="s">
        <v>29</v>
      </c>
      <c r="D3313" s="7" t="s">
        <v>25</v>
      </c>
      <c r="E3313" s="7" t="s">
        <v>28</v>
      </c>
      <c r="F3313" s="8">
        <v>108.0</v>
      </c>
      <c r="G3313" s="9">
        <v>108.0</v>
      </c>
    </row>
    <row r="3314" ht="14.25" hidden="1" customHeight="1">
      <c r="B3314" s="7" t="s">
        <v>13</v>
      </c>
      <c r="C3314" s="7" t="s">
        <v>29</v>
      </c>
      <c r="D3314" s="7" t="s">
        <v>10</v>
      </c>
      <c r="E3314" s="7" t="s">
        <v>9</v>
      </c>
      <c r="F3314" s="8">
        <v>104.0</v>
      </c>
      <c r="G3314" s="9">
        <v>104.0</v>
      </c>
    </row>
    <row r="3315" ht="14.25" hidden="1" customHeight="1">
      <c r="B3315" s="7" t="s">
        <v>13</v>
      </c>
      <c r="C3315" s="7" t="s">
        <v>29</v>
      </c>
      <c r="D3315" s="7" t="s">
        <v>28</v>
      </c>
      <c r="E3315" s="7" t="s">
        <v>31</v>
      </c>
      <c r="F3315" s="8">
        <v>101.0</v>
      </c>
      <c r="G3315" s="9">
        <v>101.0</v>
      </c>
    </row>
    <row r="3316" ht="14.25" hidden="1" customHeight="1">
      <c r="B3316" s="7" t="s">
        <v>13</v>
      </c>
      <c r="C3316" s="7" t="s">
        <v>7</v>
      </c>
      <c r="D3316" s="7" t="s">
        <v>11</v>
      </c>
      <c r="E3316" s="7" t="s">
        <v>25</v>
      </c>
      <c r="F3316" s="8">
        <v>96.0</v>
      </c>
      <c r="G3316" s="9">
        <v>48.0</v>
      </c>
    </row>
    <row r="3317" ht="14.25" hidden="1" customHeight="1">
      <c r="B3317" s="7" t="s">
        <v>13</v>
      </c>
      <c r="C3317" s="7" t="s">
        <v>7</v>
      </c>
      <c r="D3317" s="7" t="s">
        <v>25</v>
      </c>
      <c r="E3317" s="7" t="s">
        <v>8</v>
      </c>
      <c r="F3317" s="8">
        <v>92.0</v>
      </c>
      <c r="G3317" s="9">
        <v>92.0</v>
      </c>
    </row>
    <row r="3318" ht="14.25" hidden="1" customHeight="1">
      <c r="B3318" s="7" t="s">
        <v>13</v>
      </c>
      <c r="C3318" s="7" t="s">
        <v>7</v>
      </c>
      <c r="D3318" s="7" t="s">
        <v>10</v>
      </c>
      <c r="E3318" s="7" t="s">
        <v>9</v>
      </c>
      <c r="F3318" s="8">
        <v>92.0</v>
      </c>
      <c r="G3318" s="9">
        <v>46.0</v>
      </c>
    </row>
    <row r="3319" ht="14.25" hidden="1" customHeight="1">
      <c r="B3319" s="7" t="s">
        <v>13</v>
      </c>
      <c r="C3319" s="7" t="s">
        <v>7</v>
      </c>
      <c r="D3319" s="7" t="s">
        <v>24</v>
      </c>
      <c r="E3319" s="7" t="s">
        <v>31</v>
      </c>
      <c r="F3319" s="8">
        <v>90.0</v>
      </c>
      <c r="G3319" s="9">
        <v>45.0</v>
      </c>
    </row>
    <row r="3320" ht="14.25" hidden="1" customHeight="1">
      <c r="B3320" s="7" t="s">
        <v>13</v>
      </c>
      <c r="C3320" s="7" t="s">
        <v>29</v>
      </c>
      <c r="D3320" s="7" t="s">
        <v>33</v>
      </c>
      <c r="E3320" s="7" t="s">
        <v>8</v>
      </c>
      <c r="F3320" s="8">
        <v>88.0</v>
      </c>
      <c r="G3320" s="9">
        <v>88.0</v>
      </c>
    </row>
    <row r="3321" ht="14.25" hidden="1" customHeight="1">
      <c r="B3321" s="7" t="s">
        <v>13</v>
      </c>
      <c r="C3321" s="7" t="s">
        <v>7</v>
      </c>
      <c r="D3321" s="7" t="s">
        <v>32</v>
      </c>
      <c r="E3321" s="7" t="s">
        <v>25</v>
      </c>
      <c r="F3321" s="8">
        <v>88.0</v>
      </c>
      <c r="G3321" s="9">
        <v>44.0</v>
      </c>
    </row>
    <row r="3322" ht="14.25" hidden="1" customHeight="1">
      <c r="B3322" s="7" t="s">
        <v>13</v>
      </c>
      <c r="C3322" s="7" t="s">
        <v>29</v>
      </c>
      <c r="D3322" s="7" t="s">
        <v>31</v>
      </c>
      <c r="E3322" s="7" t="s">
        <v>25</v>
      </c>
      <c r="F3322" s="8">
        <v>85.0</v>
      </c>
      <c r="G3322" s="9">
        <v>85.0</v>
      </c>
    </row>
    <row r="3323" ht="14.25" hidden="1" customHeight="1">
      <c r="B3323" s="7" t="s">
        <v>13</v>
      </c>
      <c r="C3323" s="7" t="s">
        <v>7</v>
      </c>
      <c r="D3323" s="7" t="s">
        <v>8</v>
      </c>
      <c r="E3323" s="7" t="s">
        <v>9</v>
      </c>
      <c r="F3323" s="8">
        <v>82.0</v>
      </c>
      <c r="G3323" s="9">
        <v>41.0</v>
      </c>
    </row>
    <row r="3324" ht="14.25" hidden="1" customHeight="1">
      <c r="B3324" s="7" t="s">
        <v>13</v>
      </c>
      <c r="C3324" s="7" t="s">
        <v>30</v>
      </c>
      <c r="D3324" s="7" t="s">
        <v>34</v>
      </c>
      <c r="E3324" s="7" t="s">
        <v>28</v>
      </c>
      <c r="F3324" s="8">
        <v>80.0</v>
      </c>
      <c r="G3324" s="9">
        <v>40.0</v>
      </c>
    </row>
    <row r="3325" ht="14.25" hidden="1" customHeight="1">
      <c r="B3325" s="7" t="s">
        <v>13</v>
      </c>
      <c r="C3325" s="7" t="s">
        <v>30</v>
      </c>
      <c r="D3325" s="7" t="s">
        <v>31</v>
      </c>
      <c r="E3325" s="7" t="s">
        <v>33</v>
      </c>
      <c r="F3325" s="8">
        <v>80.0</v>
      </c>
      <c r="G3325" s="9">
        <v>40.0</v>
      </c>
    </row>
    <row r="3326" ht="14.25" hidden="1" customHeight="1">
      <c r="B3326" s="7" t="s">
        <v>13</v>
      </c>
      <c r="C3326" s="7" t="s">
        <v>29</v>
      </c>
      <c r="D3326" s="7" t="s">
        <v>31</v>
      </c>
      <c r="E3326" s="7" t="s">
        <v>10</v>
      </c>
      <c r="F3326" s="8">
        <v>79.0</v>
      </c>
      <c r="G3326" s="9">
        <v>79.0</v>
      </c>
    </row>
    <row r="3327" ht="14.25" hidden="1" customHeight="1">
      <c r="B3327" s="7" t="s">
        <v>13</v>
      </c>
      <c r="C3327" s="7" t="s">
        <v>29</v>
      </c>
      <c r="D3327" s="7" t="s">
        <v>8</v>
      </c>
      <c r="E3327" s="7" t="s">
        <v>28</v>
      </c>
      <c r="F3327" s="8">
        <v>79.0</v>
      </c>
      <c r="G3327" s="9">
        <v>79.0</v>
      </c>
    </row>
    <row r="3328" ht="14.25" hidden="1" customHeight="1">
      <c r="B3328" s="7" t="s">
        <v>13</v>
      </c>
      <c r="C3328" s="7" t="s">
        <v>7</v>
      </c>
      <c r="D3328" s="7" t="s">
        <v>8</v>
      </c>
      <c r="E3328" s="7" t="s">
        <v>35</v>
      </c>
      <c r="F3328" s="8">
        <v>78.0</v>
      </c>
      <c r="G3328" s="9">
        <v>39.0</v>
      </c>
    </row>
    <row r="3329" ht="14.25" hidden="1" customHeight="1">
      <c r="B3329" s="7" t="s">
        <v>13</v>
      </c>
      <c r="C3329" s="7" t="s">
        <v>29</v>
      </c>
      <c r="D3329" s="7" t="s">
        <v>8</v>
      </c>
      <c r="E3329" s="7" t="s">
        <v>10</v>
      </c>
      <c r="F3329" s="8">
        <v>78.0</v>
      </c>
      <c r="G3329" s="9">
        <v>78.0</v>
      </c>
    </row>
    <row r="3330" ht="14.25" hidden="1" customHeight="1">
      <c r="B3330" s="7" t="s">
        <v>13</v>
      </c>
      <c r="C3330" s="7" t="s">
        <v>29</v>
      </c>
      <c r="D3330" s="7" t="s">
        <v>9</v>
      </c>
      <c r="E3330" s="7" t="s">
        <v>25</v>
      </c>
      <c r="F3330" s="8">
        <v>77.0</v>
      </c>
      <c r="G3330" s="9">
        <v>77.0</v>
      </c>
    </row>
    <row r="3331" ht="14.25" hidden="1" customHeight="1">
      <c r="B3331" s="7" t="s">
        <v>13</v>
      </c>
      <c r="C3331" s="7" t="s">
        <v>7</v>
      </c>
      <c r="D3331" s="7" t="s">
        <v>28</v>
      </c>
      <c r="E3331" s="7" t="s">
        <v>32</v>
      </c>
      <c r="F3331" s="8">
        <v>76.0</v>
      </c>
      <c r="G3331" s="9">
        <v>38.0</v>
      </c>
    </row>
    <row r="3332" ht="14.25" hidden="1" customHeight="1">
      <c r="B3332" s="7" t="s">
        <v>13</v>
      </c>
      <c r="C3332" s="7" t="s">
        <v>29</v>
      </c>
      <c r="D3332" s="7" t="s">
        <v>9</v>
      </c>
      <c r="E3332" s="7" t="s">
        <v>25</v>
      </c>
      <c r="F3332" s="8">
        <v>76.0</v>
      </c>
      <c r="G3332" s="9">
        <v>76.0</v>
      </c>
    </row>
    <row r="3333" ht="14.25" hidden="1" customHeight="1">
      <c r="B3333" s="7" t="s">
        <v>13</v>
      </c>
      <c r="C3333" s="7" t="s">
        <v>29</v>
      </c>
      <c r="D3333" s="7" t="s">
        <v>28</v>
      </c>
      <c r="E3333" s="7" t="s">
        <v>25</v>
      </c>
      <c r="F3333" s="8">
        <v>75.0</v>
      </c>
      <c r="G3333" s="9">
        <v>75.0</v>
      </c>
    </row>
    <row r="3334" ht="14.25" hidden="1" customHeight="1">
      <c r="B3334" s="7" t="s">
        <v>13</v>
      </c>
      <c r="C3334" s="7" t="s">
        <v>7</v>
      </c>
      <c r="D3334" s="7" t="s">
        <v>28</v>
      </c>
      <c r="E3334" s="7" t="s">
        <v>9</v>
      </c>
      <c r="F3334" s="8">
        <v>74.0</v>
      </c>
      <c r="G3334" s="9">
        <v>37.0</v>
      </c>
    </row>
    <row r="3335" ht="14.25" hidden="1" customHeight="1">
      <c r="B3335" s="7" t="s">
        <v>13</v>
      </c>
      <c r="C3335" s="7" t="s">
        <v>7</v>
      </c>
      <c r="D3335" s="7" t="s">
        <v>11</v>
      </c>
      <c r="E3335" s="7" t="s">
        <v>25</v>
      </c>
      <c r="F3335" s="8">
        <v>74.0</v>
      </c>
      <c r="G3335" s="9">
        <v>37.0</v>
      </c>
    </row>
    <row r="3336" ht="14.25" hidden="1" customHeight="1">
      <c r="B3336" s="7" t="s">
        <v>13</v>
      </c>
      <c r="C3336" s="7" t="s">
        <v>7</v>
      </c>
      <c r="D3336" s="7" t="s">
        <v>25</v>
      </c>
      <c r="E3336" s="7" t="s">
        <v>28</v>
      </c>
      <c r="F3336" s="8">
        <v>72.0</v>
      </c>
      <c r="G3336" s="9">
        <v>36.0</v>
      </c>
    </row>
    <row r="3337" ht="14.25" hidden="1" customHeight="1">
      <c r="B3337" s="7" t="s">
        <v>13</v>
      </c>
      <c r="C3337" s="7" t="s">
        <v>30</v>
      </c>
      <c r="D3337" s="7" t="s">
        <v>33</v>
      </c>
      <c r="E3337" s="7" t="s">
        <v>25</v>
      </c>
      <c r="F3337" s="8">
        <v>72.0</v>
      </c>
      <c r="G3337" s="9">
        <v>36.0</v>
      </c>
    </row>
    <row r="3338" ht="14.25" hidden="1" customHeight="1">
      <c r="B3338" s="7" t="s">
        <v>13</v>
      </c>
      <c r="C3338" s="7" t="s">
        <v>30</v>
      </c>
      <c r="D3338" s="7" t="s">
        <v>33</v>
      </c>
      <c r="E3338" s="7" t="s">
        <v>28</v>
      </c>
      <c r="F3338" s="8">
        <v>72.0</v>
      </c>
      <c r="G3338" s="9">
        <v>36.0</v>
      </c>
    </row>
    <row r="3339" ht="14.25" hidden="1" customHeight="1">
      <c r="B3339" s="7" t="s">
        <v>13</v>
      </c>
      <c r="C3339" s="7" t="s">
        <v>7</v>
      </c>
      <c r="D3339" s="7" t="s">
        <v>10</v>
      </c>
      <c r="E3339" s="7" t="s">
        <v>8</v>
      </c>
      <c r="F3339" s="8">
        <v>72.0</v>
      </c>
      <c r="G3339" s="9">
        <v>36.0</v>
      </c>
    </row>
    <row r="3340" ht="14.25" hidden="1" customHeight="1">
      <c r="B3340" s="7" t="s">
        <v>13</v>
      </c>
      <c r="C3340" s="7" t="s">
        <v>7</v>
      </c>
      <c r="D3340" s="7" t="s">
        <v>31</v>
      </c>
      <c r="E3340" s="7" t="s">
        <v>31</v>
      </c>
      <c r="F3340" s="8">
        <v>72.0</v>
      </c>
      <c r="G3340" s="9">
        <v>36.0</v>
      </c>
    </row>
    <row r="3341" ht="14.25" hidden="1" customHeight="1">
      <c r="B3341" s="7" t="s">
        <v>13</v>
      </c>
      <c r="C3341" s="7" t="s">
        <v>7</v>
      </c>
      <c r="D3341" s="7" t="s">
        <v>33</v>
      </c>
      <c r="E3341" s="7" t="s">
        <v>31</v>
      </c>
      <c r="F3341" s="8">
        <v>68.0</v>
      </c>
      <c r="G3341" s="9">
        <v>34.0</v>
      </c>
    </row>
    <row r="3342" ht="14.25" hidden="1" customHeight="1">
      <c r="B3342" s="7" t="s">
        <v>13</v>
      </c>
      <c r="C3342" s="7" t="s">
        <v>7</v>
      </c>
      <c r="D3342" s="7" t="s">
        <v>28</v>
      </c>
      <c r="E3342" s="7" t="s">
        <v>10</v>
      </c>
      <c r="F3342" s="8">
        <v>68.0</v>
      </c>
      <c r="G3342" s="9">
        <v>34.0</v>
      </c>
    </row>
    <row r="3343" ht="14.25" hidden="1" customHeight="1">
      <c r="B3343" s="7" t="s">
        <v>13</v>
      </c>
      <c r="C3343" s="7" t="s">
        <v>29</v>
      </c>
      <c r="D3343" s="7" t="s">
        <v>31</v>
      </c>
      <c r="E3343" s="7" t="s">
        <v>8</v>
      </c>
      <c r="F3343" s="8">
        <v>68.0</v>
      </c>
      <c r="G3343" s="9">
        <v>68.0</v>
      </c>
    </row>
    <row r="3344" ht="14.25" hidden="1" customHeight="1">
      <c r="B3344" s="7" t="s">
        <v>13</v>
      </c>
      <c r="C3344" s="7" t="s">
        <v>30</v>
      </c>
      <c r="D3344" s="7" t="s">
        <v>8</v>
      </c>
      <c r="E3344" s="7" t="s">
        <v>33</v>
      </c>
      <c r="F3344" s="8">
        <v>66.0</v>
      </c>
      <c r="G3344" s="9">
        <v>33.0</v>
      </c>
    </row>
    <row r="3345" ht="14.25" hidden="1" customHeight="1">
      <c r="B3345" s="7" t="s">
        <v>13</v>
      </c>
      <c r="C3345" s="7" t="s">
        <v>29</v>
      </c>
      <c r="D3345" s="7" t="s">
        <v>28</v>
      </c>
      <c r="E3345" s="7" t="s">
        <v>33</v>
      </c>
      <c r="F3345" s="8">
        <v>65.0</v>
      </c>
      <c r="G3345" s="9">
        <v>65.0</v>
      </c>
    </row>
    <row r="3346" ht="14.25" hidden="1" customHeight="1">
      <c r="B3346" s="7" t="s">
        <v>13</v>
      </c>
      <c r="C3346" s="7" t="s">
        <v>30</v>
      </c>
      <c r="D3346" s="7" t="s">
        <v>9</v>
      </c>
      <c r="E3346" s="7" t="s">
        <v>28</v>
      </c>
      <c r="F3346" s="8">
        <v>64.0</v>
      </c>
      <c r="G3346" s="9">
        <v>32.0</v>
      </c>
    </row>
    <row r="3347" ht="14.25" hidden="1" customHeight="1">
      <c r="B3347" s="7" t="s">
        <v>13</v>
      </c>
      <c r="C3347" s="7" t="s">
        <v>7</v>
      </c>
      <c r="D3347" s="7" t="s">
        <v>10</v>
      </c>
      <c r="E3347" s="7" t="s">
        <v>8</v>
      </c>
      <c r="F3347" s="8">
        <v>64.0</v>
      </c>
      <c r="G3347" s="9">
        <v>32.0</v>
      </c>
    </row>
    <row r="3348" ht="14.25" hidden="1" customHeight="1">
      <c r="B3348" s="7" t="s">
        <v>13</v>
      </c>
      <c r="C3348" s="7" t="s">
        <v>7</v>
      </c>
      <c r="D3348" s="7" t="s">
        <v>31</v>
      </c>
      <c r="E3348" s="7" t="s">
        <v>35</v>
      </c>
      <c r="F3348" s="8">
        <v>64.0</v>
      </c>
      <c r="G3348" s="9">
        <v>32.0</v>
      </c>
    </row>
    <row r="3349" ht="14.25" hidden="1" customHeight="1">
      <c r="B3349" s="7" t="s">
        <v>13</v>
      </c>
      <c r="C3349" s="7" t="s">
        <v>30</v>
      </c>
      <c r="D3349" s="7" t="s">
        <v>31</v>
      </c>
      <c r="E3349" s="7" t="s">
        <v>31</v>
      </c>
      <c r="F3349" s="8">
        <v>64.0</v>
      </c>
      <c r="G3349" s="9">
        <v>32.0</v>
      </c>
    </row>
    <row r="3350" ht="14.25" hidden="1" customHeight="1">
      <c r="B3350" s="7" t="s">
        <v>13</v>
      </c>
      <c r="C3350" s="7" t="s">
        <v>7</v>
      </c>
      <c r="D3350" s="7" t="s">
        <v>8</v>
      </c>
      <c r="E3350" s="7" t="s">
        <v>25</v>
      </c>
      <c r="F3350" s="8">
        <v>64.0</v>
      </c>
      <c r="G3350" s="9">
        <v>64.0</v>
      </c>
    </row>
    <row r="3351" ht="14.25" hidden="1" customHeight="1">
      <c r="B3351" s="7" t="s">
        <v>13</v>
      </c>
      <c r="C3351" s="7" t="s">
        <v>29</v>
      </c>
      <c r="D3351" s="7" t="s">
        <v>8</v>
      </c>
      <c r="E3351" s="7" t="s">
        <v>28</v>
      </c>
      <c r="F3351" s="8">
        <v>63.0</v>
      </c>
      <c r="G3351" s="9">
        <v>63.0</v>
      </c>
    </row>
    <row r="3352" ht="14.25" hidden="1" customHeight="1">
      <c r="B3352" s="7" t="s">
        <v>13</v>
      </c>
      <c r="C3352" s="7" t="s">
        <v>7</v>
      </c>
      <c r="D3352" s="7" t="s">
        <v>8</v>
      </c>
      <c r="E3352" s="7" t="s">
        <v>10</v>
      </c>
      <c r="F3352" s="8">
        <v>62.0</v>
      </c>
      <c r="G3352" s="9">
        <v>31.0</v>
      </c>
    </row>
    <row r="3353" ht="14.25" hidden="1" customHeight="1">
      <c r="B3353" s="7" t="s">
        <v>13</v>
      </c>
      <c r="C3353" s="7" t="s">
        <v>29</v>
      </c>
      <c r="D3353" s="7" t="s">
        <v>31</v>
      </c>
      <c r="E3353" s="7" t="s">
        <v>35</v>
      </c>
      <c r="F3353" s="8">
        <v>60.0</v>
      </c>
      <c r="G3353" s="9">
        <v>60.0</v>
      </c>
    </row>
    <row r="3354" ht="14.25" hidden="1" customHeight="1">
      <c r="B3354" s="7" t="s">
        <v>13</v>
      </c>
      <c r="C3354" s="7" t="s">
        <v>29</v>
      </c>
      <c r="D3354" s="7" t="s">
        <v>31</v>
      </c>
      <c r="E3354" s="7" t="s">
        <v>28</v>
      </c>
      <c r="F3354" s="8">
        <v>59.0</v>
      </c>
      <c r="G3354" s="9">
        <v>59.0</v>
      </c>
    </row>
    <row r="3355" ht="14.25" hidden="1" customHeight="1">
      <c r="B3355" s="7" t="s">
        <v>13</v>
      </c>
      <c r="C3355" s="7" t="s">
        <v>29</v>
      </c>
      <c r="D3355" s="7" t="s">
        <v>31</v>
      </c>
      <c r="E3355" s="7" t="s">
        <v>24</v>
      </c>
      <c r="F3355" s="8">
        <v>59.0</v>
      </c>
      <c r="G3355" s="9">
        <v>59.0</v>
      </c>
    </row>
    <row r="3356" ht="14.25" hidden="1" customHeight="1">
      <c r="B3356" s="7" t="s">
        <v>13</v>
      </c>
      <c r="C3356" s="7" t="s">
        <v>29</v>
      </c>
      <c r="D3356" s="7" t="s">
        <v>9</v>
      </c>
      <c r="E3356" s="7" t="s">
        <v>31</v>
      </c>
      <c r="F3356" s="8">
        <v>58.0</v>
      </c>
      <c r="G3356" s="9">
        <v>58.0</v>
      </c>
    </row>
    <row r="3357" ht="14.25" hidden="1" customHeight="1">
      <c r="B3357" s="7" t="s">
        <v>13</v>
      </c>
      <c r="C3357" s="7" t="s">
        <v>29</v>
      </c>
      <c r="D3357" s="7" t="s">
        <v>31</v>
      </c>
      <c r="E3357" s="7" t="s">
        <v>31</v>
      </c>
      <c r="F3357" s="8">
        <v>53.0</v>
      </c>
      <c r="G3357" s="9">
        <v>53.0</v>
      </c>
    </row>
    <row r="3358" ht="14.25" hidden="1" customHeight="1">
      <c r="B3358" s="7" t="s">
        <v>13</v>
      </c>
      <c r="C3358" s="7" t="s">
        <v>29</v>
      </c>
      <c r="D3358" s="7" t="s">
        <v>9</v>
      </c>
      <c r="E3358" s="7" t="s">
        <v>31</v>
      </c>
      <c r="F3358" s="8">
        <v>52.0</v>
      </c>
      <c r="G3358" s="9">
        <v>52.0</v>
      </c>
    </row>
    <row r="3359" ht="14.25" hidden="1" customHeight="1">
      <c r="B3359" s="7" t="s">
        <v>13</v>
      </c>
      <c r="C3359" s="7" t="s">
        <v>29</v>
      </c>
      <c r="D3359" s="7" t="s">
        <v>32</v>
      </c>
      <c r="E3359" s="7" t="s">
        <v>35</v>
      </c>
      <c r="F3359" s="8">
        <v>51.0</v>
      </c>
      <c r="G3359" s="9">
        <v>51.0</v>
      </c>
    </row>
    <row r="3360" ht="14.25" hidden="1" customHeight="1">
      <c r="B3360" s="7" t="s">
        <v>13</v>
      </c>
      <c r="C3360" s="7" t="s">
        <v>29</v>
      </c>
      <c r="D3360" s="7" t="s">
        <v>8</v>
      </c>
      <c r="E3360" s="7" t="s">
        <v>33</v>
      </c>
      <c r="F3360" s="8">
        <v>50.0</v>
      </c>
      <c r="G3360" s="9">
        <v>50.0</v>
      </c>
    </row>
    <row r="3361" ht="14.25" hidden="1" customHeight="1">
      <c r="B3361" s="7" t="s">
        <v>13</v>
      </c>
      <c r="C3361" s="7" t="s">
        <v>29</v>
      </c>
      <c r="D3361" s="7" t="s">
        <v>25</v>
      </c>
      <c r="E3361" s="7" t="s">
        <v>10</v>
      </c>
      <c r="F3361" s="8">
        <v>49.0</v>
      </c>
      <c r="G3361" s="9">
        <v>49.0</v>
      </c>
    </row>
    <row r="3362" ht="14.25" hidden="1" customHeight="1">
      <c r="B3362" s="7" t="s">
        <v>13</v>
      </c>
      <c r="C3362" s="7" t="s">
        <v>30</v>
      </c>
      <c r="D3362" s="7" t="s">
        <v>28</v>
      </c>
      <c r="E3362" s="7" t="s">
        <v>8</v>
      </c>
      <c r="F3362" s="8">
        <v>48.0</v>
      </c>
      <c r="G3362" s="9">
        <v>24.0</v>
      </c>
    </row>
    <row r="3363" ht="14.25" hidden="1" customHeight="1">
      <c r="B3363" s="7" t="s">
        <v>13</v>
      </c>
      <c r="C3363" s="7" t="s">
        <v>7</v>
      </c>
      <c r="D3363" s="7" t="s">
        <v>10</v>
      </c>
      <c r="E3363" s="7" t="s">
        <v>31</v>
      </c>
      <c r="F3363" s="8">
        <v>48.0</v>
      </c>
      <c r="G3363" s="9">
        <v>24.0</v>
      </c>
    </row>
    <row r="3364" ht="14.25" hidden="1" customHeight="1">
      <c r="B3364" s="7" t="s">
        <v>13</v>
      </c>
      <c r="C3364" s="7" t="s">
        <v>7</v>
      </c>
      <c r="D3364" s="7" t="s">
        <v>25</v>
      </c>
      <c r="E3364" s="7" t="s">
        <v>32</v>
      </c>
      <c r="F3364" s="8">
        <v>46.0</v>
      </c>
      <c r="G3364" s="9">
        <v>23.0</v>
      </c>
    </row>
    <row r="3365" ht="14.25" hidden="1" customHeight="1">
      <c r="B3365" s="7" t="s">
        <v>13</v>
      </c>
      <c r="C3365" s="7" t="s">
        <v>29</v>
      </c>
      <c r="D3365" s="7" t="s">
        <v>25</v>
      </c>
      <c r="E3365" s="7" t="s">
        <v>8</v>
      </c>
      <c r="F3365" s="8">
        <v>44.0</v>
      </c>
      <c r="G3365" s="9">
        <v>44.0</v>
      </c>
    </row>
    <row r="3366" ht="14.25" hidden="1" customHeight="1">
      <c r="B3366" s="7" t="s">
        <v>13</v>
      </c>
      <c r="C3366" s="7" t="s">
        <v>29</v>
      </c>
      <c r="D3366" s="7" t="s">
        <v>11</v>
      </c>
      <c r="E3366" s="7" t="s">
        <v>8</v>
      </c>
      <c r="F3366" s="8">
        <v>44.0</v>
      </c>
      <c r="G3366" s="9">
        <v>44.0</v>
      </c>
    </row>
    <row r="3367" ht="14.25" hidden="1" customHeight="1">
      <c r="B3367" s="7" t="s">
        <v>13</v>
      </c>
      <c r="C3367" s="7" t="s">
        <v>29</v>
      </c>
      <c r="D3367" s="7" t="s">
        <v>9</v>
      </c>
      <c r="E3367" s="7" t="s">
        <v>8</v>
      </c>
      <c r="F3367" s="8">
        <v>43.0</v>
      </c>
      <c r="G3367" s="9">
        <v>43.0</v>
      </c>
    </row>
    <row r="3368" ht="14.25" hidden="1" customHeight="1">
      <c r="B3368" s="7" t="s">
        <v>13</v>
      </c>
      <c r="C3368" s="7" t="s">
        <v>29</v>
      </c>
      <c r="D3368" s="7" t="s">
        <v>11</v>
      </c>
      <c r="E3368" s="7" t="s">
        <v>25</v>
      </c>
      <c r="F3368" s="8">
        <v>42.0</v>
      </c>
      <c r="G3368" s="9">
        <v>42.0</v>
      </c>
    </row>
    <row r="3369" ht="14.25" hidden="1" customHeight="1">
      <c r="B3369" s="7" t="s">
        <v>13</v>
      </c>
      <c r="C3369" s="7" t="s">
        <v>7</v>
      </c>
      <c r="D3369" s="7" t="s">
        <v>34</v>
      </c>
      <c r="E3369" s="7" t="s">
        <v>28</v>
      </c>
      <c r="F3369" s="8">
        <v>42.0</v>
      </c>
      <c r="G3369" s="9">
        <v>21.0</v>
      </c>
    </row>
    <row r="3370" ht="14.25" hidden="1" customHeight="1">
      <c r="B3370" s="7" t="s">
        <v>13</v>
      </c>
      <c r="C3370" s="7" t="s">
        <v>7</v>
      </c>
      <c r="D3370" s="7" t="s">
        <v>31</v>
      </c>
      <c r="E3370" s="7" t="s">
        <v>31</v>
      </c>
      <c r="F3370" s="8">
        <v>42.0</v>
      </c>
      <c r="G3370" s="9">
        <v>21.0</v>
      </c>
    </row>
    <row r="3371" ht="14.25" hidden="1" customHeight="1">
      <c r="B3371" s="7" t="s">
        <v>13</v>
      </c>
      <c r="C3371" s="7" t="s">
        <v>7</v>
      </c>
      <c r="D3371" s="7" t="s">
        <v>31</v>
      </c>
      <c r="E3371" s="7" t="s">
        <v>25</v>
      </c>
      <c r="F3371" s="8">
        <v>40.0</v>
      </c>
      <c r="G3371" s="9">
        <v>40.0</v>
      </c>
    </row>
    <row r="3372" ht="14.25" hidden="1" customHeight="1">
      <c r="B3372" s="7" t="s">
        <v>13</v>
      </c>
      <c r="C3372" s="7" t="s">
        <v>29</v>
      </c>
      <c r="D3372" s="7" t="s">
        <v>8</v>
      </c>
      <c r="E3372" s="7" t="s">
        <v>9</v>
      </c>
      <c r="F3372" s="8">
        <v>40.0</v>
      </c>
      <c r="G3372" s="9">
        <v>40.0</v>
      </c>
    </row>
    <row r="3373" ht="14.25" hidden="1" customHeight="1">
      <c r="B3373" s="7" t="s">
        <v>13</v>
      </c>
      <c r="C3373" s="7" t="s">
        <v>7</v>
      </c>
      <c r="D3373" s="7" t="s">
        <v>8</v>
      </c>
      <c r="E3373" s="7" t="s">
        <v>10</v>
      </c>
      <c r="F3373" s="8">
        <v>40.0</v>
      </c>
      <c r="G3373" s="9">
        <v>20.0</v>
      </c>
    </row>
    <row r="3374" ht="14.25" hidden="1" customHeight="1">
      <c r="B3374" s="7" t="s">
        <v>13</v>
      </c>
      <c r="C3374" s="7" t="s">
        <v>29</v>
      </c>
      <c r="D3374" s="7" t="s">
        <v>33</v>
      </c>
      <c r="E3374" s="7" t="s">
        <v>28</v>
      </c>
      <c r="F3374" s="8">
        <v>39.0</v>
      </c>
      <c r="G3374" s="9">
        <v>39.0</v>
      </c>
    </row>
    <row r="3375" ht="14.25" hidden="1" customHeight="1">
      <c r="B3375" s="7" t="s">
        <v>13</v>
      </c>
      <c r="C3375" s="7" t="s">
        <v>29</v>
      </c>
      <c r="D3375" s="7" t="s">
        <v>10</v>
      </c>
      <c r="E3375" s="7" t="s">
        <v>33</v>
      </c>
      <c r="F3375" s="8">
        <v>39.0</v>
      </c>
      <c r="G3375" s="9">
        <v>39.0</v>
      </c>
    </row>
    <row r="3376" ht="14.25" hidden="1" customHeight="1">
      <c r="B3376" s="7" t="s">
        <v>13</v>
      </c>
      <c r="C3376" s="7" t="s">
        <v>7</v>
      </c>
      <c r="D3376" s="7" t="s">
        <v>33</v>
      </c>
      <c r="E3376" s="7" t="s">
        <v>35</v>
      </c>
      <c r="F3376" s="8">
        <v>38.0</v>
      </c>
      <c r="G3376" s="9">
        <v>19.0</v>
      </c>
    </row>
    <row r="3377" ht="14.25" hidden="1" customHeight="1">
      <c r="B3377" s="7" t="s">
        <v>13</v>
      </c>
      <c r="C3377" s="7" t="s">
        <v>29</v>
      </c>
      <c r="D3377" s="7" t="s">
        <v>28</v>
      </c>
      <c r="E3377" s="7" t="s">
        <v>32</v>
      </c>
      <c r="F3377" s="8">
        <v>38.0</v>
      </c>
      <c r="G3377" s="9">
        <v>38.0</v>
      </c>
    </row>
    <row r="3378" ht="14.25" hidden="1" customHeight="1">
      <c r="B3378" s="7" t="s">
        <v>13</v>
      </c>
      <c r="C3378" s="7" t="s">
        <v>29</v>
      </c>
      <c r="D3378" s="7" t="s">
        <v>9</v>
      </c>
      <c r="E3378" s="7" t="s">
        <v>8</v>
      </c>
      <c r="F3378" s="8">
        <v>37.0</v>
      </c>
      <c r="G3378" s="9">
        <v>37.0</v>
      </c>
    </row>
    <row r="3379" ht="14.25" hidden="1" customHeight="1">
      <c r="B3379" s="7" t="s">
        <v>13</v>
      </c>
      <c r="C3379" s="7" t="s">
        <v>29</v>
      </c>
      <c r="D3379" s="7" t="s">
        <v>31</v>
      </c>
      <c r="E3379" s="7" t="s">
        <v>35</v>
      </c>
      <c r="F3379" s="8">
        <v>37.0</v>
      </c>
      <c r="G3379" s="9">
        <v>37.0</v>
      </c>
    </row>
    <row r="3380" ht="14.25" hidden="1" customHeight="1">
      <c r="B3380" s="7" t="s">
        <v>13</v>
      </c>
      <c r="C3380" s="7" t="s">
        <v>7</v>
      </c>
      <c r="D3380" s="7" t="s">
        <v>10</v>
      </c>
      <c r="E3380" s="7" t="s">
        <v>24</v>
      </c>
      <c r="F3380" s="8">
        <v>36.0</v>
      </c>
      <c r="G3380" s="9">
        <v>18.0</v>
      </c>
    </row>
    <row r="3381" ht="14.25" hidden="1" customHeight="1">
      <c r="B3381" s="7" t="s">
        <v>13</v>
      </c>
      <c r="C3381" s="7" t="s">
        <v>29</v>
      </c>
      <c r="D3381" s="7" t="s">
        <v>24</v>
      </c>
      <c r="E3381" s="7" t="s">
        <v>31</v>
      </c>
      <c r="F3381" s="8">
        <v>34.0</v>
      </c>
      <c r="G3381" s="9">
        <v>34.0</v>
      </c>
    </row>
    <row r="3382" ht="14.25" hidden="1" customHeight="1">
      <c r="B3382" s="7" t="s">
        <v>13</v>
      </c>
      <c r="C3382" s="7" t="s">
        <v>7</v>
      </c>
      <c r="D3382" s="7" t="s">
        <v>10</v>
      </c>
      <c r="E3382" s="7" t="s">
        <v>8</v>
      </c>
      <c r="F3382" s="8">
        <v>34.0</v>
      </c>
      <c r="G3382" s="9">
        <v>17.0</v>
      </c>
    </row>
    <row r="3383" ht="14.25" hidden="1" customHeight="1">
      <c r="B3383" s="7" t="s">
        <v>13</v>
      </c>
      <c r="C3383" s="7" t="s">
        <v>7</v>
      </c>
      <c r="D3383" s="7" t="s">
        <v>32</v>
      </c>
      <c r="E3383" s="7" t="s">
        <v>35</v>
      </c>
      <c r="F3383" s="8">
        <v>32.0</v>
      </c>
      <c r="G3383" s="9">
        <v>16.0</v>
      </c>
    </row>
    <row r="3384" ht="14.25" hidden="1" customHeight="1">
      <c r="B3384" s="7" t="s">
        <v>13</v>
      </c>
      <c r="C3384" s="7" t="s">
        <v>7</v>
      </c>
      <c r="D3384" s="7" t="s">
        <v>31</v>
      </c>
      <c r="E3384" s="7" t="s">
        <v>9</v>
      </c>
      <c r="F3384" s="8">
        <v>32.0</v>
      </c>
      <c r="G3384" s="9">
        <v>16.0</v>
      </c>
    </row>
    <row r="3385" ht="14.25" hidden="1" customHeight="1">
      <c r="B3385" s="7" t="s">
        <v>13</v>
      </c>
      <c r="C3385" s="7" t="s">
        <v>7</v>
      </c>
      <c r="D3385" s="7" t="s">
        <v>31</v>
      </c>
      <c r="E3385" s="7" t="s">
        <v>10</v>
      </c>
      <c r="F3385" s="8">
        <v>32.0</v>
      </c>
      <c r="G3385" s="9">
        <v>16.0</v>
      </c>
    </row>
    <row r="3386" ht="14.25" hidden="1" customHeight="1">
      <c r="B3386" s="7" t="s">
        <v>13</v>
      </c>
      <c r="C3386" s="7" t="s">
        <v>7</v>
      </c>
      <c r="D3386" s="7" t="s">
        <v>33</v>
      </c>
      <c r="E3386" s="7" t="s">
        <v>8</v>
      </c>
      <c r="F3386" s="8">
        <v>30.0</v>
      </c>
      <c r="G3386" s="9">
        <v>15.0</v>
      </c>
    </row>
    <row r="3387" ht="14.25" hidden="1" customHeight="1">
      <c r="B3387" s="7" t="s">
        <v>13</v>
      </c>
      <c r="C3387" s="7" t="s">
        <v>7</v>
      </c>
      <c r="D3387" s="7" t="s">
        <v>9</v>
      </c>
      <c r="E3387" s="7" t="s">
        <v>31</v>
      </c>
      <c r="F3387" s="8">
        <v>30.0</v>
      </c>
      <c r="G3387" s="9">
        <v>15.0</v>
      </c>
    </row>
    <row r="3388" ht="14.25" hidden="1" customHeight="1">
      <c r="B3388" s="7" t="s">
        <v>13</v>
      </c>
      <c r="C3388" s="7" t="s">
        <v>30</v>
      </c>
      <c r="D3388" s="7" t="s">
        <v>24</v>
      </c>
      <c r="E3388" s="7" t="s">
        <v>31</v>
      </c>
      <c r="F3388" s="8">
        <v>30.0</v>
      </c>
      <c r="G3388" s="9">
        <v>15.0</v>
      </c>
    </row>
    <row r="3389" ht="14.25" hidden="1" customHeight="1">
      <c r="B3389" s="7" t="s">
        <v>13</v>
      </c>
      <c r="C3389" s="7" t="s">
        <v>29</v>
      </c>
      <c r="D3389" s="7" t="s">
        <v>32</v>
      </c>
      <c r="E3389" s="7" t="s">
        <v>8</v>
      </c>
      <c r="F3389" s="8">
        <v>30.0</v>
      </c>
      <c r="G3389" s="9">
        <v>30.0</v>
      </c>
    </row>
    <row r="3390" ht="14.25" hidden="1" customHeight="1">
      <c r="B3390" s="7" t="s">
        <v>13</v>
      </c>
      <c r="C3390" s="7" t="s">
        <v>29</v>
      </c>
      <c r="D3390" s="7" t="s">
        <v>8</v>
      </c>
      <c r="E3390" s="7" t="s">
        <v>25</v>
      </c>
      <c r="F3390" s="8">
        <v>30.0</v>
      </c>
      <c r="G3390" s="9">
        <v>30.0</v>
      </c>
    </row>
    <row r="3391" ht="14.25" hidden="1" customHeight="1">
      <c r="B3391" s="7" t="s">
        <v>13</v>
      </c>
      <c r="C3391" s="7" t="s">
        <v>29</v>
      </c>
      <c r="D3391" s="7" t="s">
        <v>25</v>
      </c>
      <c r="E3391" s="7" t="s">
        <v>8</v>
      </c>
      <c r="F3391" s="8">
        <v>29.0</v>
      </c>
      <c r="G3391" s="9">
        <v>29.0</v>
      </c>
    </row>
    <row r="3392" ht="14.25" hidden="1" customHeight="1">
      <c r="B3392" s="7" t="s">
        <v>13</v>
      </c>
      <c r="C3392" s="7" t="s">
        <v>29</v>
      </c>
      <c r="D3392" s="7" t="s">
        <v>9</v>
      </c>
      <c r="E3392" s="7" t="s">
        <v>32</v>
      </c>
      <c r="F3392" s="8">
        <v>29.0</v>
      </c>
      <c r="G3392" s="9">
        <v>29.0</v>
      </c>
    </row>
    <row r="3393" ht="14.25" hidden="1" customHeight="1">
      <c r="B3393" s="7" t="s">
        <v>13</v>
      </c>
      <c r="C3393" s="7" t="s">
        <v>29</v>
      </c>
      <c r="D3393" s="7" t="s">
        <v>8</v>
      </c>
      <c r="E3393" s="7" t="s">
        <v>25</v>
      </c>
      <c r="F3393" s="8">
        <v>29.0</v>
      </c>
      <c r="G3393" s="9">
        <v>29.0</v>
      </c>
    </row>
    <row r="3394" ht="14.25" hidden="1" customHeight="1">
      <c r="B3394" s="7" t="s">
        <v>13</v>
      </c>
      <c r="C3394" s="7" t="s">
        <v>7</v>
      </c>
      <c r="D3394" s="7" t="s">
        <v>10</v>
      </c>
      <c r="E3394" s="7" t="s">
        <v>31</v>
      </c>
      <c r="F3394" s="8">
        <v>28.0</v>
      </c>
      <c r="G3394" s="9">
        <v>14.0</v>
      </c>
    </row>
    <row r="3395" ht="14.25" hidden="1" customHeight="1">
      <c r="B3395" s="7" t="s">
        <v>13</v>
      </c>
      <c r="C3395" s="7" t="s">
        <v>30</v>
      </c>
      <c r="D3395" s="7" t="s">
        <v>31</v>
      </c>
      <c r="E3395" s="7" t="s">
        <v>35</v>
      </c>
      <c r="F3395" s="8">
        <v>28.0</v>
      </c>
      <c r="G3395" s="9">
        <v>14.0</v>
      </c>
    </row>
    <row r="3396" ht="14.25" hidden="1" customHeight="1">
      <c r="B3396" s="7" t="s">
        <v>13</v>
      </c>
      <c r="C3396" s="7" t="s">
        <v>7</v>
      </c>
      <c r="D3396" s="7" t="s">
        <v>8</v>
      </c>
      <c r="E3396" s="7" t="s">
        <v>28</v>
      </c>
      <c r="F3396" s="8">
        <v>28.0</v>
      </c>
      <c r="G3396" s="9">
        <v>14.0</v>
      </c>
    </row>
    <row r="3397" ht="14.25" hidden="1" customHeight="1">
      <c r="B3397" s="7" t="s">
        <v>13</v>
      </c>
      <c r="C3397" s="7" t="s">
        <v>29</v>
      </c>
      <c r="D3397" s="7" t="s">
        <v>25</v>
      </c>
      <c r="E3397" s="7" t="s">
        <v>33</v>
      </c>
      <c r="F3397" s="8">
        <v>26.0</v>
      </c>
      <c r="G3397" s="9">
        <v>26.0</v>
      </c>
    </row>
    <row r="3398" ht="14.25" hidden="1" customHeight="1">
      <c r="B3398" s="7" t="s">
        <v>13</v>
      </c>
      <c r="C3398" s="7" t="s">
        <v>7</v>
      </c>
      <c r="D3398" s="7" t="s">
        <v>31</v>
      </c>
      <c r="E3398" s="7" t="s">
        <v>10</v>
      </c>
      <c r="F3398" s="8">
        <v>26.0</v>
      </c>
      <c r="G3398" s="9">
        <v>13.0</v>
      </c>
    </row>
    <row r="3399" ht="14.25" hidden="1" customHeight="1">
      <c r="B3399" s="7" t="s">
        <v>13</v>
      </c>
      <c r="C3399" s="7" t="s">
        <v>7</v>
      </c>
      <c r="D3399" s="7" t="s">
        <v>33</v>
      </c>
      <c r="E3399" s="7" t="s">
        <v>9</v>
      </c>
      <c r="F3399" s="8">
        <v>24.0</v>
      </c>
      <c r="G3399" s="9">
        <v>12.0</v>
      </c>
    </row>
    <row r="3400" ht="14.25" hidden="1" customHeight="1">
      <c r="B3400" s="7" t="s">
        <v>13</v>
      </c>
      <c r="C3400" s="7" t="s">
        <v>30</v>
      </c>
      <c r="D3400" s="7" t="s">
        <v>28</v>
      </c>
      <c r="E3400" s="7" t="s">
        <v>25</v>
      </c>
      <c r="F3400" s="8">
        <v>24.0</v>
      </c>
      <c r="G3400" s="9">
        <v>12.0</v>
      </c>
    </row>
    <row r="3401" ht="14.25" hidden="1" customHeight="1">
      <c r="B3401" s="7" t="s">
        <v>13</v>
      </c>
      <c r="C3401" s="7" t="s">
        <v>29</v>
      </c>
      <c r="D3401" s="7" t="s">
        <v>24</v>
      </c>
      <c r="E3401" s="7" t="s">
        <v>31</v>
      </c>
      <c r="F3401" s="8">
        <v>24.0</v>
      </c>
      <c r="G3401" s="9">
        <v>24.0</v>
      </c>
    </row>
    <row r="3402" ht="14.25" hidden="1" customHeight="1">
      <c r="B3402" s="7" t="s">
        <v>13</v>
      </c>
      <c r="C3402" s="7" t="s">
        <v>7</v>
      </c>
      <c r="D3402" s="7" t="s">
        <v>31</v>
      </c>
      <c r="E3402" s="7" t="s">
        <v>9</v>
      </c>
      <c r="F3402" s="8">
        <v>24.0</v>
      </c>
      <c r="G3402" s="9">
        <v>12.0</v>
      </c>
    </row>
    <row r="3403" ht="14.25" customHeight="1">
      <c r="B3403" s="7" t="s">
        <v>13</v>
      </c>
      <c r="C3403" s="7" t="s">
        <v>30</v>
      </c>
      <c r="D3403" s="7" t="s">
        <v>8</v>
      </c>
      <c r="E3403" s="7" t="s">
        <v>31</v>
      </c>
      <c r="F3403" s="8">
        <v>24.0</v>
      </c>
      <c r="G3403" s="9">
        <v>12.0</v>
      </c>
    </row>
    <row r="3404" ht="14.25" hidden="1" customHeight="1">
      <c r="B3404" s="7" t="s">
        <v>13</v>
      </c>
      <c r="C3404" s="7" t="s">
        <v>29</v>
      </c>
      <c r="D3404" s="7" t="s">
        <v>31</v>
      </c>
      <c r="E3404" s="7" t="s">
        <v>10</v>
      </c>
      <c r="F3404" s="8">
        <v>23.0</v>
      </c>
      <c r="G3404" s="9">
        <v>23.0</v>
      </c>
    </row>
    <row r="3405" ht="14.25" hidden="1" customHeight="1">
      <c r="B3405" s="7" t="s">
        <v>13</v>
      </c>
      <c r="C3405" s="7" t="s">
        <v>29</v>
      </c>
      <c r="D3405" s="7" t="s">
        <v>25</v>
      </c>
      <c r="E3405" s="7" t="s">
        <v>31</v>
      </c>
      <c r="F3405" s="8">
        <v>22.0</v>
      </c>
      <c r="G3405" s="9">
        <v>22.0</v>
      </c>
    </row>
    <row r="3406" ht="14.25" hidden="1" customHeight="1">
      <c r="B3406" s="7" t="s">
        <v>13</v>
      </c>
      <c r="C3406" s="7" t="s">
        <v>7</v>
      </c>
      <c r="D3406" s="7" t="s">
        <v>25</v>
      </c>
      <c r="E3406" s="7" t="s">
        <v>31</v>
      </c>
      <c r="F3406" s="8">
        <v>22.0</v>
      </c>
      <c r="G3406" s="9">
        <v>11.0</v>
      </c>
    </row>
    <row r="3407" ht="14.25" hidden="1" customHeight="1">
      <c r="B3407" s="7" t="s">
        <v>13</v>
      </c>
      <c r="C3407" s="7" t="s">
        <v>7</v>
      </c>
      <c r="D3407" s="7" t="s">
        <v>32</v>
      </c>
      <c r="E3407" s="7" t="s">
        <v>8</v>
      </c>
      <c r="F3407" s="8">
        <v>22.0</v>
      </c>
      <c r="G3407" s="9">
        <v>11.0</v>
      </c>
    </row>
    <row r="3408" ht="14.25" hidden="1" customHeight="1">
      <c r="B3408" s="7" t="s">
        <v>13</v>
      </c>
      <c r="C3408" s="7" t="s">
        <v>7</v>
      </c>
      <c r="D3408" s="7" t="s">
        <v>8</v>
      </c>
      <c r="E3408" s="7" t="s">
        <v>25</v>
      </c>
      <c r="F3408" s="8">
        <v>22.0</v>
      </c>
      <c r="G3408" s="9">
        <v>11.0</v>
      </c>
    </row>
    <row r="3409" ht="14.25" hidden="1" customHeight="1">
      <c r="B3409" s="7" t="s">
        <v>13</v>
      </c>
      <c r="C3409" s="7" t="s">
        <v>30</v>
      </c>
      <c r="D3409" s="7" t="s">
        <v>8</v>
      </c>
      <c r="E3409" s="7" t="s">
        <v>35</v>
      </c>
      <c r="F3409" s="8">
        <v>22.0</v>
      </c>
      <c r="G3409" s="9">
        <v>11.0</v>
      </c>
    </row>
    <row r="3410" ht="14.25" customHeight="1">
      <c r="B3410" s="7" t="s">
        <v>13</v>
      </c>
      <c r="C3410" s="7" t="s">
        <v>7</v>
      </c>
      <c r="D3410" s="7" t="s">
        <v>8</v>
      </c>
      <c r="E3410" s="7" t="s">
        <v>31</v>
      </c>
      <c r="F3410" s="8">
        <v>22.0</v>
      </c>
      <c r="G3410" s="9">
        <v>11.0</v>
      </c>
    </row>
    <row r="3411" ht="14.25" hidden="1" customHeight="1">
      <c r="B3411" s="7" t="s">
        <v>13</v>
      </c>
      <c r="C3411" s="7" t="s">
        <v>29</v>
      </c>
      <c r="D3411" s="7" t="s">
        <v>25</v>
      </c>
      <c r="E3411" s="7" t="s">
        <v>28</v>
      </c>
      <c r="F3411" s="8">
        <v>20.0</v>
      </c>
      <c r="G3411" s="9">
        <v>20.0</v>
      </c>
    </row>
    <row r="3412" ht="14.25" hidden="1" customHeight="1">
      <c r="B3412" s="7" t="s">
        <v>13</v>
      </c>
      <c r="C3412" s="7" t="s">
        <v>29</v>
      </c>
      <c r="D3412" s="7" t="s">
        <v>25</v>
      </c>
      <c r="E3412" s="7" t="s">
        <v>31</v>
      </c>
      <c r="F3412" s="8">
        <v>20.0</v>
      </c>
      <c r="G3412" s="9">
        <v>20.0</v>
      </c>
    </row>
    <row r="3413" ht="14.25" hidden="1" customHeight="1">
      <c r="B3413" s="7" t="s">
        <v>13</v>
      </c>
      <c r="C3413" s="7" t="s">
        <v>29</v>
      </c>
      <c r="D3413" s="7" t="s">
        <v>11</v>
      </c>
      <c r="E3413" s="7" t="s">
        <v>10</v>
      </c>
      <c r="F3413" s="8">
        <v>20.0</v>
      </c>
      <c r="G3413" s="9">
        <v>20.0</v>
      </c>
    </row>
    <row r="3414" ht="14.25" hidden="1" customHeight="1">
      <c r="B3414" s="7" t="s">
        <v>13</v>
      </c>
      <c r="C3414" s="7" t="s">
        <v>7</v>
      </c>
      <c r="D3414" s="7" t="s">
        <v>34</v>
      </c>
      <c r="E3414" s="7" t="s">
        <v>31</v>
      </c>
      <c r="F3414" s="8">
        <v>20.0</v>
      </c>
      <c r="G3414" s="9">
        <v>10.0</v>
      </c>
    </row>
    <row r="3415" ht="14.25" customHeight="1">
      <c r="B3415" s="7" t="s">
        <v>13</v>
      </c>
      <c r="C3415" s="7" t="s">
        <v>29</v>
      </c>
      <c r="D3415" s="7" t="s">
        <v>8</v>
      </c>
      <c r="E3415" s="7" t="s">
        <v>31</v>
      </c>
      <c r="F3415" s="8">
        <v>20.0</v>
      </c>
      <c r="G3415" s="9">
        <v>20.0</v>
      </c>
    </row>
    <row r="3416" ht="14.25" hidden="1" customHeight="1">
      <c r="B3416" s="7" t="s">
        <v>13</v>
      </c>
      <c r="C3416" s="7" t="s">
        <v>29</v>
      </c>
      <c r="D3416" s="7" t="s">
        <v>9</v>
      </c>
      <c r="E3416" s="7" t="s">
        <v>33</v>
      </c>
      <c r="F3416" s="8">
        <v>19.0</v>
      </c>
      <c r="G3416" s="9">
        <v>19.0</v>
      </c>
    </row>
    <row r="3417" ht="14.25" hidden="1" customHeight="1">
      <c r="B3417" s="7" t="s">
        <v>13</v>
      </c>
      <c r="C3417" s="7" t="s">
        <v>29</v>
      </c>
      <c r="D3417" s="7" t="s">
        <v>10</v>
      </c>
      <c r="E3417" s="7" t="s">
        <v>31</v>
      </c>
      <c r="F3417" s="8">
        <v>19.0</v>
      </c>
      <c r="G3417" s="9">
        <v>19.0</v>
      </c>
    </row>
    <row r="3418" ht="14.25" hidden="1" customHeight="1">
      <c r="B3418" s="7" t="s">
        <v>13</v>
      </c>
      <c r="C3418" s="7" t="s">
        <v>7</v>
      </c>
      <c r="D3418" s="7" t="s">
        <v>28</v>
      </c>
      <c r="E3418" s="7" t="s">
        <v>35</v>
      </c>
      <c r="F3418" s="8">
        <v>18.0</v>
      </c>
      <c r="G3418" s="9">
        <v>9.0</v>
      </c>
    </row>
    <row r="3419" ht="14.25" hidden="1" customHeight="1">
      <c r="B3419" s="7" t="s">
        <v>13</v>
      </c>
      <c r="C3419" s="7" t="s">
        <v>30</v>
      </c>
      <c r="D3419" s="7" t="s">
        <v>34</v>
      </c>
      <c r="E3419" s="7" t="s">
        <v>8</v>
      </c>
      <c r="F3419" s="8">
        <v>18.0</v>
      </c>
      <c r="G3419" s="9">
        <v>9.0</v>
      </c>
    </row>
    <row r="3420" ht="14.25" hidden="1" customHeight="1">
      <c r="B3420" s="7" t="s">
        <v>13</v>
      </c>
      <c r="C3420" s="7" t="s">
        <v>30</v>
      </c>
      <c r="D3420" s="7" t="s">
        <v>10</v>
      </c>
      <c r="E3420" s="7" t="s">
        <v>25</v>
      </c>
      <c r="F3420" s="8">
        <v>18.0</v>
      </c>
      <c r="G3420" s="9">
        <v>9.0</v>
      </c>
    </row>
    <row r="3421" ht="14.25" hidden="1" customHeight="1">
      <c r="B3421" s="7" t="s">
        <v>13</v>
      </c>
      <c r="C3421" s="7" t="s">
        <v>7</v>
      </c>
      <c r="D3421" s="7" t="s">
        <v>10</v>
      </c>
      <c r="E3421" s="7" t="s">
        <v>33</v>
      </c>
      <c r="F3421" s="8">
        <v>18.0</v>
      </c>
      <c r="G3421" s="9">
        <v>9.0</v>
      </c>
    </row>
    <row r="3422" ht="14.25" hidden="1" customHeight="1">
      <c r="B3422" s="7" t="s">
        <v>13</v>
      </c>
      <c r="C3422" s="7" t="s">
        <v>29</v>
      </c>
      <c r="D3422" s="7" t="s">
        <v>32</v>
      </c>
      <c r="E3422" s="7" t="s">
        <v>28</v>
      </c>
      <c r="F3422" s="8">
        <v>18.0</v>
      </c>
      <c r="G3422" s="9">
        <v>18.0</v>
      </c>
    </row>
    <row r="3423" ht="14.25" hidden="1" customHeight="1">
      <c r="B3423" s="7" t="s">
        <v>13</v>
      </c>
      <c r="C3423" s="7" t="s">
        <v>7</v>
      </c>
      <c r="D3423" s="7" t="s">
        <v>32</v>
      </c>
      <c r="E3423" s="7" t="s">
        <v>35</v>
      </c>
      <c r="F3423" s="8">
        <v>18.0</v>
      </c>
      <c r="G3423" s="9">
        <v>9.0</v>
      </c>
    </row>
    <row r="3424" ht="14.25" hidden="1" customHeight="1">
      <c r="B3424" s="7" t="s">
        <v>13</v>
      </c>
      <c r="C3424" s="7" t="s">
        <v>7</v>
      </c>
      <c r="D3424" s="7" t="s">
        <v>8</v>
      </c>
      <c r="E3424" s="7" t="s">
        <v>28</v>
      </c>
      <c r="F3424" s="8">
        <v>18.0</v>
      </c>
      <c r="G3424" s="9">
        <v>9.0</v>
      </c>
    </row>
    <row r="3425" ht="14.25" customHeight="1">
      <c r="B3425" s="7" t="s">
        <v>13</v>
      </c>
      <c r="C3425" s="7" t="s">
        <v>29</v>
      </c>
      <c r="D3425" s="7" t="s">
        <v>8</v>
      </c>
      <c r="E3425" s="7" t="s">
        <v>31</v>
      </c>
      <c r="F3425" s="8">
        <v>18.0</v>
      </c>
      <c r="G3425" s="9">
        <v>18.0</v>
      </c>
    </row>
    <row r="3426" ht="14.25" hidden="1" customHeight="1">
      <c r="B3426" s="7" t="s">
        <v>13</v>
      </c>
      <c r="C3426" s="7" t="s">
        <v>29</v>
      </c>
      <c r="D3426" s="7" t="s">
        <v>31</v>
      </c>
      <c r="E3426" s="7" t="s">
        <v>25</v>
      </c>
      <c r="F3426" s="8">
        <v>17.0</v>
      </c>
      <c r="G3426" s="9">
        <v>17.0</v>
      </c>
    </row>
    <row r="3427" ht="14.25" hidden="1" customHeight="1">
      <c r="B3427" s="7" t="s">
        <v>13</v>
      </c>
      <c r="C3427" s="7" t="s">
        <v>29</v>
      </c>
      <c r="D3427" s="7" t="s">
        <v>8</v>
      </c>
      <c r="E3427" s="7" t="s">
        <v>9</v>
      </c>
      <c r="F3427" s="8">
        <v>17.0</v>
      </c>
      <c r="G3427" s="9">
        <v>17.0</v>
      </c>
    </row>
    <row r="3428" ht="14.25" hidden="1" customHeight="1">
      <c r="B3428" s="7" t="s">
        <v>13</v>
      </c>
      <c r="C3428" s="7" t="s">
        <v>29</v>
      </c>
      <c r="D3428" s="7" t="s">
        <v>25</v>
      </c>
      <c r="E3428" s="7" t="s">
        <v>28</v>
      </c>
      <c r="F3428" s="8">
        <v>16.0</v>
      </c>
      <c r="G3428" s="9">
        <v>16.0</v>
      </c>
    </row>
    <row r="3429" ht="14.25" hidden="1" customHeight="1">
      <c r="B3429" s="7" t="s">
        <v>13</v>
      </c>
      <c r="C3429" s="7" t="s">
        <v>30</v>
      </c>
      <c r="D3429" s="7" t="s">
        <v>28</v>
      </c>
      <c r="E3429" s="7" t="s">
        <v>31</v>
      </c>
      <c r="F3429" s="8">
        <v>16.0</v>
      </c>
      <c r="G3429" s="9">
        <v>8.0</v>
      </c>
    </row>
    <row r="3430" ht="14.25" hidden="1" customHeight="1">
      <c r="B3430" s="7" t="s">
        <v>13</v>
      </c>
      <c r="C3430" s="7" t="s">
        <v>29</v>
      </c>
      <c r="D3430" s="7" t="s">
        <v>11</v>
      </c>
      <c r="E3430" s="7" t="s">
        <v>25</v>
      </c>
      <c r="F3430" s="8">
        <v>16.0</v>
      </c>
      <c r="G3430" s="9">
        <v>16.0</v>
      </c>
    </row>
    <row r="3431" ht="14.25" hidden="1" customHeight="1">
      <c r="B3431" s="7" t="s">
        <v>13</v>
      </c>
      <c r="C3431" s="7" t="s">
        <v>30</v>
      </c>
      <c r="D3431" s="7" t="s">
        <v>32</v>
      </c>
      <c r="E3431" s="7" t="s">
        <v>31</v>
      </c>
      <c r="F3431" s="8">
        <v>16.0</v>
      </c>
      <c r="G3431" s="9">
        <v>8.0</v>
      </c>
    </row>
    <row r="3432" ht="14.25" hidden="1" customHeight="1">
      <c r="B3432" s="7" t="s">
        <v>13</v>
      </c>
      <c r="C3432" s="7" t="s">
        <v>29</v>
      </c>
      <c r="D3432" s="7" t="s">
        <v>31</v>
      </c>
      <c r="E3432" s="7" t="s">
        <v>9</v>
      </c>
      <c r="F3432" s="8">
        <v>16.0</v>
      </c>
      <c r="G3432" s="9">
        <v>16.0</v>
      </c>
    </row>
    <row r="3433" ht="14.25" hidden="1" customHeight="1">
      <c r="B3433" s="7" t="s">
        <v>13</v>
      </c>
      <c r="C3433" s="7" t="s">
        <v>7</v>
      </c>
      <c r="D3433" s="7" t="s">
        <v>31</v>
      </c>
      <c r="E3433" s="7" t="s">
        <v>8</v>
      </c>
      <c r="F3433" s="8">
        <v>16.0</v>
      </c>
      <c r="G3433" s="9">
        <v>8.0</v>
      </c>
    </row>
    <row r="3434" ht="14.25" hidden="1" customHeight="1">
      <c r="B3434" s="7" t="s">
        <v>13</v>
      </c>
      <c r="C3434" s="7" t="s">
        <v>7</v>
      </c>
      <c r="D3434" s="7" t="s">
        <v>8</v>
      </c>
      <c r="E3434" s="7" t="s">
        <v>9</v>
      </c>
      <c r="F3434" s="8">
        <v>16.0</v>
      </c>
      <c r="G3434" s="9">
        <v>8.0</v>
      </c>
    </row>
    <row r="3435" ht="14.25" hidden="1" customHeight="1">
      <c r="B3435" s="7" t="s">
        <v>13</v>
      </c>
      <c r="C3435" s="7" t="s">
        <v>29</v>
      </c>
      <c r="D3435" s="7" t="s">
        <v>10</v>
      </c>
      <c r="E3435" s="7" t="s">
        <v>25</v>
      </c>
      <c r="F3435" s="8">
        <v>15.0</v>
      </c>
      <c r="G3435" s="9">
        <v>15.0</v>
      </c>
    </row>
    <row r="3436" ht="14.25" hidden="1" customHeight="1">
      <c r="B3436" s="7" t="s">
        <v>13</v>
      </c>
      <c r="C3436" s="7" t="s">
        <v>7</v>
      </c>
      <c r="D3436" s="7" t="s">
        <v>25</v>
      </c>
      <c r="E3436" s="7" t="s">
        <v>10</v>
      </c>
      <c r="F3436" s="8">
        <v>14.0</v>
      </c>
      <c r="G3436" s="9">
        <v>7.0</v>
      </c>
    </row>
    <row r="3437" ht="14.25" hidden="1" customHeight="1">
      <c r="B3437" s="7" t="s">
        <v>13</v>
      </c>
      <c r="C3437" s="7" t="s">
        <v>7</v>
      </c>
      <c r="D3437" s="7" t="s">
        <v>33</v>
      </c>
      <c r="E3437" s="7" t="s">
        <v>11</v>
      </c>
      <c r="F3437" s="8">
        <v>14.0</v>
      </c>
      <c r="G3437" s="9">
        <v>7.0</v>
      </c>
    </row>
    <row r="3438" ht="14.25" hidden="1" customHeight="1">
      <c r="B3438" s="7" t="s">
        <v>13</v>
      </c>
      <c r="C3438" s="7" t="s">
        <v>30</v>
      </c>
      <c r="D3438" s="7" t="s">
        <v>28</v>
      </c>
      <c r="E3438" s="7" t="s">
        <v>10</v>
      </c>
      <c r="F3438" s="8">
        <v>14.0</v>
      </c>
      <c r="G3438" s="9">
        <v>7.0</v>
      </c>
    </row>
    <row r="3439" ht="14.25" hidden="1" customHeight="1">
      <c r="B3439" s="7" t="s">
        <v>13</v>
      </c>
      <c r="C3439" s="7" t="s">
        <v>7</v>
      </c>
      <c r="D3439" s="7" t="s">
        <v>9</v>
      </c>
      <c r="E3439" s="7" t="s">
        <v>10</v>
      </c>
      <c r="F3439" s="8">
        <v>14.0</v>
      </c>
      <c r="G3439" s="9">
        <v>7.0</v>
      </c>
    </row>
    <row r="3440" ht="14.25" hidden="1" customHeight="1">
      <c r="B3440" s="7" t="s">
        <v>13</v>
      </c>
      <c r="C3440" s="7" t="s">
        <v>7</v>
      </c>
      <c r="D3440" s="7" t="s">
        <v>10</v>
      </c>
      <c r="E3440" s="7" t="s">
        <v>28</v>
      </c>
      <c r="F3440" s="8">
        <v>14.0</v>
      </c>
      <c r="G3440" s="9">
        <v>7.0</v>
      </c>
    </row>
    <row r="3441" ht="14.25" hidden="1" customHeight="1">
      <c r="B3441" s="7" t="s">
        <v>13</v>
      </c>
      <c r="C3441" s="7" t="s">
        <v>30</v>
      </c>
      <c r="D3441" s="7" t="s">
        <v>10</v>
      </c>
      <c r="E3441" s="7" t="s">
        <v>8</v>
      </c>
      <c r="F3441" s="8">
        <v>14.0</v>
      </c>
      <c r="G3441" s="9">
        <v>7.0</v>
      </c>
    </row>
    <row r="3442" ht="14.25" hidden="1" customHeight="1">
      <c r="B3442" s="7" t="s">
        <v>13</v>
      </c>
      <c r="C3442" s="7" t="s">
        <v>30</v>
      </c>
      <c r="D3442" s="7" t="s">
        <v>32</v>
      </c>
      <c r="E3442" s="7" t="s">
        <v>28</v>
      </c>
      <c r="F3442" s="8">
        <v>14.0</v>
      </c>
      <c r="G3442" s="9">
        <v>7.0</v>
      </c>
    </row>
    <row r="3443" ht="14.25" hidden="1" customHeight="1">
      <c r="B3443" s="7" t="s">
        <v>13</v>
      </c>
      <c r="C3443" s="7" t="s">
        <v>7</v>
      </c>
      <c r="D3443" s="7" t="s">
        <v>31</v>
      </c>
      <c r="E3443" s="7" t="s">
        <v>28</v>
      </c>
      <c r="F3443" s="8">
        <v>14.0</v>
      </c>
      <c r="G3443" s="9">
        <v>7.0</v>
      </c>
    </row>
    <row r="3444" ht="14.25" hidden="1" customHeight="1">
      <c r="B3444" s="7" t="s">
        <v>13</v>
      </c>
      <c r="C3444" s="7" t="s">
        <v>7</v>
      </c>
      <c r="D3444" s="7" t="s">
        <v>8</v>
      </c>
      <c r="E3444" s="7" t="s">
        <v>10</v>
      </c>
      <c r="F3444" s="8">
        <v>14.0</v>
      </c>
      <c r="G3444" s="9">
        <v>7.0</v>
      </c>
    </row>
    <row r="3445" ht="14.25" hidden="1" customHeight="1">
      <c r="B3445" s="7" t="s">
        <v>13</v>
      </c>
      <c r="C3445" s="7" t="s">
        <v>29</v>
      </c>
      <c r="D3445" s="7" t="s">
        <v>33</v>
      </c>
      <c r="E3445" s="7" t="s">
        <v>25</v>
      </c>
      <c r="F3445" s="8">
        <v>13.0</v>
      </c>
      <c r="G3445" s="9">
        <v>13.0</v>
      </c>
    </row>
    <row r="3446" ht="14.25" hidden="1" customHeight="1">
      <c r="B3446" s="7" t="s">
        <v>13</v>
      </c>
      <c r="C3446" s="7" t="s">
        <v>29</v>
      </c>
      <c r="D3446" s="7" t="s">
        <v>11</v>
      </c>
      <c r="E3446" s="7" t="s">
        <v>10</v>
      </c>
      <c r="F3446" s="8">
        <v>13.0</v>
      </c>
      <c r="G3446" s="9">
        <v>13.0</v>
      </c>
    </row>
    <row r="3447" ht="14.25" hidden="1" customHeight="1">
      <c r="B3447" s="7" t="s">
        <v>13</v>
      </c>
      <c r="C3447" s="7" t="s">
        <v>29</v>
      </c>
      <c r="D3447" s="7" t="s">
        <v>31</v>
      </c>
      <c r="E3447" s="7" t="s">
        <v>28</v>
      </c>
      <c r="F3447" s="8">
        <v>13.0</v>
      </c>
      <c r="G3447" s="9">
        <v>13.0</v>
      </c>
    </row>
    <row r="3448" ht="14.25" hidden="1" customHeight="1">
      <c r="B3448" s="7" t="s">
        <v>13</v>
      </c>
      <c r="C3448" s="7" t="s">
        <v>7</v>
      </c>
      <c r="D3448" s="7" t="s">
        <v>25</v>
      </c>
      <c r="E3448" s="7" t="s">
        <v>8</v>
      </c>
      <c r="F3448" s="8">
        <v>12.0</v>
      </c>
      <c r="G3448" s="9">
        <v>6.0</v>
      </c>
    </row>
    <row r="3449" ht="14.25" hidden="1" customHeight="1">
      <c r="B3449" s="7" t="s">
        <v>13</v>
      </c>
      <c r="C3449" s="7" t="s">
        <v>7</v>
      </c>
      <c r="D3449" s="7" t="s">
        <v>33</v>
      </c>
      <c r="E3449" s="7" t="s">
        <v>28</v>
      </c>
      <c r="F3449" s="8">
        <v>12.0</v>
      </c>
      <c r="G3449" s="9">
        <v>6.0</v>
      </c>
    </row>
    <row r="3450" ht="14.25" hidden="1" customHeight="1">
      <c r="B3450" s="7" t="s">
        <v>13</v>
      </c>
      <c r="C3450" s="7" t="s">
        <v>30</v>
      </c>
      <c r="D3450" s="7" t="s">
        <v>33</v>
      </c>
      <c r="E3450" s="7" t="s">
        <v>31</v>
      </c>
      <c r="F3450" s="8">
        <v>12.0</v>
      </c>
      <c r="G3450" s="9">
        <v>6.0</v>
      </c>
    </row>
    <row r="3451" ht="14.25" hidden="1" customHeight="1">
      <c r="B3451" s="7" t="s">
        <v>13</v>
      </c>
      <c r="C3451" s="7" t="s">
        <v>7</v>
      </c>
      <c r="D3451" s="7" t="s">
        <v>28</v>
      </c>
      <c r="E3451" s="7" t="s">
        <v>35</v>
      </c>
      <c r="F3451" s="8">
        <v>12.0</v>
      </c>
      <c r="G3451" s="9">
        <v>6.0</v>
      </c>
    </row>
    <row r="3452" ht="14.25" hidden="1" customHeight="1">
      <c r="B3452" s="7" t="s">
        <v>13</v>
      </c>
      <c r="C3452" s="7" t="s">
        <v>7</v>
      </c>
      <c r="D3452" s="7" t="s">
        <v>11</v>
      </c>
      <c r="E3452" s="7" t="s">
        <v>10</v>
      </c>
      <c r="F3452" s="8">
        <v>12.0</v>
      </c>
      <c r="G3452" s="9">
        <v>6.0</v>
      </c>
    </row>
    <row r="3453" ht="14.25" hidden="1" customHeight="1">
      <c r="B3453" s="7" t="s">
        <v>13</v>
      </c>
      <c r="C3453" s="7" t="s">
        <v>29</v>
      </c>
      <c r="D3453" s="7" t="s">
        <v>34</v>
      </c>
      <c r="E3453" s="7" t="s">
        <v>28</v>
      </c>
      <c r="F3453" s="8">
        <v>12.0</v>
      </c>
      <c r="G3453" s="9">
        <v>12.0</v>
      </c>
    </row>
    <row r="3454" ht="14.25" hidden="1" customHeight="1">
      <c r="B3454" s="7" t="s">
        <v>13</v>
      </c>
      <c r="C3454" s="7" t="s">
        <v>29</v>
      </c>
      <c r="D3454" s="7" t="s">
        <v>34</v>
      </c>
      <c r="E3454" s="7" t="s">
        <v>28</v>
      </c>
      <c r="F3454" s="8">
        <v>12.0</v>
      </c>
      <c r="G3454" s="9">
        <v>12.0</v>
      </c>
    </row>
    <row r="3455" ht="14.25" hidden="1" customHeight="1">
      <c r="B3455" s="7" t="s">
        <v>13</v>
      </c>
      <c r="C3455" s="7" t="s">
        <v>29</v>
      </c>
      <c r="D3455" s="7" t="s">
        <v>9</v>
      </c>
      <c r="E3455" s="7" t="s">
        <v>31</v>
      </c>
      <c r="F3455" s="8">
        <v>12.0</v>
      </c>
      <c r="G3455" s="9">
        <v>12.0</v>
      </c>
    </row>
    <row r="3456" ht="14.25" hidden="1" customHeight="1">
      <c r="B3456" s="7" t="s">
        <v>13</v>
      </c>
      <c r="C3456" s="7" t="s">
        <v>30</v>
      </c>
      <c r="D3456" s="7" t="s">
        <v>24</v>
      </c>
      <c r="E3456" s="7" t="s">
        <v>8</v>
      </c>
      <c r="F3456" s="8">
        <v>12.0</v>
      </c>
      <c r="G3456" s="9">
        <v>6.0</v>
      </c>
    </row>
    <row r="3457" ht="14.25" hidden="1" customHeight="1">
      <c r="B3457" s="7" t="s">
        <v>13</v>
      </c>
      <c r="C3457" s="7" t="s">
        <v>7</v>
      </c>
      <c r="D3457" s="7" t="s">
        <v>10</v>
      </c>
      <c r="E3457" s="7" t="s">
        <v>9</v>
      </c>
      <c r="F3457" s="8">
        <v>12.0</v>
      </c>
      <c r="G3457" s="9">
        <v>6.0</v>
      </c>
    </row>
    <row r="3458" ht="14.25" hidden="1" customHeight="1">
      <c r="B3458" s="7" t="s">
        <v>13</v>
      </c>
      <c r="C3458" s="7" t="s">
        <v>29</v>
      </c>
      <c r="D3458" s="7" t="s">
        <v>10</v>
      </c>
      <c r="E3458" s="7" t="s">
        <v>8</v>
      </c>
      <c r="F3458" s="8">
        <v>12.0</v>
      </c>
      <c r="G3458" s="9">
        <v>12.0</v>
      </c>
    </row>
    <row r="3459" ht="14.25" hidden="1" customHeight="1">
      <c r="B3459" s="7" t="s">
        <v>13</v>
      </c>
      <c r="C3459" s="7" t="s">
        <v>29</v>
      </c>
      <c r="D3459" s="7" t="s">
        <v>10</v>
      </c>
      <c r="E3459" s="7" t="s">
        <v>8</v>
      </c>
      <c r="F3459" s="8">
        <v>12.0</v>
      </c>
      <c r="G3459" s="9">
        <v>12.0</v>
      </c>
    </row>
    <row r="3460" ht="14.25" hidden="1" customHeight="1">
      <c r="B3460" s="7" t="s">
        <v>13</v>
      </c>
      <c r="C3460" s="7" t="s">
        <v>7</v>
      </c>
      <c r="D3460" s="7" t="s">
        <v>8</v>
      </c>
      <c r="E3460" s="7" t="s">
        <v>33</v>
      </c>
      <c r="F3460" s="8">
        <v>12.0</v>
      </c>
      <c r="G3460" s="9">
        <v>6.0</v>
      </c>
    </row>
    <row r="3461" ht="14.25" hidden="1" customHeight="1">
      <c r="B3461" s="7" t="s">
        <v>13</v>
      </c>
      <c r="C3461" s="7" t="s">
        <v>29</v>
      </c>
      <c r="D3461" s="7" t="s">
        <v>9</v>
      </c>
      <c r="E3461" s="7" t="s">
        <v>8</v>
      </c>
      <c r="F3461" s="8">
        <v>11.0</v>
      </c>
      <c r="G3461" s="9">
        <v>11.0</v>
      </c>
    </row>
    <row r="3462" ht="14.25" hidden="1" customHeight="1">
      <c r="B3462" s="7" t="s">
        <v>13</v>
      </c>
      <c r="C3462" s="7" t="s">
        <v>29</v>
      </c>
      <c r="D3462" s="7" t="s">
        <v>10</v>
      </c>
      <c r="E3462" s="7" t="s">
        <v>28</v>
      </c>
      <c r="F3462" s="8">
        <v>11.0</v>
      </c>
      <c r="G3462" s="9">
        <v>11.0</v>
      </c>
    </row>
    <row r="3463" ht="14.25" hidden="1" customHeight="1">
      <c r="B3463" s="7" t="s">
        <v>13</v>
      </c>
      <c r="C3463" s="7" t="s">
        <v>29</v>
      </c>
      <c r="D3463" s="7" t="s">
        <v>8</v>
      </c>
      <c r="E3463" s="7" t="s">
        <v>25</v>
      </c>
      <c r="F3463" s="8">
        <v>11.0</v>
      </c>
      <c r="G3463" s="9">
        <v>11.0</v>
      </c>
    </row>
    <row r="3464" ht="14.25" hidden="1" customHeight="1">
      <c r="B3464" s="7" t="s">
        <v>13</v>
      </c>
      <c r="C3464" s="7" t="s">
        <v>29</v>
      </c>
      <c r="D3464" s="7" t="s">
        <v>33</v>
      </c>
      <c r="E3464" s="7" t="s">
        <v>31</v>
      </c>
      <c r="F3464" s="8">
        <v>10.0</v>
      </c>
      <c r="G3464" s="9">
        <v>10.0</v>
      </c>
    </row>
    <row r="3465" ht="14.25" hidden="1" customHeight="1">
      <c r="B3465" s="7" t="s">
        <v>13</v>
      </c>
      <c r="C3465" s="7" t="s">
        <v>7</v>
      </c>
      <c r="D3465" s="7" t="s">
        <v>33</v>
      </c>
      <c r="E3465" s="7" t="s">
        <v>8</v>
      </c>
      <c r="F3465" s="8">
        <v>10.0</v>
      </c>
      <c r="G3465" s="9">
        <v>10.0</v>
      </c>
    </row>
    <row r="3466" ht="14.25" hidden="1" customHeight="1">
      <c r="B3466" s="7" t="s">
        <v>13</v>
      </c>
      <c r="C3466" s="7" t="s">
        <v>29</v>
      </c>
      <c r="D3466" s="7" t="s">
        <v>11</v>
      </c>
      <c r="E3466" s="7" t="s">
        <v>9</v>
      </c>
      <c r="F3466" s="8">
        <v>10.0</v>
      </c>
      <c r="G3466" s="9">
        <v>10.0</v>
      </c>
    </row>
    <row r="3467" ht="14.25" hidden="1" customHeight="1">
      <c r="B3467" s="7" t="s">
        <v>13</v>
      </c>
      <c r="C3467" s="7" t="s">
        <v>7</v>
      </c>
      <c r="D3467" s="7" t="s">
        <v>24</v>
      </c>
      <c r="E3467" s="7" t="s">
        <v>10</v>
      </c>
      <c r="F3467" s="8">
        <v>10.0</v>
      </c>
      <c r="G3467" s="9">
        <v>5.0</v>
      </c>
    </row>
    <row r="3468" ht="14.25" hidden="1" customHeight="1">
      <c r="B3468" s="7" t="s">
        <v>13</v>
      </c>
      <c r="C3468" s="7" t="s">
        <v>7</v>
      </c>
      <c r="D3468" s="7" t="s">
        <v>24</v>
      </c>
      <c r="E3468" s="7" t="s">
        <v>31</v>
      </c>
      <c r="F3468" s="8">
        <v>10.0</v>
      </c>
      <c r="G3468" s="9">
        <v>5.0</v>
      </c>
    </row>
    <row r="3469" ht="14.25" hidden="1" customHeight="1">
      <c r="B3469" s="7" t="s">
        <v>13</v>
      </c>
      <c r="C3469" s="7" t="s">
        <v>7</v>
      </c>
      <c r="D3469" s="7" t="s">
        <v>10</v>
      </c>
      <c r="E3469" s="7" t="s">
        <v>28</v>
      </c>
      <c r="F3469" s="8">
        <v>10.0</v>
      </c>
      <c r="G3469" s="9">
        <v>5.0</v>
      </c>
    </row>
    <row r="3470" ht="14.25" hidden="1" customHeight="1">
      <c r="B3470" s="7" t="s">
        <v>13</v>
      </c>
      <c r="C3470" s="7" t="s">
        <v>29</v>
      </c>
      <c r="D3470" s="7" t="s">
        <v>10</v>
      </c>
      <c r="E3470" s="7" t="s">
        <v>24</v>
      </c>
      <c r="F3470" s="8">
        <v>10.0</v>
      </c>
      <c r="G3470" s="9">
        <v>10.0</v>
      </c>
    </row>
    <row r="3471" ht="14.25" hidden="1" customHeight="1">
      <c r="B3471" s="7" t="s">
        <v>13</v>
      </c>
      <c r="C3471" s="7" t="s">
        <v>30</v>
      </c>
      <c r="D3471" s="7" t="s">
        <v>32</v>
      </c>
      <c r="E3471" s="7" t="s">
        <v>9</v>
      </c>
      <c r="F3471" s="8">
        <v>10.0</v>
      </c>
      <c r="G3471" s="9">
        <v>5.0</v>
      </c>
    </row>
    <row r="3472" ht="14.25" hidden="1" customHeight="1">
      <c r="B3472" s="7" t="s">
        <v>13</v>
      </c>
      <c r="C3472" s="7" t="s">
        <v>29</v>
      </c>
      <c r="D3472" s="7" t="s">
        <v>32</v>
      </c>
      <c r="E3472" s="7" t="s">
        <v>8</v>
      </c>
      <c r="F3472" s="8">
        <v>10.0</v>
      </c>
      <c r="G3472" s="9">
        <v>10.0</v>
      </c>
    </row>
    <row r="3473" ht="14.25" hidden="1" customHeight="1">
      <c r="B3473" s="7" t="s">
        <v>13</v>
      </c>
      <c r="C3473" s="7" t="s">
        <v>30</v>
      </c>
      <c r="D3473" s="7" t="s">
        <v>32</v>
      </c>
      <c r="E3473" s="7" t="s">
        <v>8</v>
      </c>
      <c r="F3473" s="8">
        <v>10.0</v>
      </c>
      <c r="G3473" s="9">
        <v>5.0</v>
      </c>
    </row>
    <row r="3474" ht="14.25" hidden="1" customHeight="1">
      <c r="B3474" s="7" t="s">
        <v>13</v>
      </c>
      <c r="C3474" s="7" t="s">
        <v>7</v>
      </c>
      <c r="D3474" s="7" t="s">
        <v>31</v>
      </c>
      <c r="E3474" s="7" t="s">
        <v>9</v>
      </c>
      <c r="F3474" s="8">
        <v>10.0</v>
      </c>
      <c r="G3474" s="9">
        <v>5.0</v>
      </c>
    </row>
    <row r="3475" ht="14.25" hidden="1" customHeight="1">
      <c r="B3475" s="7" t="s">
        <v>13</v>
      </c>
      <c r="C3475" s="7" t="s">
        <v>30</v>
      </c>
      <c r="D3475" s="7" t="s">
        <v>31</v>
      </c>
      <c r="E3475" s="7" t="s">
        <v>9</v>
      </c>
      <c r="F3475" s="8">
        <v>10.0</v>
      </c>
      <c r="G3475" s="9">
        <v>5.0</v>
      </c>
    </row>
    <row r="3476" ht="14.25" hidden="1" customHeight="1">
      <c r="B3476" s="7" t="s">
        <v>13</v>
      </c>
      <c r="C3476" s="7" t="s">
        <v>30</v>
      </c>
      <c r="D3476" s="7" t="s">
        <v>31</v>
      </c>
      <c r="E3476" s="7" t="s">
        <v>24</v>
      </c>
      <c r="F3476" s="8">
        <v>10.0</v>
      </c>
      <c r="G3476" s="9">
        <v>5.0</v>
      </c>
    </row>
    <row r="3477" ht="14.25" hidden="1" customHeight="1">
      <c r="B3477" s="7" t="s">
        <v>13</v>
      </c>
      <c r="C3477" s="7" t="s">
        <v>29</v>
      </c>
      <c r="D3477" s="7" t="s">
        <v>31</v>
      </c>
      <c r="E3477" s="7" t="s">
        <v>31</v>
      </c>
      <c r="F3477" s="8">
        <v>10.0</v>
      </c>
      <c r="G3477" s="9">
        <v>10.0</v>
      </c>
    </row>
    <row r="3478" ht="14.25" hidden="1" customHeight="1">
      <c r="B3478" s="7" t="s">
        <v>13</v>
      </c>
      <c r="C3478" s="7" t="s">
        <v>7</v>
      </c>
      <c r="D3478" s="7" t="s">
        <v>31</v>
      </c>
      <c r="E3478" s="7" t="s">
        <v>8</v>
      </c>
      <c r="F3478" s="8">
        <v>10.0</v>
      </c>
      <c r="G3478" s="9">
        <v>5.0</v>
      </c>
    </row>
    <row r="3479" ht="14.25" hidden="1" customHeight="1">
      <c r="B3479" s="7" t="s">
        <v>13</v>
      </c>
      <c r="C3479" s="7" t="s">
        <v>29</v>
      </c>
      <c r="D3479" s="7" t="s">
        <v>33</v>
      </c>
      <c r="E3479" s="7" t="s">
        <v>25</v>
      </c>
      <c r="F3479" s="8">
        <v>9.0</v>
      </c>
      <c r="G3479" s="9">
        <v>9.0</v>
      </c>
    </row>
    <row r="3480" ht="14.25" hidden="1" customHeight="1">
      <c r="B3480" s="7" t="s">
        <v>13</v>
      </c>
      <c r="C3480" s="7" t="s">
        <v>29</v>
      </c>
      <c r="D3480" s="7" t="s">
        <v>32</v>
      </c>
      <c r="E3480" s="7" t="s">
        <v>9</v>
      </c>
      <c r="F3480" s="8">
        <v>9.0</v>
      </c>
      <c r="G3480" s="9">
        <v>9.0</v>
      </c>
    </row>
    <row r="3481" ht="14.25" hidden="1" customHeight="1">
      <c r="B3481" s="7" t="s">
        <v>13</v>
      </c>
      <c r="C3481" s="7" t="s">
        <v>7</v>
      </c>
      <c r="D3481" s="7" t="s">
        <v>25</v>
      </c>
      <c r="E3481" s="7" t="s">
        <v>33</v>
      </c>
      <c r="F3481" s="8">
        <v>8.0</v>
      </c>
      <c r="G3481" s="9">
        <v>4.0</v>
      </c>
    </row>
    <row r="3482" ht="14.25" hidden="1" customHeight="1">
      <c r="B3482" s="7" t="s">
        <v>13</v>
      </c>
      <c r="C3482" s="7" t="s">
        <v>29</v>
      </c>
      <c r="D3482" s="7" t="s">
        <v>25</v>
      </c>
      <c r="E3482" s="7" t="s">
        <v>9</v>
      </c>
      <c r="F3482" s="8">
        <v>8.0</v>
      </c>
      <c r="G3482" s="9">
        <v>8.0</v>
      </c>
    </row>
    <row r="3483" ht="14.25" hidden="1" customHeight="1">
      <c r="B3483" s="7" t="s">
        <v>13</v>
      </c>
      <c r="C3483" s="7" t="s">
        <v>7</v>
      </c>
      <c r="D3483" s="7" t="s">
        <v>25</v>
      </c>
      <c r="E3483" s="7" t="s">
        <v>9</v>
      </c>
      <c r="F3483" s="8">
        <v>8.0</v>
      </c>
      <c r="G3483" s="9">
        <v>4.0</v>
      </c>
    </row>
    <row r="3484" ht="14.25" hidden="1" customHeight="1">
      <c r="B3484" s="7" t="s">
        <v>13</v>
      </c>
      <c r="C3484" s="7" t="s">
        <v>7</v>
      </c>
      <c r="D3484" s="7" t="s">
        <v>33</v>
      </c>
      <c r="E3484" s="7" t="s">
        <v>9</v>
      </c>
      <c r="F3484" s="8">
        <v>8.0</v>
      </c>
      <c r="G3484" s="9">
        <v>4.0</v>
      </c>
    </row>
    <row r="3485" ht="14.25" hidden="1" customHeight="1">
      <c r="B3485" s="7" t="s">
        <v>13</v>
      </c>
      <c r="C3485" s="7" t="s">
        <v>7</v>
      </c>
      <c r="D3485" s="7" t="s">
        <v>33</v>
      </c>
      <c r="E3485" s="7" t="s">
        <v>8</v>
      </c>
      <c r="F3485" s="8">
        <v>8.0</v>
      </c>
      <c r="G3485" s="9">
        <v>4.0</v>
      </c>
    </row>
    <row r="3486" ht="14.25" hidden="1" customHeight="1">
      <c r="B3486" s="7" t="s">
        <v>13</v>
      </c>
      <c r="C3486" s="7" t="s">
        <v>7</v>
      </c>
      <c r="D3486" s="7" t="s">
        <v>9</v>
      </c>
      <c r="E3486" s="7" t="s">
        <v>25</v>
      </c>
      <c r="F3486" s="8">
        <v>8.0</v>
      </c>
      <c r="G3486" s="9">
        <v>8.0</v>
      </c>
    </row>
    <row r="3487" ht="14.25" hidden="1" customHeight="1">
      <c r="B3487" s="7" t="s">
        <v>13</v>
      </c>
      <c r="C3487" s="7" t="s">
        <v>29</v>
      </c>
      <c r="D3487" s="7" t="s">
        <v>32</v>
      </c>
      <c r="E3487" s="7" t="s">
        <v>25</v>
      </c>
      <c r="F3487" s="8">
        <v>8.0</v>
      </c>
      <c r="G3487" s="9">
        <v>8.0</v>
      </c>
    </row>
    <row r="3488" ht="14.25" hidden="1" customHeight="1">
      <c r="B3488" s="7" t="s">
        <v>13</v>
      </c>
      <c r="C3488" s="7" t="s">
        <v>29</v>
      </c>
      <c r="D3488" s="7" t="s">
        <v>32</v>
      </c>
      <c r="E3488" s="7" t="s">
        <v>33</v>
      </c>
      <c r="F3488" s="8">
        <v>8.0</v>
      </c>
      <c r="G3488" s="9">
        <v>8.0</v>
      </c>
    </row>
    <row r="3489" ht="14.25" customHeight="1">
      <c r="B3489" s="7" t="s">
        <v>13</v>
      </c>
      <c r="C3489" s="7" t="s">
        <v>7</v>
      </c>
      <c r="D3489" s="7" t="s">
        <v>8</v>
      </c>
      <c r="E3489" s="7" t="s">
        <v>31</v>
      </c>
      <c r="F3489" s="8">
        <v>8.0</v>
      </c>
      <c r="G3489" s="9">
        <v>4.0</v>
      </c>
    </row>
    <row r="3490" ht="14.25" hidden="1" customHeight="1">
      <c r="B3490" s="7" t="s">
        <v>13</v>
      </c>
      <c r="C3490" s="7" t="s">
        <v>29</v>
      </c>
      <c r="D3490" s="7" t="s">
        <v>33</v>
      </c>
      <c r="E3490" s="7" t="s">
        <v>25</v>
      </c>
      <c r="F3490" s="8">
        <v>7.0</v>
      </c>
      <c r="G3490" s="9">
        <v>7.0</v>
      </c>
    </row>
    <row r="3491" ht="14.25" hidden="1" customHeight="1">
      <c r="B3491" s="7" t="s">
        <v>13</v>
      </c>
      <c r="C3491" s="7" t="s">
        <v>29</v>
      </c>
      <c r="D3491" s="7" t="s">
        <v>34</v>
      </c>
      <c r="E3491" s="7" t="s">
        <v>33</v>
      </c>
      <c r="F3491" s="8">
        <v>7.0</v>
      </c>
      <c r="G3491" s="9">
        <v>7.0</v>
      </c>
    </row>
    <row r="3492" ht="14.25" hidden="1" customHeight="1">
      <c r="B3492" s="7" t="s">
        <v>13</v>
      </c>
      <c r="C3492" s="7" t="s">
        <v>29</v>
      </c>
      <c r="D3492" s="7" t="s">
        <v>34</v>
      </c>
      <c r="E3492" s="7" t="s">
        <v>32</v>
      </c>
      <c r="F3492" s="8">
        <v>7.0</v>
      </c>
      <c r="G3492" s="9">
        <v>7.0</v>
      </c>
    </row>
    <row r="3493" ht="14.25" hidden="1" customHeight="1">
      <c r="B3493" s="7" t="s">
        <v>13</v>
      </c>
      <c r="C3493" s="7" t="s">
        <v>29</v>
      </c>
      <c r="D3493" s="7" t="s">
        <v>10</v>
      </c>
      <c r="E3493" s="7" t="s">
        <v>9</v>
      </c>
      <c r="F3493" s="8">
        <v>7.0</v>
      </c>
      <c r="G3493" s="9">
        <v>7.0</v>
      </c>
    </row>
    <row r="3494" ht="14.25" hidden="1" customHeight="1">
      <c r="B3494" s="7" t="s">
        <v>13</v>
      </c>
      <c r="C3494" s="7" t="s">
        <v>29</v>
      </c>
      <c r="D3494" s="7" t="s">
        <v>10</v>
      </c>
      <c r="E3494" s="7" t="s">
        <v>8</v>
      </c>
      <c r="F3494" s="8">
        <v>7.0</v>
      </c>
      <c r="G3494" s="9">
        <v>7.0</v>
      </c>
    </row>
    <row r="3495" ht="14.25" hidden="1" customHeight="1">
      <c r="B3495" s="7" t="s">
        <v>13</v>
      </c>
      <c r="C3495" s="7" t="s">
        <v>29</v>
      </c>
      <c r="D3495" s="7" t="s">
        <v>31</v>
      </c>
      <c r="E3495" s="7" t="s">
        <v>9</v>
      </c>
      <c r="F3495" s="8">
        <v>7.0</v>
      </c>
      <c r="G3495" s="9">
        <v>7.0</v>
      </c>
    </row>
    <row r="3496" ht="14.25" hidden="1" customHeight="1">
      <c r="B3496" s="7" t="s">
        <v>13</v>
      </c>
      <c r="C3496" s="7" t="s">
        <v>29</v>
      </c>
      <c r="D3496" s="7" t="s">
        <v>31</v>
      </c>
      <c r="E3496" s="7" t="s">
        <v>31</v>
      </c>
      <c r="F3496" s="8">
        <v>7.0</v>
      </c>
      <c r="G3496" s="9">
        <v>7.0</v>
      </c>
    </row>
    <row r="3497" ht="14.25" hidden="1" customHeight="1">
      <c r="B3497" s="7" t="s">
        <v>13</v>
      </c>
      <c r="C3497" s="7" t="s">
        <v>29</v>
      </c>
      <c r="D3497" s="7" t="s">
        <v>8</v>
      </c>
      <c r="E3497" s="7" t="s">
        <v>35</v>
      </c>
      <c r="F3497" s="8">
        <v>7.0</v>
      </c>
      <c r="G3497" s="9">
        <v>7.0</v>
      </c>
    </row>
    <row r="3498" ht="14.25" hidden="1" customHeight="1">
      <c r="B3498" s="7" t="s">
        <v>13</v>
      </c>
      <c r="C3498" s="7" t="s">
        <v>29</v>
      </c>
      <c r="D3498" s="7" t="s">
        <v>25</v>
      </c>
      <c r="E3498" s="7" t="s">
        <v>31</v>
      </c>
      <c r="F3498" s="8">
        <v>6.0</v>
      </c>
      <c r="G3498" s="9">
        <v>6.0</v>
      </c>
    </row>
    <row r="3499" ht="14.25" hidden="1" customHeight="1">
      <c r="B3499" s="7" t="s">
        <v>13</v>
      </c>
      <c r="C3499" s="7" t="s">
        <v>29</v>
      </c>
      <c r="D3499" s="7" t="s">
        <v>33</v>
      </c>
      <c r="E3499" s="7" t="s">
        <v>28</v>
      </c>
      <c r="F3499" s="8">
        <v>6.0</v>
      </c>
      <c r="G3499" s="9">
        <v>6.0</v>
      </c>
    </row>
    <row r="3500" ht="14.25" hidden="1" customHeight="1">
      <c r="B3500" s="7" t="s">
        <v>13</v>
      </c>
      <c r="C3500" s="7" t="s">
        <v>7</v>
      </c>
      <c r="D3500" s="7" t="s">
        <v>33</v>
      </c>
      <c r="E3500" s="7" t="s">
        <v>31</v>
      </c>
      <c r="F3500" s="8">
        <v>6.0</v>
      </c>
      <c r="G3500" s="9">
        <v>3.0</v>
      </c>
    </row>
    <row r="3501" ht="14.25" hidden="1" customHeight="1">
      <c r="B3501" s="7" t="s">
        <v>13</v>
      </c>
      <c r="C3501" s="7" t="s">
        <v>7</v>
      </c>
      <c r="D3501" s="7" t="s">
        <v>11</v>
      </c>
      <c r="E3501" s="7" t="s">
        <v>9</v>
      </c>
      <c r="F3501" s="8">
        <v>6.0</v>
      </c>
      <c r="G3501" s="9">
        <v>3.0</v>
      </c>
    </row>
    <row r="3502" ht="14.25" hidden="1" customHeight="1">
      <c r="B3502" s="7" t="s">
        <v>13</v>
      </c>
      <c r="C3502" s="7" t="s">
        <v>30</v>
      </c>
      <c r="D3502" s="7" t="s">
        <v>11</v>
      </c>
      <c r="E3502" s="7" t="s">
        <v>10</v>
      </c>
      <c r="F3502" s="8">
        <v>6.0</v>
      </c>
      <c r="G3502" s="9">
        <v>3.0</v>
      </c>
    </row>
    <row r="3503" ht="14.25" hidden="1" customHeight="1">
      <c r="B3503" s="7" t="s">
        <v>13</v>
      </c>
      <c r="C3503" s="7" t="s">
        <v>29</v>
      </c>
      <c r="D3503" s="7" t="s">
        <v>9</v>
      </c>
      <c r="E3503" s="7" t="s">
        <v>25</v>
      </c>
      <c r="F3503" s="8">
        <v>6.0</v>
      </c>
      <c r="G3503" s="9">
        <v>6.0</v>
      </c>
    </row>
    <row r="3504" ht="14.25" hidden="1" customHeight="1">
      <c r="B3504" s="7" t="s">
        <v>13</v>
      </c>
      <c r="C3504" s="7" t="s">
        <v>30</v>
      </c>
      <c r="D3504" s="7" t="s">
        <v>9</v>
      </c>
      <c r="E3504" s="7" t="s">
        <v>10</v>
      </c>
      <c r="F3504" s="8">
        <v>6.0</v>
      </c>
      <c r="G3504" s="9">
        <v>3.0</v>
      </c>
    </row>
    <row r="3505" ht="14.25" hidden="1" customHeight="1">
      <c r="B3505" s="7" t="s">
        <v>13</v>
      </c>
      <c r="C3505" s="7" t="s">
        <v>29</v>
      </c>
      <c r="D3505" s="7" t="s">
        <v>9</v>
      </c>
      <c r="E3505" s="7" t="s">
        <v>31</v>
      </c>
      <c r="F3505" s="8">
        <v>6.0</v>
      </c>
      <c r="G3505" s="9">
        <v>6.0</v>
      </c>
    </row>
    <row r="3506" ht="14.25" hidden="1" customHeight="1">
      <c r="B3506" s="7" t="s">
        <v>13</v>
      </c>
      <c r="C3506" s="7" t="s">
        <v>30</v>
      </c>
      <c r="D3506" s="7" t="s">
        <v>10</v>
      </c>
      <c r="E3506" s="7" t="s">
        <v>33</v>
      </c>
      <c r="F3506" s="8">
        <v>6.0</v>
      </c>
      <c r="G3506" s="9">
        <v>3.0</v>
      </c>
    </row>
    <row r="3507" ht="14.25" hidden="1" customHeight="1">
      <c r="B3507" s="7" t="s">
        <v>13</v>
      </c>
      <c r="C3507" s="7" t="s">
        <v>30</v>
      </c>
      <c r="D3507" s="7" t="s">
        <v>10</v>
      </c>
      <c r="E3507" s="7" t="s">
        <v>9</v>
      </c>
      <c r="F3507" s="8">
        <v>6.0</v>
      </c>
      <c r="G3507" s="9">
        <v>3.0</v>
      </c>
    </row>
    <row r="3508" ht="14.25" hidden="1" customHeight="1">
      <c r="B3508" s="7" t="s">
        <v>13</v>
      </c>
      <c r="C3508" s="7" t="s">
        <v>7</v>
      </c>
      <c r="D3508" s="7" t="s">
        <v>10</v>
      </c>
      <c r="E3508" s="7" t="s">
        <v>9</v>
      </c>
      <c r="F3508" s="8">
        <v>6.0</v>
      </c>
      <c r="G3508" s="9">
        <v>3.0</v>
      </c>
    </row>
    <row r="3509" ht="14.25" hidden="1" customHeight="1">
      <c r="B3509" s="7" t="s">
        <v>13</v>
      </c>
      <c r="C3509" s="7" t="s">
        <v>29</v>
      </c>
      <c r="D3509" s="7" t="s">
        <v>31</v>
      </c>
      <c r="E3509" s="7" t="s">
        <v>33</v>
      </c>
      <c r="F3509" s="8">
        <v>6.0</v>
      </c>
      <c r="G3509" s="9">
        <v>6.0</v>
      </c>
    </row>
    <row r="3510" ht="14.25" hidden="1" customHeight="1">
      <c r="B3510" s="7" t="s">
        <v>13</v>
      </c>
      <c r="C3510" s="7" t="s">
        <v>7</v>
      </c>
      <c r="D3510" s="7" t="s">
        <v>31</v>
      </c>
      <c r="E3510" s="7" t="s">
        <v>33</v>
      </c>
      <c r="F3510" s="8">
        <v>6.0</v>
      </c>
      <c r="G3510" s="9">
        <v>3.0</v>
      </c>
    </row>
    <row r="3511" ht="14.25" hidden="1" customHeight="1">
      <c r="B3511" s="7" t="s">
        <v>13</v>
      </c>
      <c r="C3511" s="7" t="s">
        <v>29</v>
      </c>
      <c r="D3511" s="7" t="s">
        <v>32</v>
      </c>
      <c r="E3511" s="7" t="s">
        <v>25</v>
      </c>
      <c r="F3511" s="8">
        <v>5.0</v>
      </c>
      <c r="G3511" s="9">
        <v>5.0</v>
      </c>
    </row>
    <row r="3512" ht="14.25" hidden="1" customHeight="1">
      <c r="B3512" s="7" t="s">
        <v>13</v>
      </c>
      <c r="C3512" s="7" t="s">
        <v>7</v>
      </c>
      <c r="D3512" s="7" t="s">
        <v>25</v>
      </c>
      <c r="E3512" s="7" t="s">
        <v>33</v>
      </c>
      <c r="F3512" s="8">
        <v>4.0</v>
      </c>
      <c r="G3512" s="9">
        <v>2.0</v>
      </c>
    </row>
    <row r="3513" ht="14.25" hidden="1" customHeight="1">
      <c r="B3513" s="7" t="s">
        <v>13</v>
      </c>
      <c r="C3513" s="7" t="s">
        <v>7</v>
      </c>
      <c r="D3513" s="7" t="s">
        <v>25</v>
      </c>
      <c r="E3513" s="7" t="s">
        <v>28</v>
      </c>
      <c r="F3513" s="8">
        <v>4.0</v>
      </c>
      <c r="G3513" s="9">
        <v>2.0</v>
      </c>
    </row>
    <row r="3514" ht="14.25" hidden="1" customHeight="1">
      <c r="B3514" s="7" t="s">
        <v>13</v>
      </c>
      <c r="C3514" s="7" t="s">
        <v>30</v>
      </c>
      <c r="D3514" s="7" t="s">
        <v>25</v>
      </c>
      <c r="E3514" s="7" t="s">
        <v>28</v>
      </c>
      <c r="F3514" s="8">
        <v>4.0</v>
      </c>
      <c r="G3514" s="9">
        <v>2.0</v>
      </c>
    </row>
    <row r="3515" ht="14.25" hidden="1" customHeight="1">
      <c r="B3515" s="7" t="s">
        <v>13</v>
      </c>
      <c r="C3515" s="7" t="s">
        <v>7</v>
      </c>
      <c r="D3515" s="7" t="s">
        <v>25</v>
      </c>
      <c r="E3515" s="7" t="s">
        <v>9</v>
      </c>
      <c r="F3515" s="8">
        <v>4.0</v>
      </c>
      <c r="G3515" s="9">
        <v>4.0</v>
      </c>
    </row>
    <row r="3516" ht="14.25" hidden="1" customHeight="1">
      <c r="B3516" s="7" t="s">
        <v>13</v>
      </c>
      <c r="C3516" s="7" t="s">
        <v>7</v>
      </c>
      <c r="D3516" s="7" t="s">
        <v>25</v>
      </c>
      <c r="E3516" s="7" t="s">
        <v>9</v>
      </c>
      <c r="F3516" s="8">
        <v>4.0</v>
      </c>
      <c r="G3516" s="9">
        <v>2.0</v>
      </c>
    </row>
    <row r="3517" ht="14.25" hidden="1" customHeight="1">
      <c r="B3517" s="7" t="s">
        <v>13</v>
      </c>
      <c r="C3517" s="7" t="s">
        <v>29</v>
      </c>
      <c r="D3517" s="7" t="s">
        <v>25</v>
      </c>
      <c r="E3517" s="7" t="s">
        <v>10</v>
      </c>
      <c r="F3517" s="8">
        <v>4.0</v>
      </c>
      <c r="G3517" s="9">
        <v>4.0</v>
      </c>
    </row>
    <row r="3518" ht="14.25" hidden="1" customHeight="1">
      <c r="B3518" s="7" t="s">
        <v>13</v>
      </c>
      <c r="C3518" s="7" t="s">
        <v>30</v>
      </c>
      <c r="D3518" s="7" t="s">
        <v>25</v>
      </c>
      <c r="E3518" s="7" t="s">
        <v>10</v>
      </c>
      <c r="F3518" s="8">
        <v>4.0</v>
      </c>
      <c r="G3518" s="9">
        <v>2.0</v>
      </c>
    </row>
    <row r="3519" ht="14.25" hidden="1" customHeight="1">
      <c r="B3519" s="7" t="s">
        <v>13</v>
      </c>
      <c r="C3519" s="7" t="s">
        <v>7</v>
      </c>
      <c r="D3519" s="7" t="s">
        <v>33</v>
      </c>
      <c r="E3519" s="7" t="s">
        <v>28</v>
      </c>
      <c r="F3519" s="8">
        <v>4.0</v>
      </c>
      <c r="G3519" s="9">
        <v>2.0</v>
      </c>
    </row>
    <row r="3520" ht="14.25" hidden="1" customHeight="1">
      <c r="B3520" s="7" t="s">
        <v>13</v>
      </c>
      <c r="C3520" s="7" t="s">
        <v>7</v>
      </c>
      <c r="D3520" s="7" t="s">
        <v>33</v>
      </c>
      <c r="E3520" s="7" t="s">
        <v>35</v>
      </c>
      <c r="F3520" s="8">
        <v>4.0</v>
      </c>
      <c r="G3520" s="9">
        <v>2.0</v>
      </c>
    </row>
    <row r="3521" ht="14.25" hidden="1" customHeight="1">
      <c r="B3521" s="7" t="s">
        <v>13</v>
      </c>
      <c r="C3521" s="7" t="s">
        <v>7</v>
      </c>
      <c r="D3521" s="7" t="s">
        <v>33</v>
      </c>
      <c r="E3521" s="7" t="s">
        <v>9</v>
      </c>
      <c r="F3521" s="8">
        <v>4.0</v>
      </c>
      <c r="G3521" s="9">
        <v>2.0</v>
      </c>
    </row>
    <row r="3522" ht="14.25" hidden="1" customHeight="1">
      <c r="B3522" s="7" t="s">
        <v>13</v>
      </c>
      <c r="C3522" s="7" t="s">
        <v>7</v>
      </c>
      <c r="D3522" s="7" t="s">
        <v>33</v>
      </c>
      <c r="E3522" s="7" t="s">
        <v>9</v>
      </c>
      <c r="F3522" s="8">
        <v>4.0</v>
      </c>
      <c r="G3522" s="9">
        <v>2.0</v>
      </c>
    </row>
    <row r="3523" ht="14.25" hidden="1" customHeight="1">
      <c r="B3523" s="7" t="s">
        <v>13</v>
      </c>
      <c r="C3523" s="7" t="s">
        <v>7</v>
      </c>
      <c r="D3523" s="7" t="s">
        <v>33</v>
      </c>
      <c r="E3523" s="7" t="s">
        <v>8</v>
      </c>
      <c r="F3523" s="8">
        <v>4.0</v>
      </c>
      <c r="G3523" s="9">
        <v>2.0</v>
      </c>
    </row>
    <row r="3524" ht="14.25" hidden="1" customHeight="1">
      <c r="B3524" s="7" t="s">
        <v>13</v>
      </c>
      <c r="C3524" s="7" t="s">
        <v>7</v>
      </c>
      <c r="D3524" s="7" t="s">
        <v>28</v>
      </c>
      <c r="E3524" s="7" t="s">
        <v>10</v>
      </c>
      <c r="F3524" s="8">
        <v>4.0</v>
      </c>
      <c r="G3524" s="9">
        <v>2.0</v>
      </c>
    </row>
    <row r="3525" ht="14.25" hidden="1" customHeight="1">
      <c r="B3525" s="7" t="s">
        <v>13</v>
      </c>
      <c r="C3525" s="7" t="s">
        <v>7</v>
      </c>
      <c r="D3525" s="7" t="s">
        <v>28</v>
      </c>
      <c r="E3525" s="7" t="s">
        <v>31</v>
      </c>
      <c r="F3525" s="8">
        <v>4.0</v>
      </c>
      <c r="G3525" s="9">
        <v>2.0</v>
      </c>
    </row>
    <row r="3526" ht="14.25" hidden="1" customHeight="1">
      <c r="B3526" s="7" t="s">
        <v>13</v>
      </c>
      <c r="C3526" s="7" t="s">
        <v>7</v>
      </c>
      <c r="D3526" s="7" t="s">
        <v>28</v>
      </c>
      <c r="E3526" s="7" t="s">
        <v>8</v>
      </c>
      <c r="F3526" s="8">
        <v>4.0</v>
      </c>
      <c r="G3526" s="9">
        <v>4.0</v>
      </c>
    </row>
    <row r="3527" ht="14.25" hidden="1" customHeight="1">
      <c r="B3527" s="7" t="s">
        <v>13</v>
      </c>
      <c r="C3527" s="7" t="s">
        <v>29</v>
      </c>
      <c r="D3527" s="7" t="s">
        <v>28</v>
      </c>
      <c r="E3527" s="7" t="s">
        <v>8</v>
      </c>
      <c r="F3527" s="8">
        <v>4.0</v>
      </c>
      <c r="G3527" s="9">
        <v>4.0</v>
      </c>
    </row>
    <row r="3528" ht="14.25" hidden="1" customHeight="1">
      <c r="B3528" s="7" t="s">
        <v>13</v>
      </c>
      <c r="C3528" s="7" t="s">
        <v>7</v>
      </c>
      <c r="D3528" s="7" t="s">
        <v>11</v>
      </c>
      <c r="E3528" s="7" t="s">
        <v>25</v>
      </c>
      <c r="F3528" s="8">
        <v>4.0</v>
      </c>
      <c r="G3528" s="9">
        <v>2.0</v>
      </c>
    </row>
    <row r="3529" ht="14.25" hidden="1" customHeight="1">
      <c r="B3529" s="7" t="s">
        <v>13</v>
      </c>
      <c r="C3529" s="7" t="s">
        <v>29</v>
      </c>
      <c r="D3529" s="7" t="s">
        <v>9</v>
      </c>
      <c r="E3529" s="7" t="s">
        <v>31</v>
      </c>
      <c r="F3529" s="8">
        <v>4.0</v>
      </c>
      <c r="G3529" s="9">
        <v>4.0</v>
      </c>
    </row>
    <row r="3530" ht="14.25" hidden="1" customHeight="1">
      <c r="B3530" s="7" t="s">
        <v>13</v>
      </c>
      <c r="C3530" s="7" t="s">
        <v>30</v>
      </c>
      <c r="D3530" s="7" t="s">
        <v>24</v>
      </c>
      <c r="E3530" s="7" t="s">
        <v>10</v>
      </c>
      <c r="F3530" s="8">
        <v>4.0</v>
      </c>
      <c r="G3530" s="9">
        <v>2.0</v>
      </c>
    </row>
    <row r="3531" ht="14.25" hidden="1" customHeight="1">
      <c r="B3531" s="7" t="s">
        <v>13</v>
      </c>
      <c r="C3531" s="7" t="s">
        <v>30</v>
      </c>
      <c r="D3531" s="7" t="s">
        <v>24</v>
      </c>
      <c r="E3531" s="7" t="s">
        <v>31</v>
      </c>
      <c r="F3531" s="8">
        <v>4.0</v>
      </c>
      <c r="G3531" s="9">
        <v>2.0</v>
      </c>
    </row>
    <row r="3532" ht="14.25" hidden="1" customHeight="1">
      <c r="B3532" s="7" t="s">
        <v>13</v>
      </c>
      <c r="C3532" s="7" t="s">
        <v>29</v>
      </c>
      <c r="D3532" s="7" t="s">
        <v>10</v>
      </c>
      <c r="E3532" s="7" t="s">
        <v>25</v>
      </c>
      <c r="F3532" s="8">
        <v>4.0</v>
      </c>
      <c r="G3532" s="9">
        <v>4.0</v>
      </c>
    </row>
    <row r="3533" ht="14.25" hidden="1" customHeight="1">
      <c r="B3533" s="7" t="s">
        <v>13</v>
      </c>
      <c r="C3533" s="7" t="s">
        <v>30</v>
      </c>
      <c r="D3533" s="7" t="s">
        <v>10</v>
      </c>
      <c r="E3533" s="7" t="s">
        <v>28</v>
      </c>
      <c r="F3533" s="8">
        <v>4.0</v>
      </c>
      <c r="G3533" s="9">
        <v>2.0</v>
      </c>
    </row>
    <row r="3534" ht="14.25" hidden="1" customHeight="1">
      <c r="B3534" s="7" t="s">
        <v>13</v>
      </c>
      <c r="C3534" s="7" t="s">
        <v>7</v>
      </c>
      <c r="D3534" s="7" t="s">
        <v>10</v>
      </c>
      <c r="E3534" s="7" t="s">
        <v>35</v>
      </c>
      <c r="F3534" s="8">
        <v>4.0</v>
      </c>
      <c r="G3534" s="9">
        <v>2.0</v>
      </c>
    </row>
    <row r="3535" ht="14.25" hidden="1" customHeight="1">
      <c r="B3535" s="7" t="s">
        <v>13</v>
      </c>
      <c r="C3535" s="7" t="s">
        <v>7</v>
      </c>
      <c r="D3535" s="7" t="s">
        <v>10</v>
      </c>
      <c r="E3535" s="7" t="s">
        <v>9</v>
      </c>
      <c r="F3535" s="8">
        <v>4.0</v>
      </c>
      <c r="G3535" s="9">
        <v>2.0</v>
      </c>
    </row>
    <row r="3536" ht="14.25" hidden="1" customHeight="1">
      <c r="B3536" s="7" t="s">
        <v>13</v>
      </c>
      <c r="C3536" s="7" t="s">
        <v>30</v>
      </c>
      <c r="D3536" s="7" t="s">
        <v>10</v>
      </c>
      <c r="E3536" s="7" t="s">
        <v>24</v>
      </c>
      <c r="F3536" s="8">
        <v>4.0</v>
      </c>
      <c r="G3536" s="9">
        <v>2.0</v>
      </c>
    </row>
    <row r="3537" ht="14.25" hidden="1" customHeight="1">
      <c r="B3537" s="7" t="s">
        <v>13</v>
      </c>
      <c r="C3537" s="7" t="s">
        <v>29</v>
      </c>
      <c r="D3537" s="7" t="s">
        <v>10</v>
      </c>
      <c r="E3537" s="7" t="s">
        <v>31</v>
      </c>
      <c r="F3537" s="8">
        <v>4.0</v>
      </c>
      <c r="G3537" s="9">
        <v>4.0</v>
      </c>
    </row>
    <row r="3538" ht="14.25" hidden="1" customHeight="1">
      <c r="B3538" s="7" t="s">
        <v>13</v>
      </c>
      <c r="C3538" s="7" t="s">
        <v>7</v>
      </c>
      <c r="D3538" s="7" t="s">
        <v>32</v>
      </c>
      <c r="E3538" s="7" t="s">
        <v>25</v>
      </c>
      <c r="F3538" s="8">
        <v>4.0</v>
      </c>
      <c r="G3538" s="9">
        <v>4.0</v>
      </c>
    </row>
    <row r="3539" ht="14.25" hidden="1" customHeight="1">
      <c r="B3539" s="7" t="s">
        <v>13</v>
      </c>
      <c r="C3539" s="7" t="s">
        <v>7</v>
      </c>
      <c r="D3539" s="7" t="s">
        <v>32</v>
      </c>
      <c r="E3539" s="7" t="s">
        <v>9</v>
      </c>
      <c r="F3539" s="8">
        <v>4.0</v>
      </c>
      <c r="G3539" s="9">
        <v>2.0</v>
      </c>
    </row>
    <row r="3540" ht="14.25" hidden="1" customHeight="1">
      <c r="B3540" s="7" t="s">
        <v>13</v>
      </c>
      <c r="C3540" s="7" t="s">
        <v>7</v>
      </c>
      <c r="D3540" s="7" t="s">
        <v>32</v>
      </c>
      <c r="E3540" s="7" t="s">
        <v>24</v>
      </c>
      <c r="F3540" s="8">
        <v>4.0</v>
      </c>
      <c r="G3540" s="9">
        <v>2.0</v>
      </c>
    </row>
    <row r="3541" ht="14.25" hidden="1" customHeight="1">
      <c r="B3541" s="7" t="s">
        <v>13</v>
      </c>
      <c r="C3541" s="7" t="s">
        <v>29</v>
      </c>
      <c r="D3541" s="7" t="s">
        <v>8</v>
      </c>
      <c r="E3541" s="7" t="s">
        <v>28</v>
      </c>
      <c r="F3541" s="8">
        <v>4.0</v>
      </c>
      <c r="G3541" s="9">
        <v>4.0</v>
      </c>
    </row>
    <row r="3542" ht="14.25" hidden="1" customHeight="1">
      <c r="B3542" s="7" t="s">
        <v>13</v>
      </c>
      <c r="C3542" s="7" t="s">
        <v>7</v>
      </c>
      <c r="D3542" s="7" t="s">
        <v>8</v>
      </c>
      <c r="E3542" s="7" t="s">
        <v>28</v>
      </c>
      <c r="F3542" s="8">
        <v>4.0</v>
      </c>
      <c r="G3542" s="9">
        <v>2.0</v>
      </c>
    </row>
    <row r="3543" ht="14.25" hidden="1" customHeight="1">
      <c r="B3543" s="7" t="s">
        <v>13</v>
      </c>
      <c r="C3543" s="7" t="s">
        <v>7</v>
      </c>
      <c r="D3543" s="7" t="s">
        <v>8</v>
      </c>
      <c r="E3543" s="7" t="s">
        <v>28</v>
      </c>
      <c r="F3543" s="8">
        <v>4.0</v>
      </c>
      <c r="G3543" s="9">
        <v>2.0</v>
      </c>
    </row>
    <row r="3544" ht="14.25" hidden="1" customHeight="1">
      <c r="B3544" s="7" t="s">
        <v>13</v>
      </c>
      <c r="C3544" s="7" t="s">
        <v>29</v>
      </c>
      <c r="D3544" s="7" t="s">
        <v>8</v>
      </c>
      <c r="E3544" s="7" t="s">
        <v>35</v>
      </c>
      <c r="F3544" s="8">
        <v>4.0</v>
      </c>
      <c r="G3544" s="9">
        <v>4.0</v>
      </c>
    </row>
    <row r="3545" ht="14.25" hidden="1" customHeight="1">
      <c r="B3545" s="7" t="s">
        <v>13</v>
      </c>
      <c r="C3545" s="7" t="s">
        <v>29</v>
      </c>
      <c r="D3545" s="7" t="s">
        <v>8</v>
      </c>
      <c r="E3545" s="7" t="s">
        <v>9</v>
      </c>
      <c r="F3545" s="8">
        <v>4.0</v>
      </c>
      <c r="G3545" s="9">
        <v>4.0</v>
      </c>
    </row>
    <row r="3546" ht="14.25" hidden="1" customHeight="1">
      <c r="B3546" s="7" t="s">
        <v>13</v>
      </c>
      <c r="C3546" s="7" t="s">
        <v>29</v>
      </c>
      <c r="D3546" s="7" t="s">
        <v>8</v>
      </c>
      <c r="E3546" s="7" t="s">
        <v>10</v>
      </c>
      <c r="F3546" s="8">
        <v>4.0</v>
      </c>
      <c r="G3546" s="9">
        <v>4.0</v>
      </c>
    </row>
    <row r="3547" ht="14.25" hidden="1" customHeight="1">
      <c r="B3547" s="7" t="s">
        <v>13</v>
      </c>
      <c r="C3547" s="7" t="s">
        <v>29</v>
      </c>
      <c r="D3547" s="7" t="s">
        <v>33</v>
      </c>
      <c r="E3547" s="7" t="s">
        <v>28</v>
      </c>
      <c r="F3547" s="8">
        <v>3.0</v>
      </c>
      <c r="G3547" s="9">
        <v>3.0</v>
      </c>
    </row>
    <row r="3548" ht="14.25" hidden="1" customHeight="1">
      <c r="B3548" s="7" t="s">
        <v>13</v>
      </c>
      <c r="C3548" s="7" t="s">
        <v>29</v>
      </c>
      <c r="D3548" s="7" t="s">
        <v>28</v>
      </c>
      <c r="E3548" s="7" t="s">
        <v>8</v>
      </c>
      <c r="F3548" s="8">
        <v>3.0</v>
      </c>
      <c r="G3548" s="9">
        <v>3.0</v>
      </c>
    </row>
    <row r="3549" ht="14.25" hidden="1" customHeight="1">
      <c r="B3549" s="7" t="s">
        <v>13</v>
      </c>
      <c r="C3549" s="7" t="s">
        <v>29</v>
      </c>
      <c r="D3549" s="7" t="s">
        <v>9</v>
      </c>
      <c r="E3549" s="7" t="s">
        <v>8</v>
      </c>
      <c r="F3549" s="8">
        <v>3.0</v>
      </c>
      <c r="G3549" s="9">
        <v>3.0</v>
      </c>
    </row>
    <row r="3550" ht="14.25" hidden="1" customHeight="1">
      <c r="B3550" s="7" t="s">
        <v>13</v>
      </c>
      <c r="C3550" s="7" t="s">
        <v>29</v>
      </c>
      <c r="D3550" s="7" t="s">
        <v>10</v>
      </c>
      <c r="E3550" s="7" t="s">
        <v>28</v>
      </c>
      <c r="F3550" s="8">
        <v>3.0</v>
      </c>
      <c r="G3550" s="9">
        <v>3.0</v>
      </c>
    </row>
    <row r="3551" ht="14.25" hidden="1" customHeight="1">
      <c r="B3551" s="7" t="s">
        <v>13</v>
      </c>
      <c r="C3551" s="7" t="s">
        <v>29</v>
      </c>
      <c r="D3551" s="7" t="s">
        <v>32</v>
      </c>
      <c r="E3551" s="7" t="s">
        <v>25</v>
      </c>
      <c r="F3551" s="8">
        <v>3.0</v>
      </c>
      <c r="G3551" s="9">
        <v>3.0</v>
      </c>
    </row>
    <row r="3552" ht="14.25" hidden="1" customHeight="1">
      <c r="B3552" s="7" t="s">
        <v>13</v>
      </c>
      <c r="C3552" s="7" t="s">
        <v>29</v>
      </c>
      <c r="D3552" s="7" t="s">
        <v>32</v>
      </c>
      <c r="E3552" s="7" t="s">
        <v>28</v>
      </c>
      <c r="F3552" s="8">
        <v>3.0</v>
      </c>
      <c r="G3552" s="9">
        <v>3.0</v>
      </c>
    </row>
    <row r="3553" ht="14.25" hidden="1" customHeight="1">
      <c r="B3553" s="7" t="s">
        <v>13</v>
      </c>
      <c r="C3553" s="7" t="s">
        <v>29</v>
      </c>
      <c r="D3553" s="7" t="s">
        <v>31</v>
      </c>
      <c r="E3553" s="7" t="s">
        <v>28</v>
      </c>
      <c r="F3553" s="8">
        <v>3.0</v>
      </c>
      <c r="G3553" s="9">
        <v>3.0</v>
      </c>
    </row>
    <row r="3554" ht="14.25" hidden="1" customHeight="1">
      <c r="B3554" s="7" t="s">
        <v>13</v>
      </c>
      <c r="C3554" s="7" t="s">
        <v>29</v>
      </c>
      <c r="D3554" s="7" t="s">
        <v>31</v>
      </c>
      <c r="E3554" s="7" t="s">
        <v>10</v>
      </c>
      <c r="F3554" s="8">
        <v>3.0</v>
      </c>
      <c r="G3554" s="9">
        <v>3.0</v>
      </c>
    </row>
    <row r="3555" ht="14.25" hidden="1" customHeight="1">
      <c r="B3555" s="7" t="s">
        <v>13</v>
      </c>
      <c r="C3555" s="7" t="s">
        <v>30</v>
      </c>
      <c r="D3555" s="7" t="s">
        <v>25</v>
      </c>
      <c r="E3555" s="7" t="s">
        <v>9</v>
      </c>
      <c r="F3555" s="8">
        <v>2.0</v>
      </c>
      <c r="G3555" s="9">
        <v>1.0</v>
      </c>
    </row>
    <row r="3556" ht="14.25" hidden="1" customHeight="1">
      <c r="B3556" s="7" t="s">
        <v>13</v>
      </c>
      <c r="C3556" s="7" t="s">
        <v>29</v>
      </c>
      <c r="D3556" s="7" t="s">
        <v>25</v>
      </c>
      <c r="E3556" s="7" t="s">
        <v>10</v>
      </c>
      <c r="F3556" s="8">
        <v>2.0</v>
      </c>
      <c r="G3556" s="9">
        <v>2.0</v>
      </c>
    </row>
    <row r="3557" ht="14.25" hidden="1" customHeight="1">
      <c r="B3557" s="7" t="s">
        <v>13</v>
      </c>
      <c r="C3557" s="7" t="s">
        <v>7</v>
      </c>
      <c r="D3557" s="7" t="s">
        <v>25</v>
      </c>
      <c r="E3557" s="7" t="s">
        <v>10</v>
      </c>
      <c r="F3557" s="8">
        <v>2.0</v>
      </c>
      <c r="G3557" s="9">
        <v>1.0</v>
      </c>
    </row>
    <row r="3558" ht="14.25" hidden="1" customHeight="1">
      <c r="B3558" s="7" t="s">
        <v>13</v>
      </c>
      <c r="C3558" s="7" t="s">
        <v>29</v>
      </c>
      <c r="D3558" s="7" t="s">
        <v>25</v>
      </c>
      <c r="E3558" s="7" t="s">
        <v>32</v>
      </c>
      <c r="F3558" s="8">
        <v>2.0</v>
      </c>
      <c r="G3558" s="9">
        <v>2.0</v>
      </c>
    </row>
    <row r="3559" ht="14.25" hidden="1" customHeight="1">
      <c r="B3559" s="7" t="s">
        <v>13</v>
      </c>
      <c r="C3559" s="7" t="s">
        <v>30</v>
      </c>
      <c r="D3559" s="7" t="s">
        <v>25</v>
      </c>
      <c r="E3559" s="7" t="s">
        <v>31</v>
      </c>
      <c r="F3559" s="8">
        <v>2.0</v>
      </c>
      <c r="G3559" s="9">
        <v>1.0</v>
      </c>
    </row>
    <row r="3560" ht="14.25" hidden="1" customHeight="1">
      <c r="B3560" s="7" t="s">
        <v>13</v>
      </c>
      <c r="C3560" s="7" t="s">
        <v>29</v>
      </c>
      <c r="D3560" s="7" t="s">
        <v>25</v>
      </c>
      <c r="E3560" s="7" t="s">
        <v>8</v>
      </c>
      <c r="F3560" s="8">
        <v>2.0</v>
      </c>
      <c r="G3560" s="9">
        <v>2.0</v>
      </c>
    </row>
    <row r="3561" ht="14.25" hidden="1" customHeight="1">
      <c r="B3561" s="7" t="s">
        <v>13</v>
      </c>
      <c r="C3561" s="7" t="s">
        <v>30</v>
      </c>
      <c r="D3561" s="7" t="s">
        <v>25</v>
      </c>
      <c r="E3561" s="7" t="s">
        <v>8</v>
      </c>
      <c r="F3561" s="8">
        <v>2.0</v>
      </c>
      <c r="G3561" s="9">
        <v>1.0</v>
      </c>
    </row>
    <row r="3562" ht="14.25" hidden="1" customHeight="1">
      <c r="B3562" s="7" t="s">
        <v>13</v>
      </c>
      <c r="C3562" s="7" t="s">
        <v>7</v>
      </c>
      <c r="D3562" s="7" t="s">
        <v>38</v>
      </c>
      <c r="E3562" s="7" t="s">
        <v>24</v>
      </c>
      <c r="F3562" s="8">
        <v>2.0</v>
      </c>
      <c r="G3562" s="9">
        <v>1.0</v>
      </c>
    </row>
    <row r="3563" ht="14.25" hidden="1" customHeight="1">
      <c r="B3563" s="7" t="s">
        <v>13</v>
      </c>
      <c r="C3563" s="7" t="s">
        <v>7</v>
      </c>
      <c r="D3563" s="7" t="s">
        <v>33</v>
      </c>
      <c r="E3563" s="7" t="s">
        <v>25</v>
      </c>
      <c r="F3563" s="8">
        <v>2.0</v>
      </c>
      <c r="G3563" s="9">
        <v>1.0</v>
      </c>
    </row>
    <row r="3564" ht="14.25" hidden="1" customHeight="1">
      <c r="B3564" s="7" t="s">
        <v>13</v>
      </c>
      <c r="C3564" s="7" t="s">
        <v>7</v>
      </c>
      <c r="D3564" s="7" t="s">
        <v>33</v>
      </c>
      <c r="E3564" s="7" t="s">
        <v>25</v>
      </c>
      <c r="F3564" s="8">
        <v>2.0</v>
      </c>
      <c r="G3564" s="9">
        <v>1.0</v>
      </c>
    </row>
    <row r="3565" ht="14.25" hidden="1" customHeight="1">
      <c r="B3565" s="7" t="s">
        <v>13</v>
      </c>
      <c r="C3565" s="7" t="s">
        <v>29</v>
      </c>
      <c r="D3565" s="7" t="s">
        <v>33</v>
      </c>
      <c r="E3565" s="7" t="s">
        <v>11</v>
      </c>
      <c r="F3565" s="8">
        <v>2.0</v>
      </c>
      <c r="G3565" s="9">
        <v>2.0</v>
      </c>
    </row>
    <row r="3566" ht="14.25" hidden="1" customHeight="1">
      <c r="B3566" s="7" t="s">
        <v>13</v>
      </c>
      <c r="C3566" s="7" t="s">
        <v>29</v>
      </c>
      <c r="D3566" s="7" t="s">
        <v>33</v>
      </c>
      <c r="E3566" s="7" t="s">
        <v>9</v>
      </c>
      <c r="F3566" s="8">
        <v>2.0</v>
      </c>
      <c r="G3566" s="9">
        <v>2.0</v>
      </c>
    </row>
    <row r="3567" ht="14.25" hidden="1" customHeight="1">
      <c r="B3567" s="7" t="s">
        <v>13</v>
      </c>
      <c r="C3567" s="7" t="s">
        <v>7</v>
      </c>
      <c r="D3567" s="7" t="s">
        <v>33</v>
      </c>
      <c r="E3567" s="7" t="s">
        <v>8</v>
      </c>
      <c r="F3567" s="8">
        <v>2.0</v>
      </c>
      <c r="G3567" s="9">
        <v>1.0</v>
      </c>
    </row>
    <row r="3568" ht="14.25" hidden="1" customHeight="1">
      <c r="B3568" s="7" t="s">
        <v>13</v>
      </c>
      <c r="C3568" s="7" t="s">
        <v>7</v>
      </c>
      <c r="D3568" s="7" t="s">
        <v>28</v>
      </c>
      <c r="E3568" s="7" t="s">
        <v>25</v>
      </c>
      <c r="F3568" s="8">
        <v>2.0</v>
      </c>
      <c r="G3568" s="9">
        <v>2.0</v>
      </c>
    </row>
    <row r="3569" ht="14.25" hidden="1" customHeight="1">
      <c r="B3569" s="7" t="s">
        <v>13</v>
      </c>
      <c r="C3569" s="7" t="s">
        <v>29</v>
      </c>
      <c r="D3569" s="7" t="s">
        <v>28</v>
      </c>
      <c r="E3569" s="7" t="s">
        <v>31</v>
      </c>
      <c r="F3569" s="8">
        <v>2.0</v>
      </c>
      <c r="G3569" s="9">
        <v>2.0</v>
      </c>
    </row>
    <row r="3570" ht="14.25" hidden="1" customHeight="1">
      <c r="B3570" s="7" t="s">
        <v>13</v>
      </c>
      <c r="C3570" s="7" t="s">
        <v>29</v>
      </c>
      <c r="D3570" s="7" t="s">
        <v>28</v>
      </c>
      <c r="E3570" s="7" t="s">
        <v>31</v>
      </c>
      <c r="F3570" s="8">
        <v>2.0</v>
      </c>
      <c r="G3570" s="9">
        <v>2.0</v>
      </c>
    </row>
    <row r="3571" ht="14.25" hidden="1" customHeight="1">
      <c r="B3571" s="7" t="s">
        <v>13</v>
      </c>
      <c r="C3571" s="7" t="s">
        <v>7</v>
      </c>
      <c r="D3571" s="7" t="s">
        <v>11</v>
      </c>
      <c r="E3571" s="7" t="s">
        <v>32</v>
      </c>
      <c r="F3571" s="8">
        <v>2.0</v>
      </c>
      <c r="G3571" s="9">
        <v>1.0</v>
      </c>
    </row>
    <row r="3572" ht="14.25" hidden="1" customHeight="1">
      <c r="B3572" s="7" t="s">
        <v>13</v>
      </c>
      <c r="C3572" s="7" t="s">
        <v>7</v>
      </c>
      <c r="D3572" s="7" t="s">
        <v>11</v>
      </c>
      <c r="E3572" s="7" t="s">
        <v>8</v>
      </c>
      <c r="F3572" s="8">
        <v>2.0</v>
      </c>
      <c r="G3572" s="9">
        <v>1.0</v>
      </c>
    </row>
    <row r="3573" ht="14.25" hidden="1" customHeight="1">
      <c r="B3573" s="7" t="s">
        <v>13</v>
      </c>
      <c r="C3573" s="7" t="s">
        <v>29</v>
      </c>
      <c r="D3573" s="7" t="s">
        <v>9</v>
      </c>
      <c r="E3573" s="7" t="s">
        <v>33</v>
      </c>
      <c r="F3573" s="8">
        <v>2.0</v>
      </c>
      <c r="G3573" s="9">
        <v>2.0</v>
      </c>
    </row>
    <row r="3574" ht="14.25" hidden="1" customHeight="1">
      <c r="B3574" s="7" t="s">
        <v>13</v>
      </c>
      <c r="C3574" s="7" t="s">
        <v>7</v>
      </c>
      <c r="D3574" s="7" t="s">
        <v>9</v>
      </c>
      <c r="E3574" s="7" t="s">
        <v>33</v>
      </c>
      <c r="F3574" s="8">
        <v>2.0</v>
      </c>
      <c r="G3574" s="9">
        <v>1.0</v>
      </c>
    </row>
    <row r="3575" ht="14.25" hidden="1" customHeight="1">
      <c r="B3575" s="7" t="s">
        <v>13</v>
      </c>
      <c r="C3575" s="7" t="s">
        <v>29</v>
      </c>
      <c r="D3575" s="7" t="s">
        <v>9</v>
      </c>
      <c r="E3575" s="7" t="s">
        <v>28</v>
      </c>
      <c r="F3575" s="8">
        <v>2.0</v>
      </c>
      <c r="G3575" s="9">
        <v>2.0</v>
      </c>
    </row>
    <row r="3576" ht="14.25" hidden="1" customHeight="1">
      <c r="B3576" s="7" t="s">
        <v>13</v>
      </c>
      <c r="C3576" s="7" t="s">
        <v>7</v>
      </c>
      <c r="D3576" s="7" t="s">
        <v>9</v>
      </c>
      <c r="E3576" s="7" t="s">
        <v>28</v>
      </c>
      <c r="F3576" s="8">
        <v>2.0</v>
      </c>
      <c r="G3576" s="9">
        <v>1.0</v>
      </c>
    </row>
    <row r="3577" ht="14.25" hidden="1" customHeight="1">
      <c r="B3577" s="7" t="s">
        <v>13</v>
      </c>
      <c r="C3577" s="7" t="s">
        <v>7</v>
      </c>
      <c r="D3577" s="7" t="s">
        <v>9</v>
      </c>
      <c r="E3577" s="7" t="s">
        <v>31</v>
      </c>
      <c r="F3577" s="8">
        <v>2.0</v>
      </c>
      <c r="G3577" s="9">
        <v>1.0</v>
      </c>
    </row>
    <row r="3578" ht="14.25" hidden="1" customHeight="1">
      <c r="B3578" s="7" t="s">
        <v>13</v>
      </c>
      <c r="C3578" s="7" t="s">
        <v>7</v>
      </c>
      <c r="D3578" s="7" t="s">
        <v>9</v>
      </c>
      <c r="E3578" s="7" t="s">
        <v>8</v>
      </c>
      <c r="F3578" s="8">
        <v>2.0</v>
      </c>
      <c r="G3578" s="9">
        <v>1.0</v>
      </c>
    </row>
    <row r="3579" ht="14.25" hidden="1" customHeight="1">
      <c r="B3579" s="7" t="s">
        <v>13</v>
      </c>
      <c r="C3579" s="7" t="s">
        <v>7</v>
      </c>
      <c r="D3579" s="7" t="s">
        <v>24</v>
      </c>
      <c r="E3579" s="7" t="s">
        <v>31</v>
      </c>
      <c r="F3579" s="8">
        <v>2.0</v>
      </c>
      <c r="G3579" s="9">
        <v>1.0</v>
      </c>
    </row>
    <row r="3580" ht="14.25" hidden="1" customHeight="1">
      <c r="B3580" s="7" t="s">
        <v>13</v>
      </c>
      <c r="C3580" s="7" t="s">
        <v>7</v>
      </c>
      <c r="D3580" s="7" t="s">
        <v>10</v>
      </c>
      <c r="E3580" s="7" t="s">
        <v>33</v>
      </c>
      <c r="F3580" s="8">
        <v>2.0</v>
      </c>
      <c r="G3580" s="9">
        <v>2.0</v>
      </c>
    </row>
    <row r="3581" ht="14.25" hidden="1" customHeight="1">
      <c r="B3581" s="7" t="s">
        <v>13</v>
      </c>
      <c r="C3581" s="7" t="s">
        <v>7</v>
      </c>
      <c r="D3581" s="7" t="s">
        <v>10</v>
      </c>
      <c r="E3581" s="7" t="s">
        <v>35</v>
      </c>
      <c r="F3581" s="8">
        <v>2.0</v>
      </c>
      <c r="G3581" s="9">
        <v>1.0</v>
      </c>
    </row>
    <row r="3582" ht="14.25" hidden="1" customHeight="1">
      <c r="B3582" s="7" t="s">
        <v>13</v>
      </c>
      <c r="C3582" s="7" t="s">
        <v>29</v>
      </c>
      <c r="D3582" s="7" t="s">
        <v>10</v>
      </c>
      <c r="E3582" s="7" t="s">
        <v>9</v>
      </c>
      <c r="F3582" s="8">
        <v>2.0</v>
      </c>
      <c r="G3582" s="9">
        <v>2.0</v>
      </c>
    </row>
    <row r="3583" ht="14.25" hidden="1" customHeight="1">
      <c r="B3583" s="7" t="s">
        <v>13</v>
      </c>
      <c r="C3583" s="7" t="s">
        <v>7</v>
      </c>
      <c r="D3583" s="7" t="s">
        <v>10</v>
      </c>
      <c r="E3583" s="7" t="s">
        <v>31</v>
      </c>
      <c r="F3583" s="8">
        <v>2.0</v>
      </c>
      <c r="G3583" s="9">
        <v>1.0</v>
      </c>
    </row>
    <row r="3584" ht="14.25" hidden="1" customHeight="1">
      <c r="B3584" s="7" t="s">
        <v>13</v>
      </c>
      <c r="C3584" s="7" t="s">
        <v>30</v>
      </c>
      <c r="D3584" s="7" t="s">
        <v>10</v>
      </c>
      <c r="E3584" s="7" t="s">
        <v>31</v>
      </c>
      <c r="F3584" s="8">
        <v>2.0</v>
      </c>
      <c r="G3584" s="9">
        <v>1.0</v>
      </c>
    </row>
    <row r="3585" ht="14.25" hidden="1" customHeight="1">
      <c r="B3585" s="7" t="s">
        <v>13</v>
      </c>
      <c r="C3585" s="7" t="s">
        <v>7</v>
      </c>
      <c r="D3585" s="7" t="s">
        <v>32</v>
      </c>
      <c r="E3585" s="7" t="s">
        <v>33</v>
      </c>
      <c r="F3585" s="8">
        <v>2.0</v>
      </c>
      <c r="G3585" s="9">
        <v>1.0</v>
      </c>
    </row>
    <row r="3586" ht="14.25" hidden="1" customHeight="1">
      <c r="B3586" s="7" t="s">
        <v>13</v>
      </c>
      <c r="C3586" s="7" t="s">
        <v>7</v>
      </c>
      <c r="D3586" s="7" t="s">
        <v>32</v>
      </c>
      <c r="E3586" s="7" t="s">
        <v>33</v>
      </c>
      <c r="F3586" s="8">
        <v>2.0</v>
      </c>
      <c r="G3586" s="9">
        <v>1.0</v>
      </c>
    </row>
    <row r="3587" ht="14.25" hidden="1" customHeight="1">
      <c r="B3587" s="7" t="s">
        <v>13</v>
      </c>
      <c r="C3587" s="7" t="s">
        <v>30</v>
      </c>
      <c r="D3587" s="7" t="s">
        <v>32</v>
      </c>
      <c r="E3587" s="7" t="s">
        <v>33</v>
      </c>
      <c r="F3587" s="8">
        <v>2.0</v>
      </c>
      <c r="G3587" s="9">
        <v>1.0</v>
      </c>
    </row>
    <row r="3588" ht="14.25" hidden="1" customHeight="1">
      <c r="B3588" s="7" t="s">
        <v>13</v>
      </c>
      <c r="C3588" s="7" t="s">
        <v>29</v>
      </c>
      <c r="D3588" s="7" t="s">
        <v>32</v>
      </c>
      <c r="E3588" s="7" t="s">
        <v>28</v>
      </c>
      <c r="F3588" s="8">
        <v>2.0</v>
      </c>
      <c r="G3588" s="9">
        <v>2.0</v>
      </c>
    </row>
    <row r="3589" ht="14.25" hidden="1" customHeight="1">
      <c r="B3589" s="7" t="s">
        <v>13</v>
      </c>
      <c r="C3589" s="7" t="s">
        <v>30</v>
      </c>
      <c r="D3589" s="7" t="s">
        <v>32</v>
      </c>
      <c r="E3589" s="7" t="s">
        <v>24</v>
      </c>
      <c r="F3589" s="8">
        <v>2.0</v>
      </c>
      <c r="G3589" s="9">
        <v>1.0</v>
      </c>
    </row>
    <row r="3590" ht="14.25" hidden="1" customHeight="1">
      <c r="B3590" s="7" t="s">
        <v>13</v>
      </c>
      <c r="C3590" s="7" t="s">
        <v>7</v>
      </c>
      <c r="D3590" s="7" t="s">
        <v>32</v>
      </c>
      <c r="E3590" s="7" t="s">
        <v>31</v>
      </c>
      <c r="F3590" s="8">
        <v>2.0</v>
      </c>
      <c r="G3590" s="9">
        <v>1.0</v>
      </c>
    </row>
    <row r="3591" ht="14.25" hidden="1" customHeight="1">
      <c r="B3591" s="7" t="s">
        <v>13</v>
      </c>
      <c r="C3591" s="7" t="s">
        <v>7</v>
      </c>
      <c r="D3591" s="7" t="s">
        <v>32</v>
      </c>
      <c r="E3591" s="7" t="s">
        <v>8</v>
      </c>
      <c r="F3591" s="8">
        <v>2.0</v>
      </c>
      <c r="G3591" s="9">
        <v>1.0</v>
      </c>
    </row>
    <row r="3592" ht="14.25" hidden="1" customHeight="1">
      <c r="B3592" s="7" t="s">
        <v>13</v>
      </c>
      <c r="C3592" s="7" t="s">
        <v>29</v>
      </c>
      <c r="D3592" s="7" t="s">
        <v>31</v>
      </c>
      <c r="E3592" s="7" t="s">
        <v>25</v>
      </c>
      <c r="F3592" s="8">
        <v>2.0</v>
      </c>
      <c r="G3592" s="9">
        <v>2.0</v>
      </c>
    </row>
    <row r="3593" ht="14.25" hidden="1" customHeight="1">
      <c r="B3593" s="7" t="s">
        <v>13</v>
      </c>
      <c r="C3593" s="7" t="s">
        <v>7</v>
      </c>
      <c r="D3593" s="7" t="s">
        <v>31</v>
      </c>
      <c r="E3593" s="7" t="s">
        <v>33</v>
      </c>
      <c r="F3593" s="8">
        <v>2.0</v>
      </c>
      <c r="G3593" s="9">
        <v>1.0</v>
      </c>
    </row>
    <row r="3594" ht="14.25" hidden="1" customHeight="1">
      <c r="B3594" s="7" t="s">
        <v>13</v>
      </c>
      <c r="C3594" s="7" t="s">
        <v>30</v>
      </c>
      <c r="D3594" s="7" t="s">
        <v>31</v>
      </c>
      <c r="E3594" s="7" t="s">
        <v>33</v>
      </c>
      <c r="F3594" s="8">
        <v>2.0</v>
      </c>
      <c r="G3594" s="9">
        <v>1.0</v>
      </c>
    </row>
    <row r="3595" ht="14.25" hidden="1" customHeight="1">
      <c r="B3595" s="7" t="s">
        <v>13</v>
      </c>
      <c r="C3595" s="7" t="s">
        <v>7</v>
      </c>
      <c r="D3595" s="7" t="s">
        <v>31</v>
      </c>
      <c r="E3595" s="7" t="s">
        <v>28</v>
      </c>
      <c r="F3595" s="8">
        <v>2.0</v>
      </c>
      <c r="G3595" s="9">
        <v>1.0</v>
      </c>
    </row>
    <row r="3596" ht="14.25" hidden="1" customHeight="1">
      <c r="B3596" s="7" t="s">
        <v>13</v>
      </c>
      <c r="C3596" s="7" t="s">
        <v>7</v>
      </c>
      <c r="D3596" s="7" t="s">
        <v>31</v>
      </c>
      <c r="E3596" s="7" t="s">
        <v>28</v>
      </c>
      <c r="F3596" s="8">
        <v>2.0</v>
      </c>
      <c r="G3596" s="9">
        <v>1.0</v>
      </c>
    </row>
    <row r="3597" ht="14.25" hidden="1" customHeight="1">
      <c r="B3597" s="7" t="s">
        <v>13</v>
      </c>
      <c r="C3597" s="7" t="s">
        <v>36</v>
      </c>
      <c r="D3597" s="7" t="s">
        <v>31</v>
      </c>
      <c r="E3597" s="7" t="s">
        <v>9</v>
      </c>
      <c r="F3597" s="8">
        <v>2.0</v>
      </c>
      <c r="G3597" s="9">
        <v>2.0</v>
      </c>
    </row>
    <row r="3598" ht="14.25" hidden="1" customHeight="1">
      <c r="B3598" s="7" t="s">
        <v>13</v>
      </c>
      <c r="C3598" s="7" t="s">
        <v>7</v>
      </c>
      <c r="D3598" s="7" t="s">
        <v>31</v>
      </c>
      <c r="E3598" s="7" t="s">
        <v>9</v>
      </c>
      <c r="F3598" s="8">
        <v>2.0</v>
      </c>
      <c r="G3598" s="9">
        <v>1.0</v>
      </c>
    </row>
    <row r="3599" ht="14.25" hidden="1" customHeight="1">
      <c r="B3599" s="7" t="s">
        <v>13</v>
      </c>
      <c r="C3599" s="7" t="s">
        <v>7</v>
      </c>
      <c r="D3599" s="7" t="s">
        <v>31</v>
      </c>
      <c r="E3599" s="7" t="s">
        <v>10</v>
      </c>
      <c r="F3599" s="8">
        <v>2.0</v>
      </c>
      <c r="G3599" s="9">
        <v>1.0</v>
      </c>
    </row>
    <row r="3600" ht="14.25" hidden="1" customHeight="1">
      <c r="B3600" s="7" t="s">
        <v>13</v>
      </c>
      <c r="C3600" s="7" t="s">
        <v>30</v>
      </c>
      <c r="D3600" s="7" t="s">
        <v>31</v>
      </c>
      <c r="E3600" s="7" t="s">
        <v>8</v>
      </c>
      <c r="F3600" s="8">
        <v>2.0</v>
      </c>
      <c r="G3600" s="9">
        <v>1.0</v>
      </c>
    </row>
    <row r="3601" ht="14.25" hidden="1" customHeight="1">
      <c r="B3601" s="7" t="s">
        <v>13</v>
      </c>
      <c r="C3601" s="7" t="s">
        <v>7</v>
      </c>
      <c r="D3601" s="7" t="s">
        <v>8</v>
      </c>
      <c r="E3601" s="7" t="s">
        <v>33</v>
      </c>
      <c r="F3601" s="8">
        <v>2.0</v>
      </c>
      <c r="G3601" s="9">
        <v>2.0</v>
      </c>
    </row>
    <row r="3602" ht="14.25" hidden="1" customHeight="1">
      <c r="B3602" s="7" t="s">
        <v>13</v>
      </c>
      <c r="C3602" s="7" t="s">
        <v>36</v>
      </c>
      <c r="D3602" s="7" t="s">
        <v>8</v>
      </c>
      <c r="E3602" s="7" t="s">
        <v>9</v>
      </c>
      <c r="F3602" s="8">
        <v>2.0</v>
      </c>
      <c r="G3602" s="9">
        <v>2.0</v>
      </c>
    </row>
    <row r="3603" ht="14.25" hidden="1" customHeight="1">
      <c r="B3603" s="7" t="s">
        <v>13</v>
      </c>
      <c r="C3603" s="7" t="s">
        <v>7</v>
      </c>
      <c r="D3603" s="7" t="s">
        <v>8</v>
      </c>
      <c r="E3603" s="7" t="s">
        <v>9</v>
      </c>
      <c r="F3603" s="8">
        <v>2.0</v>
      </c>
      <c r="G3603" s="9">
        <v>1.0</v>
      </c>
    </row>
    <row r="3604" ht="14.25" hidden="1" customHeight="1">
      <c r="B3604" s="7" t="s">
        <v>13</v>
      </c>
      <c r="C3604" s="7" t="s">
        <v>36</v>
      </c>
      <c r="D3604" s="7" t="s">
        <v>8</v>
      </c>
      <c r="E3604" s="7" t="s">
        <v>24</v>
      </c>
      <c r="F3604" s="8">
        <v>2.0</v>
      </c>
      <c r="G3604" s="9">
        <v>2.0</v>
      </c>
    </row>
    <row r="3605" ht="14.25" hidden="1" customHeight="1">
      <c r="B3605" s="7" t="s">
        <v>13</v>
      </c>
      <c r="C3605" s="7" t="s">
        <v>29</v>
      </c>
      <c r="D3605" s="7" t="s">
        <v>25</v>
      </c>
      <c r="E3605" s="7" t="s">
        <v>33</v>
      </c>
      <c r="F3605" s="8">
        <v>1.0</v>
      </c>
      <c r="G3605" s="9">
        <v>1.0</v>
      </c>
    </row>
    <row r="3606" ht="14.25" hidden="1" customHeight="1">
      <c r="B3606" s="7" t="s">
        <v>13</v>
      </c>
      <c r="C3606" s="7" t="s">
        <v>29</v>
      </c>
      <c r="D3606" s="7" t="s">
        <v>25</v>
      </c>
      <c r="E3606" s="7" t="s">
        <v>31</v>
      </c>
      <c r="F3606" s="8">
        <v>1.0</v>
      </c>
      <c r="G3606" s="9">
        <v>1.0</v>
      </c>
    </row>
    <row r="3607" ht="14.25" hidden="1" customHeight="1">
      <c r="B3607" s="7" t="s">
        <v>13</v>
      </c>
      <c r="C3607" s="7" t="s">
        <v>29</v>
      </c>
      <c r="D3607" s="7" t="s">
        <v>33</v>
      </c>
      <c r="E3607" s="7" t="s">
        <v>9</v>
      </c>
      <c r="F3607" s="8">
        <v>1.0</v>
      </c>
      <c r="G3607" s="9">
        <v>1.0</v>
      </c>
    </row>
    <row r="3608" ht="14.25" hidden="1" customHeight="1">
      <c r="B3608" s="7" t="s">
        <v>13</v>
      </c>
      <c r="C3608" s="7" t="s">
        <v>29</v>
      </c>
      <c r="D3608" s="7" t="s">
        <v>33</v>
      </c>
      <c r="E3608" s="7" t="s">
        <v>32</v>
      </c>
      <c r="F3608" s="8">
        <v>1.0</v>
      </c>
      <c r="G3608" s="9">
        <v>1.0</v>
      </c>
    </row>
    <row r="3609" ht="14.25" hidden="1" customHeight="1">
      <c r="B3609" s="7" t="s">
        <v>13</v>
      </c>
      <c r="C3609" s="7" t="s">
        <v>29</v>
      </c>
      <c r="D3609" s="7" t="s">
        <v>33</v>
      </c>
      <c r="E3609" s="7" t="s">
        <v>31</v>
      </c>
      <c r="F3609" s="8">
        <v>1.0</v>
      </c>
      <c r="G3609" s="9">
        <v>1.0</v>
      </c>
    </row>
    <row r="3610" ht="14.25" hidden="1" customHeight="1">
      <c r="B3610" s="7" t="s">
        <v>13</v>
      </c>
      <c r="C3610" s="7" t="s">
        <v>29</v>
      </c>
      <c r="D3610" s="7" t="s">
        <v>33</v>
      </c>
      <c r="E3610" s="7" t="s">
        <v>31</v>
      </c>
      <c r="F3610" s="8">
        <v>1.0</v>
      </c>
      <c r="G3610" s="9">
        <v>1.0</v>
      </c>
    </row>
    <row r="3611" ht="14.25" hidden="1" customHeight="1">
      <c r="B3611" s="7" t="s">
        <v>13</v>
      </c>
      <c r="C3611" s="7" t="s">
        <v>29</v>
      </c>
      <c r="D3611" s="7" t="s">
        <v>28</v>
      </c>
      <c r="E3611" s="7" t="s">
        <v>25</v>
      </c>
      <c r="F3611" s="8">
        <v>1.0</v>
      </c>
      <c r="G3611" s="9">
        <v>1.0</v>
      </c>
    </row>
    <row r="3612" ht="14.25" hidden="1" customHeight="1">
      <c r="B3612" s="7" t="s">
        <v>13</v>
      </c>
      <c r="C3612" s="7" t="s">
        <v>29</v>
      </c>
      <c r="D3612" s="7" t="s">
        <v>28</v>
      </c>
      <c r="E3612" s="7" t="s">
        <v>8</v>
      </c>
      <c r="F3612" s="8">
        <v>1.0</v>
      </c>
      <c r="G3612" s="9">
        <v>1.0</v>
      </c>
    </row>
    <row r="3613" ht="14.25" hidden="1" customHeight="1">
      <c r="B3613" s="7" t="s">
        <v>13</v>
      </c>
      <c r="C3613" s="7" t="s">
        <v>36</v>
      </c>
      <c r="D3613" s="7" t="s">
        <v>11</v>
      </c>
      <c r="E3613" s="7" t="s">
        <v>10</v>
      </c>
      <c r="F3613" s="8">
        <v>1.0</v>
      </c>
      <c r="G3613" s="9">
        <v>1.0</v>
      </c>
    </row>
    <row r="3614" ht="14.25" hidden="1" customHeight="1">
      <c r="B3614" s="7" t="s">
        <v>13</v>
      </c>
      <c r="C3614" s="7" t="s">
        <v>29</v>
      </c>
      <c r="D3614" s="7" t="s">
        <v>11</v>
      </c>
      <c r="E3614" s="7" t="s">
        <v>31</v>
      </c>
      <c r="F3614" s="8">
        <v>1.0</v>
      </c>
      <c r="G3614" s="9">
        <v>1.0</v>
      </c>
    </row>
    <row r="3615" ht="14.25" hidden="1" customHeight="1">
      <c r="B3615" s="7" t="s">
        <v>13</v>
      </c>
      <c r="C3615" s="7" t="s">
        <v>29</v>
      </c>
      <c r="D3615" s="7" t="s">
        <v>9</v>
      </c>
      <c r="E3615" s="7" t="s">
        <v>32</v>
      </c>
      <c r="F3615" s="8">
        <v>1.0</v>
      </c>
      <c r="G3615" s="9">
        <v>1.0</v>
      </c>
    </row>
    <row r="3616" ht="14.25" hidden="1" customHeight="1">
      <c r="B3616" s="7" t="s">
        <v>13</v>
      </c>
      <c r="C3616" s="7" t="s">
        <v>29</v>
      </c>
      <c r="D3616" s="7" t="s">
        <v>10</v>
      </c>
      <c r="E3616" s="7" t="s">
        <v>33</v>
      </c>
      <c r="F3616" s="8">
        <v>1.0</v>
      </c>
      <c r="G3616" s="9">
        <v>1.0</v>
      </c>
    </row>
    <row r="3617" ht="14.25" hidden="1" customHeight="1">
      <c r="B3617" s="7" t="s">
        <v>13</v>
      </c>
      <c r="C3617" s="7" t="s">
        <v>36</v>
      </c>
      <c r="D3617" s="7" t="s">
        <v>10</v>
      </c>
      <c r="E3617" s="7" t="s">
        <v>28</v>
      </c>
      <c r="F3617" s="8">
        <v>1.0</v>
      </c>
      <c r="G3617" s="9">
        <v>1.0</v>
      </c>
    </row>
    <row r="3618" ht="14.25" hidden="1" customHeight="1">
      <c r="B3618" s="7" t="s">
        <v>13</v>
      </c>
      <c r="C3618" s="7" t="s">
        <v>29</v>
      </c>
      <c r="D3618" s="7" t="s">
        <v>31</v>
      </c>
      <c r="E3618" s="7" t="s">
        <v>33</v>
      </c>
      <c r="F3618" s="8">
        <v>1.0</v>
      </c>
      <c r="G3618" s="9">
        <v>1.0</v>
      </c>
    </row>
    <row r="3619" ht="14.25" hidden="1" customHeight="1">
      <c r="B3619" s="7" t="s">
        <v>13</v>
      </c>
      <c r="C3619" s="7" t="s">
        <v>36</v>
      </c>
      <c r="D3619" s="7" t="s">
        <v>31</v>
      </c>
      <c r="E3619" s="7" t="s">
        <v>28</v>
      </c>
      <c r="F3619" s="8">
        <v>1.0</v>
      </c>
      <c r="G3619" s="9">
        <v>1.0</v>
      </c>
    </row>
    <row r="3620" ht="14.25" hidden="1" customHeight="1">
      <c r="B3620" s="7" t="s">
        <v>13</v>
      </c>
      <c r="C3620" s="7" t="s">
        <v>36</v>
      </c>
      <c r="D3620" s="7" t="s">
        <v>8</v>
      </c>
      <c r="E3620" s="7" t="s">
        <v>33</v>
      </c>
      <c r="F3620" s="8">
        <v>1.0</v>
      </c>
      <c r="G3620" s="9">
        <v>1.0</v>
      </c>
    </row>
    <row r="3621" ht="14.25" hidden="1" customHeight="1">
      <c r="B3621" s="7" t="s">
        <v>13</v>
      </c>
      <c r="C3621" s="7" t="s">
        <v>36</v>
      </c>
      <c r="D3621" s="7" t="s">
        <v>8</v>
      </c>
      <c r="E3621" s="7" t="s">
        <v>28</v>
      </c>
      <c r="F3621" s="8">
        <v>1.0</v>
      </c>
      <c r="G3621" s="9">
        <v>1.0</v>
      </c>
    </row>
    <row r="3622" ht="14.25" hidden="1" customHeight="1">
      <c r="B3622" s="7" t="s">
        <v>13</v>
      </c>
      <c r="C3622" s="7" t="s">
        <v>29</v>
      </c>
      <c r="D3622" s="7" t="s">
        <v>8</v>
      </c>
      <c r="E3622" s="7" t="s">
        <v>35</v>
      </c>
      <c r="F3622" s="8">
        <v>1.0</v>
      </c>
      <c r="G3622" s="9">
        <v>1.0</v>
      </c>
    </row>
    <row r="3623" ht="14.25" hidden="1" customHeight="1">
      <c r="B3623" s="7" t="s">
        <v>13</v>
      </c>
      <c r="C3623" s="7" t="s">
        <v>29</v>
      </c>
      <c r="D3623" s="7" t="s">
        <v>8</v>
      </c>
      <c r="E3623" s="7" t="s">
        <v>9</v>
      </c>
      <c r="F3623" s="8">
        <v>1.0</v>
      </c>
      <c r="G3623" s="9">
        <v>1.0</v>
      </c>
    </row>
    <row r="3624" ht="14.25" hidden="1" customHeight="1">
      <c r="B3624" s="7" t="s">
        <v>13</v>
      </c>
      <c r="C3624" s="7" t="s">
        <v>29</v>
      </c>
      <c r="D3624" s="7" t="s">
        <v>8</v>
      </c>
      <c r="E3624" s="7" t="s">
        <v>10</v>
      </c>
      <c r="F3624" s="8">
        <v>1.0</v>
      </c>
      <c r="G3624" s="9">
        <v>1.0</v>
      </c>
    </row>
    <row r="3625" ht="14.25" hidden="1" customHeight="1">
      <c r="B3625" s="7" t="s">
        <v>22</v>
      </c>
      <c r="C3625" s="7" t="s">
        <v>7</v>
      </c>
      <c r="D3625" s="7" t="s">
        <v>25</v>
      </c>
      <c r="E3625" s="7" t="s">
        <v>8</v>
      </c>
      <c r="F3625" s="8">
        <v>6070.0</v>
      </c>
      <c r="G3625" s="9">
        <v>3035.0</v>
      </c>
    </row>
    <row r="3626" ht="14.25" hidden="1" customHeight="1">
      <c r="B3626" s="7" t="s">
        <v>22</v>
      </c>
      <c r="C3626" s="7" t="s">
        <v>7</v>
      </c>
      <c r="D3626" s="7" t="s">
        <v>8</v>
      </c>
      <c r="E3626" s="7" t="s">
        <v>9</v>
      </c>
      <c r="F3626" s="8">
        <v>5328.0</v>
      </c>
      <c r="G3626" s="9">
        <v>2664.0</v>
      </c>
    </row>
    <row r="3627" ht="14.25" hidden="1" customHeight="1">
      <c r="B3627" s="7" t="s">
        <v>22</v>
      </c>
      <c r="C3627" s="7" t="s">
        <v>7</v>
      </c>
      <c r="D3627" s="7" t="s">
        <v>25</v>
      </c>
      <c r="E3627" s="7" t="s">
        <v>8</v>
      </c>
      <c r="F3627" s="8">
        <v>3746.0</v>
      </c>
      <c r="G3627" s="9">
        <v>1873.0</v>
      </c>
    </row>
    <row r="3628" ht="14.25" hidden="1" customHeight="1">
      <c r="B3628" s="7" t="s">
        <v>22</v>
      </c>
      <c r="C3628" s="7" t="s">
        <v>7</v>
      </c>
      <c r="D3628" s="7" t="s">
        <v>10</v>
      </c>
      <c r="E3628" s="7" t="s">
        <v>11</v>
      </c>
      <c r="F3628" s="8">
        <v>3624.0</v>
      </c>
      <c r="G3628" s="9">
        <v>1812.0</v>
      </c>
    </row>
    <row r="3629" ht="14.25" hidden="1" customHeight="1">
      <c r="B3629" s="7" t="s">
        <v>22</v>
      </c>
      <c r="C3629" s="7" t="s">
        <v>29</v>
      </c>
      <c r="D3629" s="7" t="s">
        <v>11</v>
      </c>
      <c r="E3629" s="7" t="s">
        <v>10</v>
      </c>
      <c r="F3629" s="8">
        <v>3365.0</v>
      </c>
      <c r="G3629" s="9">
        <v>3365.0</v>
      </c>
    </row>
    <row r="3630" ht="14.25" hidden="1" customHeight="1">
      <c r="B3630" s="7" t="s">
        <v>22</v>
      </c>
      <c r="C3630" s="7" t="s">
        <v>7</v>
      </c>
      <c r="D3630" s="7" t="s">
        <v>8</v>
      </c>
      <c r="E3630" s="7" t="s">
        <v>28</v>
      </c>
      <c r="F3630" s="8">
        <v>3042.0</v>
      </c>
      <c r="G3630" s="9">
        <v>1521.0</v>
      </c>
    </row>
    <row r="3631" ht="14.25" hidden="1" customHeight="1">
      <c r="B3631" s="7" t="s">
        <v>22</v>
      </c>
      <c r="C3631" s="7" t="s">
        <v>7</v>
      </c>
      <c r="D3631" s="7" t="s">
        <v>8</v>
      </c>
      <c r="E3631" s="7" t="s">
        <v>25</v>
      </c>
      <c r="F3631" s="8">
        <v>2838.0</v>
      </c>
      <c r="G3631" s="9">
        <v>1419.0</v>
      </c>
    </row>
    <row r="3632" ht="14.25" hidden="1" customHeight="1">
      <c r="B3632" s="7" t="s">
        <v>22</v>
      </c>
      <c r="C3632" s="7" t="s">
        <v>7</v>
      </c>
      <c r="D3632" s="7" t="s">
        <v>8</v>
      </c>
      <c r="E3632" s="7" t="s">
        <v>11</v>
      </c>
      <c r="F3632" s="8">
        <v>2330.0</v>
      </c>
      <c r="G3632" s="9">
        <v>1165.0</v>
      </c>
    </row>
    <row r="3633" ht="14.25" hidden="1" customHeight="1">
      <c r="B3633" s="7" t="s">
        <v>22</v>
      </c>
      <c r="C3633" s="7" t="s">
        <v>7</v>
      </c>
      <c r="D3633" s="7" t="s">
        <v>31</v>
      </c>
      <c r="E3633" s="7" t="s">
        <v>28</v>
      </c>
      <c r="F3633" s="8">
        <v>2286.0</v>
      </c>
      <c r="G3633" s="9">
        <v>1143.0</v>
      </c>
    </row>
    <row r="3634" ht="14.25" hidden="1" customHeight="1">
      <c r="B3634" s="7" t="s">
        <v>22</v>
      </c>
      <c r="C3634" s="7" t="s">
        <v>7</v>
      </c>
      <c r="D3634" s="7" t="s">
        <v>8</v>
      </c>
      <c r="E3634" s="7" t="s">
        <v>24</v>
      </c>
      <c r="F3634" s="8">
        <v>2264.0</v>
      </c>
      <c r="G3634" s="9">
        <v>1132.0</v>
      </c>
    </row>
    <row r="3635" ht="14.25" hidden="1" customHeight="1">
      <c r="B3635" s="7" t="s">
        <v>22</v>
      </c>
      <c r="C3635" s="7" t="s">
        <v>7</v>
      </c>
      <c r="D3635" s="7" t="s">
        <v>9</v>
      </c>
      <c r="E3635" s="7" t="s">
        <v>25</v>
      </c>
      <c r="F3635" s="8">
        <v>2236.0</v>
      </c>
      <c r="G3635" s="9">
        <v>1118.0</v>
      </c>
    </row>
    <row r="3636" ht="14.25" hidden="1" customHeight="1">
      <c r="B3636" s="7" t="s">
        <v>22</v>
      </c>
      <c r="C3636" s="7" t="s">
        <v>7</v>
      </c>
      <c r="D3636" s="7" t="s">
        <v>31</v>
      </c>
      <c r="E3636" s="7" t="s">
        <v>9</v>
      </c>
      <c r="F3636" s="8">
        <v>2096.0</v>
      </c>
      <c r="G3636" s="9">
        <v>1048.0</v>
      </c>
    </row>
    <row r="3637" ht="14.25" hidden="1" customHeight="1">
      <c r="B3637" s="7" t="s">
        <v>22</v>
      </c>
      <c r="C3637" s="7" t="s">
        <v>7</v>
      </c>
      <c r="D3637" s="7" t="s">
        <v>25</v>
      </c>
      <c r="E3637" s="7" t="s">
        <v>9</v>
      </c>
      <c r="F3637" s="8">
        <v>2032.0</v>
      </c>
      <c r="G3637" s="9">
        <v>1016.0</v>
      </c>
    </row>
    <row r="3638" ht="14.25" hidden="1" customHeight="1">
      <c r="B3638" s="7" t="s">
        <v>22</v>
      </c>
      <c r="C3638" s="7" t="s">
        <v>7</v>
      </c>
      <c r="D3638" s="7" t="s">
        <v>31</v>
      </c>
      <c r="E3638" s="7" t="s">
        <v>25</v>
      </c>
      <c r="F3638" s="8">
        <v>1642.0</v>
      </c>
      <c r="G3638" s="9">
        <v>821.0</v>
      </c>
    </row>
    <row r="3639" ht="14.25" hidden="1" customHeight="1">
      <c r="B3639" s="7" t="s">
        <v>22</v>
      </c>
      <c r="C3639" s="7" t="s">
        <v>7</v>
      </c>
      <c r="D3639" s="7" t="s">
        <v>33</v>
      </c>
      <c r="E3639" s="7" t="s">
        <v>8</v>
      </c>
      <c r="F3639" s="8">
        <v>1348.0</v>
      </c>
      <c r="G3639" s="9">
        <v>674.0</v>
      </c>
    </row>
    <row r="3640" ht="14.25" hidden="1" customHeight="1">
      <c r="B3640" s="7" t="s">
        <v>22</v>
      </c>
      <c r="C3640" s="7" t="s">
        <v>7</v>
      </c>
      <c r="D3640" s="7" t="s">
        <v>28</v>
      </c>
      <c r="E3640" s="7" t="s">
        <v>25</v>
      </c>
      <c r="F3640" s="8">
        <v>1318.0</v>
      </c>
      <c r="G3640" s="9">
        <v>659.0</v>
      </c>
    </row>
    <row r="3641" ht="14.25" hidden="1" customHeight="1">
      <c r="B3641" s="7" t="s">
        <v>22</v>
      </c>
      <c r="C3641" s="7" t="s">
        <v>30</v>
      </c>
      <c r="D3641" s="7" t="s">
        <v>31</v>
      </c>
      <c r="E3641" s="7" t="s">
        <v>25</v>
      </c>
      <c r="F3641" s="8">
        <v>1246.0</v>
      </c>
      <c r="G3641" s="9">
        <v>623.0</v>
      </c>
    </row>
    <row r="3642" ht="14.25" hidden="1" customHeight="1">
      <c r="B3642" s="7" t="s">
        <v>22</v>
      </c>
      <c r="C3642" s="7" t="s">
        <v>29</v>
      </c>
      <c r="D3642" s="7" t="s">
        <v>31</v>
      </c>
      <c r="E3642" s="7" t="s">
        <v>9</v>
      </c>
      <c r="F3642" s="8">
        <v>1239.0</v>
      </c>
      <c r="G3642" s="9">
        <v>1239.0</v>
      </c>
    </row>
    <row r="3643" ht="14.25" hidden="1" customHeight="1">
      <c r="B3643" s="7" t="s">
        <v>22</v>
      </c>
      <c r="C3643" s="7" t="s">
        <v>7</v>
      </c>
      <c r="D3643" s="7" t="s">
        <v>31</v>
      </c>
      <c r="E3643" s="7" t="s">
        <v>9</v>
      </c>
      <c r="F3643" s="8">
        <v>1174.0</v>
      </c>
      <c r="G3643" s="9">
        <v>587.0</v>
      </c>
    </row>
    <row r="3644" ht="14.25" hidden="1" customHeight="1">
      <c r="B3644" s="7" t="s">
        <v>22</v>
      </c>
      <c r="C3644" s="7" t="s">
        <v>7</v>
      </c>
      <c r="D3644" s="7" t="s">
        <v>25</v>
      </c>
      <c r="E3644" s="7" t="s">
        <v>28</v>
      </c>
      <c r="F3644" s="8">
        <v>1156.0</v>
      </c>
      <c r="G3644" s="9">
        <v>578.0</v>
      </c>
    </row>
    <row r="3645" ht="14.25" hidden="1" customHeight="1">
      <c r="B3645" s="7" t="s">
        <v>22</v>
      </c>
      <c r="C3645" s="7" t="s">
        <v>7</v>
      </c>
      <c r="D3645" s="7" t="s">
        <v>25</v>
      </c>
      <c r="E3645" s="7" t="s">
        <v>10</v>
      </c>
      <c r="F3645" s="8">
        <v>1146.0</v>
      </c>
      <c r="G3645" s="9">
        <v>573.0</v>
      </c>
    </row>
    <row r="3646" ht="14.25" hidden="1" customHeight="1">
      <c r="B3646" s="7" t="s">
        <v>22</v>
      </c>
      <c r="C3646" s="7" t="s">
        <v>7</v>
      </c>
      <c r="D3646" s="7" t="s">
        <v>33</v>
      </c>
      <c r="E3646" s="7" t="s">
        <v>8</v>
      </c>
      <c r="F3646" s="8">
        <v>1064.0</v>
      </c>
      <c r="G3646" s="9">
        <v>532.0</v>
      </c>
    </row>
    <row r="3647" ht="14.25" hidden="1" customHeight="1">
      <c r="B3647" s="7" t="s">
        <v>22</v>
      </c>
      <c r="C3647" s="7" t="s">
        <v>7</v>
      </c>
      <c r="D3647" s="7" t="s">
        <v>28</v>
      </c>
      <c r="E3647" s="7" t="s">
        <v>8</v>
      </c>
      <c r="F3647" s="8">
        <v>1038.0</v>
      </c>
      <c r="G3647" s="9">
        <v>519.0</v>
      </c>
    </row>
    <row r="3648" ht="14.25" hidden="1" customHeight="1">
      <c r="B3648" s="7" t="s">
        <v>22</v>
      </c>
      <c r="C3648" s="7" t="s">
        <v>7</v>
      </c>
      <c r="D3648" s="7" t="s">
        <v>25</v>
      </c>
      <c r="E3648" s="7" t="s">
        <v>31</v>
      </c>
      <c r="F3648" s="8">
        <v>940.0</v>
      </c>
      <c r="G3648" s="9">
        <v>470.0</v>
      </c>
    </row>
    <row r="3649" ht="14.25" hidden="1" customHeight="1">
      <c r="B3649" s="7" t="s">
        <v>22</v>
      </c>
      <c r="C3649" s="7" t="s">
        <v>29</v>
      </c>
      <c r="D3649" s="7" t="s">
        <v>10</v>
      </c>
      <c r="E3649" s="7" t="s">
        <v>11</v>
      </c>
      <c r="F3649" s="8">
        <v>913.0</v>
      </c>
      <c r="G3649" s="9">
        <v>913.0</v>
      </c>
    </row>
    <row r="3650" ht="14.25" hidden="1" customHeight="1">
      <c r="B3650" s="7" t="s">
        <v>22</v>
      </c>
      <c r="C3650" s="7" t="s">
        <v>30</v>
      </c>
      <c r="D3650" s="7" t="s">
        <v>31</v>
      </c>
      <c r="E3650" s="7" t="s">
        <v>28</v>
      </c>
      <c r="F3650" s="8">
        <v>862.0</v>
      </c>
      <c r="G3650" s="9">
        <v>431.0</v>
      </c>
    </row>
    <row r="3651" ht="14.25" hidden="1" customHeight="1">
      <c r="B3651" s="7" t="s">
        <v>22</v>
      </c>
      <c r="C3651" s="7" t="s">
        <v>29</v>
      </c>
      <c r="D3651" s="7" t="s">
        <v>31</v>
      </c>
      <c r="E3651" s="7" t="s">
        <v>28</v>
      </c>
      <c r="F3651" s="8">
        <v>838.0</v>
      </c>
      <c r="G3651" s="9">
        <v>838.0</v>
      </c>
    </row>
    <row r="3652" ht="14.25" hidden="1" customHeight="1">
      <c r="B3652" s="7" t="s">
        <v>22</v>
      </c>
      <c r="C3652" s="7" t="s">
        <v>7</v>
      </c>
      <c r="D3652" s="7" t="s">
        <v>10</v>
      </c>
      <c r="E3652" s="7" t="s">
        <v>9</v>
      </c>
      <c r="F3652" s="8">
        <v>826.0</v>
      </c>
      <c r="G3652" s="9">
        <v>413.0</v>
      </c>
    </row>
    <row r="3653" ht="14.25" hidden="1" customHeight="1">
      <c r="B3653" s="7" t="s">
        <v>22</v>
      </c>
      <c r="C3653" s="7" t="s">
        <v>7</v>
      </c>
      <c r="D3653" s="7" t="s">
        <v>8</v>
      </c>
      <c r="E3653" s="7" t="s">
        <v>33</v>
      </c>
      <c r="F3653" s="8">
        <v>790.0</v>
      </c>
      <c r="G3653" s="9">
        <v>395.0</v>
      </c>
    </row>
    <row r="3654" ht="14.25" hidden="1" customHeight="1">
      <c r="B3654" s="7" t="s">
        <v>22</v>
      </c>
      <c r="C3654" s="7" t="s">
        <v>29</v>
      </c>
      <c r="D3654" s="7" t="s">
        <v>9</v>
      </c>
      <c r="E3654" s="7" t="s">
        <v>8</v>
      </c>
      <c r="F3654" s="8">
        <v>741.0</v>
      </c>
      <c r="G3654" s="9">
        <v>741.0</v>
      </c>
    </row>
    <row r="3655" ht="14.25" hidden="1" customHeight="1">
      <c r="B3655" s="7" t="s">
        <v>22</v>
      </c>
      <c r="C3655" s="7" t="s">
        <v>7</v>
      </c>
      <c r="D3655" s="7" t="s">
        <v>9</v>
      </c>
      <c r="E3655" s="7" t="s">
        <v>31</v>
      </c>
      <c r="F3655" s="8">
        <v>688.0</v>
      </c>
      <c r="G3655" s="9">
        <v>344.0</v>
      </c>
    </row>
    <row r="3656" ht="14.25" hidden="1" customHeight="1">
      <c r="B3656" s="7" t="s">
        <v>22</v>
      </c>
      <c r="C3656" s="7" t="s">
        <v>7</v>
      </c>
      <c r="D3656" s="7" t="s">
        <v>11</v>
      </c>
      <c r="E3656" s="7" t="s">
        <v>10</v>
      </c>
      <c r="F3656" s="8">
        <v>684.0</v>
      </c>
      <c r="G3656" s="9">
        <v>342.0</v>
      </c>
    </row>
    <row r="3657" ht="14.25" hidden="1" customHeight="1">
      <c r="B3657" s="7" t="s">
        <v>22</v>
      </c>
      <c r="C3657" s="7" t="s">
        <v>30</v>
      </c>
      <c r="D3657" s="7" t="s">
        <v>31</v>
      </c>
      <c r="E3657" s="7" t="s">
        <v>9</v>
      </c>
      <c r="F3657" s="8">
        <v>672.0</v>
      </c>
      <c r="G3657" s="9">
        <v>336.0</v>
      </c>
    </row>
    <row r="3658" ht="14.25" hidden="1" customHeight="1">
      <c r="B3658" s="7" t="s">
        <v>22</v>
      </c>
      <c r="C3658" s="7" t="s">
        <v>7</v>
      </c>
      <c r="D3658" s="7" t="s">
        <v>31</v>
      </c>
      <c r="E3658" s="7" t="s">
        <v>24</v>
      </c>
      <c r="F3658" s="8">
        <v>670.0</v>
      </c>
      <c r="G3658" s="9">
        <v>335.0</v>
      </c>
    </row>
    <row r="3659" ht="14.25" hidden="1" customHeight="1">
      <c r="B3659" s="7" t="s">
        <v>22</v>
      </c>
      <c r="C3659" s="7" t="s">
        <v>7</v>
      </c>
      <c r="D3659" s="7" t="s">
        <v>8</v>
      </c>
      <c r="E3659" s="7" t="s">
        <v>28</v>
      </c>
      <c r="F3659" s="8">
        <v>642.0</v>
      </c>
      <c r="G3659" s="9">
        <v>321.0</v>
      </c>
    </row>
    <row r="3660" ht="14.25" hidden="1" customHeight="1">
      <c r="B3660" s="7" t="s">
        <v>22</v>
      </c>
      <c r="C3660" s="7" t="s">
        <v>7</v>
      </c>
      <c r="D3660" s="7" t="s">
        <v>32</v>
      </c>
      <c r="E3660" s="7" t="s">
        <v>28</v>
      </c>
      <c r="F3660" s="8">
        <v>638.0</v>
      </c>
      <c r="G3660" s="9">
        <v>319.0</v>
      </c>
    </row>
    <row r="3661" ht="14.25" hidden="1" customHeight="1">
      <c r="B3661" s="7" t="s">
        <v>22</v>
      </c>
      <c r="C3661" s="7" t="s">
        <v>29</v>
      </c>
      <c r="D3661" s="7" t="s">
        <v>8</v>
      </c>
      <c r="E3661" s="7" t="s">
        <v>24</v>
      </c>
      <c r="F3661" s="8">
        <v>623.0</v>
      </c>
      <c r="G3661" s="9">
        <v>623.0</v>
      </c>
    </row>
    <row r="3662" ht="14.25" hidden="1" customHeight="1">
      <c r="B3662" s="7" t="s">
        <v>22</v>
      </c>
      <c r="C3662" s="7" t="s">
        <v>7</v>
      </c>
      <c r="D3662" s="7" t="s">
        <v>9</v>
      </c>
      <c r="E3662" s="7" t="s">
        <v>8</v>
      </c>
      <c r="F3662" s="8">
        <v>574.0</v>
      </c>
      <c r="G3662" s="9">
        <v>287.0</v>
      </c>
    </row>
    <row r="3663" ht="14.25" hidden="1" customHeight="1">
      <c r="B3663" s="7" t="s">
        <v>22</v>
      </c>
      <c r="C3663" s="7" t="s">
        <v>29</v>
      </c>
      <c r="D3663" s="7" t="s">
        <v>32</v>
      </c>
      <c r="E3663" s="7" t="s">
        <v>28</v>
      </c>
      <c r="F3663" s="8">
        <v>568.0</v>
      </c>
      <c r="G3663" s="9">
        <v>568.0</v>
      </c>
    </row>
    <row r="3664" ht="14.25" hidden="1" customHeight="1">
      <c r="B3664" s="7" t="s">
        <v>22</v>
      </c>
      <c r="C3664" s="7" t="s">
        <v>29</v>
      </c>
      <c r="D3664" s="7" t="s">
        <v>8</v>
      </c>
      <c r="E3664" s="7" t="s">
        <v>9</v>
      </c>
      <c r="F3664" s="8">
        <v>562.0</v>
      </c>
      <c r="G3664" s="9">
        <v>562.0</v>
      </c>
    </row>
    <row r="3665" ht="14.25" hidden="1" customHeight="1">
      <c r="B3665" s="7" t="s">
        <v>22</v>
      </c>
      <c r="C3665" s="7" t="s">
        <v>7</v>
      </c>
      <c r="D3665" s="7" t="s">
        <v>32</v>
      </c>
      <c r="E3665" s="7" t="s">
        <v>9</v>
      </c>
      <c r="F3665" s="8">
        <v>554.0</v>
      </c>
      <c r="G3665" s="9">
        <v>277.0</v>
      </c>
    </row>
    <row r="3666" ht="14.25" hidden="1" customHeight="1">
      <c r="B3666" s="7" t="s">
        <v>22</v>
      </c>
      <c r="C3666" s="7" t="s">
        <v>29</v>
      </c>
      <c r="D3666" s="7" t="s">
        <v>32</v>
      </c>
      <c r="E3666" s="7" t="s">
        <v>9</v>
      </c>
      <c r="F3666" s="8">
        <v>552.0</v>
      </c>
      <c r="G3666" s="9">
        <v>552.0</v>
      </c>
    </row>
    <row r="3667" ht="14.25" hidden="1" customHeight="1">
      <c r="B3667" s="7" t="s">
        <v>22</v>
      </c>
      <c r="C3667" s="7" t="s">
        <v>30</v>
      </c>
      <c r="D3667" s="7" t="s">
        <v>8</v>
      </c>
      <c r="E3667" s="7" t="s">
        <v>24</v>
      </c>
      <c r="F3667" s="8">
        <v>550.0</v>
      </c>
      <c r="G3667" s="9">
        <v>275.0</v>
      </c>
    </row>
    <row r="3668" ht="14.25" hidden="1" customHeight="1">
      <c r="B3668" s="7" t="s">
        <v>22</v>
      </c>
      <c r="C3668" s="7" t="s">
        <v>7</v>
      </c>
      <c r="D3668" s="7" t="s">
        <v>9</v>
      </c>
      <c r="E3668" s="7" t="s">
        <v>8</v>
      </c>
      <c r="F3668" s="8">
        <v>544.0</v>
      </c>
      <c r="G3668" s="9">
        <v>272.0</v>
      </c>
    </row>
    <row r="3669" ht="14.25" hidden="1" customHeight="1">
      <c r="B3669" s="7" t="s">
        <v>22</v>
      </c>
      <c r="C3669" s="7" t="s">
        <v>7</v>
      </c>
      <c r="D3669" s="7" t="s">
        <v>31</v>
      </c>
      <c r="E3669" s="7" t="s">
        <v>28</v>
      </c>
      <c r="F3669" s="8">
        <v>532.0</v>
      </c>
      <c r="G3669" s="9">
        <v>266.0</v>
      </c>
    </row>
    <row r="3670" ht="14.25" customHeight="1">
      <c r="B3670" s="7" t="s">
        <v>22</v>
      </c>
      <c r="C3670" s="7" t="s">
        <v>7</v>
      </c>
      <c r="D3670" s="7" t="s">
        <v>8</v>
      </c>
      <c r="E3670" s="7" t="s">
        <v>31</v>
      </c>
      <c r="F3670" s="8">
        <v>528.0</v>
      </c>
      <c r="G3670" s="9">
        <v>264.0</v>
      </c>
    </row>
    <row r="3671" ht="14.25" customHeight="1">
      <c r="B3671" s="7" t="s">
        <v>22</v>
      </c>
      <c r="C3671" s="7" t="s">
        <v>7</v>
      </c>
      <c r="D3671" s="7" t="s">
        <v>8</v>
      </c>
      <c r="E3671" s="7" t="s">
        <v>31</v>
      </c>
      <c r="F3671" s="8">
        <v>508.0</v>
      </c>
      <c r="G3671" s="9">
        <v>254.0</v>
      </c>
    </row>
    <row r="3672" ht="14.25" customHeight="1">
      <c r="B3672" s="7" t="s">
        <v>22</v>
      </c>
      <c r="C3672" s="7" t="s">
        <v>7</v>
      </c>
      <c r="D3672" s="7" t="s">
        <v>8</v>
      </c>
      <c r="E3672" s="7" t="s">
        <v>31</v>
      </c>
      <c r="F3672" s="8">
        <v>502.0</v>
      </c>
      <c r="G3672" s="9">
        <v>251.0</v>
      </c>
    </row>
    <row r="3673" ht="14.25" customHeight="1">
      <c r="B3673" s="7" t="s">
        <v>22</v>
      </c>
      <c r="C3673" s="7" t="s">
        <v>30</v>
      </c>
      <c r="D3673" s="7" t="s">
        <v>8</v>
      </c>
      <c r="E3673" s="7" t="s">
        <v>31</v>
      </c>
      <c r="F3673" s="8">
        <v>502.0</v>
      </c>
      <c r="G3673" s="9">
        <v>251.0</v>
      </c>
    </row>
    <row r="3674" ht="14.25" hidden="1" customHeight="1">
      <c r="B3674" s="7" t="s">
        <v>22</v>
      </c>
      <c r="C3674" s="7" t="s">
        <v>30</v>
      </c>
      <c r="D3674" s="7" t="s">
        <v>8</v>
      </c>
      <c r="E3674" s="7" t="s">
        <v>28</v>
      </c>
      <c r="F3674" s="8">
        <v>492.0</v>
      </c>
      <c r="G3674" s="9">
        <v>246.0</v>
      </c>
    </row>
    <row r="3675" ht="14.25" hidden="1" customHeight="1">
      <c r="B3675" s="7" t="s">
        <v>22</v>
      </c>
      <c r="C3675" s="7" t="s">
        <v>7</v>
      </c>
      <c r="D3675" s="7" t="s">
        <v>8</v>
      </c>
      <c r="E3675" s="7" t="s">
        <v>10</v>
      </c>
      <c r="F3675" s="8">
        <v>490.0</v>
      </c>
      <c r="G3675" s="9">
        <v>245.0</v>
      </c>
    </row>
    <row r="3676" ht="14.25" hidden="1" customHeight="1">
      <c r="B3676" s="7" t="s">
        <v>22</v>
      </c>
      <c r="C3676" s="7" t="s">
        <v>7</v>
      </c>
      <c r="D3676" s="7" t="s">
        <v>28</v>
      </c>
      <c r="E3676" s="7" t="s">
        <v>8</v>
      </c>
      <c r="F3676" s="8">
        <v>488.0</v>
      </c>
      <c r="G3676" s="9">
        <v>244.0</v>
      </c>
    </row>
    <row r="3677" ht="14.25" customHeight="1">
      <c r="B3677" s="7" t="s">
        <v>22</v>
      </c>
      <c r="C3677" s="7" t="s">
        <v>29</v>
      </c>
      <c r="D3677" s="7" t="s">
        <v>8</v>
      </c>
      <c r="E3677" s="7" t="s">
        <v>31</v>
      </c>
      <c r="F3677" s="8">
        <v>488.0</v>
      </c>
      <c r="G3677" s="9">
        <v>488.0</v>
      </c>
    </row>
    <row r="3678" ht="14.25" hidden="1" customHeight="1">
      <c r="B3678" s="7" t="s">
        <v>22</v>
      </c>
      <c r="C3678" s="7" t="s">
        <v>7</v>
      </c>
      <c r="D3678" s="7" t="s">
        <v>10</v>
      </c>
      <c r="E3678" s="7" t="s">
        <v>25</v>
      </c>
      <c r="F3678" s="8">
        <v>486.0</v>
      </c>
      <c r="G3678" s="9">
        <v>243.0</v>
      </c>
    </row>
    <row r="3679" ht="14.25" hidden="1" customHeight="1">
      <c r="B3679" s="7" t="s">
        <v>22</v>
      </c>
      <c r="C3679" s="7" t="s">
        <v>7</v>
      </c>
      <c r="D3679" s="7" t="s">
        <v>8</v>
      </c>
      <c r="E3679" s="7" t="s">
        <v>10</v>
      </c>
      <c r="F3679" s="8">
        <v>482.0</v>
      </c>
      <c r="G3679" s="9">
        <v>241.0</v>
      </c>
    </row>
    <row r="3680" ht="14.25" hidden="1" customHeight="1">
      <c r="B3680" s="7" t="s">
        <v>22</v>
      </c>
      <c r="C3680" s="7" t="s">
        <v>7</v>
      </c>
      <c r="D3680" s="7" t="s">
        <v>28</v>
      </c>
      <c r="E3680" s="7" t="s">
        <v>31</v>
      </c>
      <c r="F3680" s="8">
        <v>450.0</v>
      </c>
      <c r="G3680" s="9">
        <v>225.0</v>
      </c>
    </row>
    <row r="3681" ht="14.25" hidden="1" customHeight="1">
      <c r="B3681" s="7" t="s">
        <v>22</v>
      </c>
      <c r="C3681" s="7" t="s">
        <v>29</v>
      </c>
      <c r="D3681" s="7" t="s">
        <v>28</v>
      </c>
      <c r="E3681" s="7" t="s">
        <v>8</v>
      </c>
      <c r="F3681" s="8">
        <v>446.0</v>
      </c>
      <c r="G3681" s="9">
        <v>446.0</v>
      </c>
    </row>
    <row r="3682" ht="14.25" hidden="1" customHeight="1">
      <c r="B3682" s="7" t="s">
        <v>22</v>
      </c>
      <c r="C3682" s="7" t="s">
        <v>7</v>
      </c>
      <c r="D3682" s="7" t="s">
        <v>34</v>
      </c>
      <c r="E3682" s="7" t="s">
        <v>28</v>
      </c>
      <c r="F3682" s="8">
        <v>440.0</v>
      </c>
      <c r="G3682" s="9">
        <v>220.0</v>
      </c>
    </row>
    <row r="3683" ht="14.25" hidden="1" customHeight="1">
      <c r="B3683" s="7" t="s">
        <v>22</v>
      </c>
      <c r="C3683" s="7" t="s">
        <v>30</v>
      </c>
      <c r="D3683" s="7" t="s">
        <v>8</v>
      </c>
      <c r="E3683" s="7" t="s">
        <v>9</v>
      </c>
      <c r="F3683" s="8">
        <v>414.0</v>
      </c>
      <c r="G3683" s="9">
        <v>207.0</v>
      </c>
    </row>
    <row r="3684" ht="14.25" hidden="1" customHeight="1">
      <c r="B3684" s="7" t="s">
        <v>22</v>
      </c>
      <c r="C3684" s="7" t="s">
        <v>7</v>
      </c>
      <c r="D3684" s="7" t="s">
        <v>31</v>
      </c>
      <c r="E3684" s="7" t="s">
        <v>33</v>
      </c>
      <c r="F3684" s="8">
        <v>412.0</v>
      </c>
      <c r="G3684" s="9">
        <v>206.0</v>
      </c>
    </row>
    <row r="3685" ht="14.25" hidden="1" customHeight="1">
      <c r="B3685" s="7" t="s">
        <v>22</v>
      </c>
      <c r="C3685" s="7" t="s">
        <v>29</v>
      </c>
      <c r="D3685" s="7" t="s">
        <v>8</v>
      </c>
      <c r="E3685" s="7" t="s">
        <v>28</v>
      </c>
      <c r="F3685" s="8">
        <v>403.0</v>
      </c>
      <c r="G3685" s="9">
        <v>403.0</v>
      </c>
    </row>
    <row r="3686" ht="14.25" hidden="1" customHeight="1">
      <c r="B3686" s="7" t="s">
        <v>22</v>
      </c>
      <c r="C3686" s="7" t="s">
        <v>7</v>
      </c>
      <c r="D3686" s="7" t="s">
        <v>25</v>
      </c>
      <c r="E3686" s="7" t="s">
        <v>10</v>
      </c>
      <c r="F3686" s="8">
        <v>384.0</v>
      </c>
      <c r="G3686" s="9">
        <v>192.0</v>
      </c>
    </row>
    <row r="3687" ht="14.25" hidden="1" customHeight="1">
      <c r="B3687" s="7" t="s">
        <v>22</v>
      </c>
      <c r="C3687" s="7" t="s">
        <v>7</v>
      </c>
      <c r="D3687" s="7" t="s">
        <v>32</v>
      </c>
      <c r="E3687" s="7" t="s">
        <v>28</v>
      </c>
      <c r="F3687" s="8">
        <v>384.0</v>
      </c>
      <c r="G3687" s="9">
        <v>192.0</v>
      </c>
    </row>
    <row r="3688" ht="14.25" hidden="1" customHeight="1">
      <c r="B3688" s="7" t="s">
        <v>22</v>
      </c>
      <c r="C3688" s="7" t="s">
        <v>7</v>
      </c>
      <c r="D3688" s="7" t="s">
        <v>33</v>
      </c>
      <c r="E3688" s="7" t="s">
        <v>25</v>
      </c>
      <c r="F3688" s="8">
        <v>380.0</v>
      </c>
      <c r="G3688" s="9">
        <v>190.0</v>
      </c>
    </row>
    <row r="3689" ht="14.25" hidden="1" customHeight="1">
      <c r="B3689" s="7" t="s">
        <v>22</v>
      </c>
      <c r="C3689" s="7" t="s">
        <v>7</v>
      </c>
      <c r="D3689" s="7" t="s">
        <v>11</v>
      </c>
      <c r="E3689" s="7" t="s">
        <v>8</v>
      </c>
      <c r="F3689" s="8">
        <v>380.0</v>
      </c>
      <c r="G3689" s="9">
        <v>190.0</v>
      </c>
    </row>
    <row r="3690" ht="14.25" hidden="1" customHeight="1">
      <c r="B3690" s="7" t="s">
        <v>22</v>
      </c>
      <c r="C3690" s="7" t="s">
        <v>29</v>
      </c>
      <c r="D3690" s="7" t="s">
        <v>11</v>
      </c>
      <c r="E3690" s="7" t="s">
        <v>8</v>
      </c>
      <c r="F3690" s="8">
        <v>373.0</v>
      </c>
      <c r="G3690" s="9">
        <v>373.0</v>
      </c>
    </row>
    <row r="3691" ht="14.25" hidden="1" customHeight="1">
      <c r="B3691" s="7" t="s">
        <v>22</v>
      </c>
      <c r="C3691" s="7" t="s">
        <v>7</v>
      </c>
      <c r="D3691" s="7" t="s">
        <v>10</v>
      </c>
      <c r="E3691" s="7" t="s">
        <v>33</v>
      </c>
      <c r="F3691" s="8">
        <v>370.0</v>
      </c>
      <c r="G3691" s="9">
        <v>185.0</v>
      </c>
    </row>
    <row r="3692" ht="14.25" hidden="1" customHeight="1">
      <c r="B3692" s="7" t="s">
        <v>22</v>
      </c>
      <c r="C3692" s="7" t="s">
        <v>7</v>
      </c>
      <c r="D3692" s="7" t="s">
        <v>25</v>
      </c>
      <c r="E3692" s="7" t="s">
        <v>33</v>
      </c>
      <c r="F3692" s="8">
        <v>368.0</v>
      </c>
      <c r="G3692" s="9">
        <v>184.0</v>
      </c>
    </row>
    <row r="3693" ht="14.25" hidden="1" customHeight="1">
      <c r="B3693" s="7" t="s">
        <v>22</v>
      </c>
      <c r="C3693" s="7" t="s">
        <v>30</v>
      </c>
      <c r="D3693" s="7" t="s">
        <v>8</v>
      </c>
      <c r="E3693" s="7" t="s">
        <v>25</v>
      </c>
      <c r="F3693" s="8">
        <v>360.0</v>
      </c>
      <c r="G3693" s="9">
        <v>180.0</v>
      </c>
    </row>
    <row r="3694" ht="14.25" hidden="1" customHeight="1">
      <c r="B3694" s="7" t="s">
        <v>22</v>
      </c>
      <c r="C3694" s="7" t="s">
        <v>7</v>
      </c>
      <c r="D3694" s="7" t="s">
        <v>9</v>
      </c>
      <c r="E3694" s="7" t="s">
        <v>25</v>
      </c>
      <c r="F3694" s="8">
        <v>346.0</v>
      </c>
      <c r="G3694" s="9">
        <v>173.0</v>
      </c>
    </row>
    <row r="3695" ht="14.25" hidden="1" customHeight="1">
      <c r="B3695" s="7" t="s">
        <v>22</v>
      </c>
      <c r="C3695" s="7" t="s">
        <v>7</v>
      </c>
      <c r="D3695" s="7" t="s">
        <v>33</v>
      </c>
      <c r="E3695" s="7" t="s">
        <v>31</v>
      </c>
      <c r="F3695" s="8">
        <v>342.0</v>
      </c>
      <c r="G3695" s="9">
        <v>171.0</v>
      </c>
    </row>
    <row r="3696" ht="14.25" hidden="1" customHeight="1">
      <c r="B3696" s="7" t="s">
        <v>22</v>
      </c>
      <c r="C3696" s="7" t="s">
        <v>29</v>
      </c>
      <c r="D3696" s="7" t="s">
        <v>33</v>
      </c>
      <c r="E3696" s="7" t="s">
        <v>8</v>
      </c>
      <c r="F3696" s="8">
        <v>342.0</v>
      </c>
      <c r="G3696" s="9">
        <v>342.0</v>
      </c>
    </row>
    <row r="3697" ht="14.25" hidden="1" customHeight="1">
      <c r="B3697" s="7" t="s">
        <v>22</v>
      </c>
      <c r="C3697" s="7" t="s">
        <v>7</v>
      </c>
      <c r="D3697" s="7" t="s">
        <v>9</v>
      </c>
      <c r="E3697" s="7" t="s">
        <v>28</v>
      </c>
      <c r="F3697" s="8">
        <v>340.0</v>
      </c>
      <c r="G3697" s="9">
        <v>170.0</v>
      </c>
    </row>
    <row r="3698" ht="14.25" hidden="1" customHeight="1">
      <c r="B3698" s="7" t="s">
        <v>22</v>
      </c>
      <c r="C3698" s="7" t="s">
        <v>7</v>
      </c>
      <c r="D3698" s="7" t="s">
        <v>28</v>
      </c>
      <c r="E3698" s="7" t="s">
        <v>9</v>
      </c>
      <c r="F3698" s="8">
        <v>332.0</v>
      </c>
      <c r="G3698" s="9">
        <v>166.0</v>
      </c>
    </row>
    <row r="3699" ht="14.25" hidden="1" customHeight="1">
      <c r="B3699" s="7" t="s">
        <v>22</v>
      </c>
      <c r="C3699" s="7" t="s">
        <v>29</v>
      </c>
      <c r="D3699" s="7" t="s">
        <v>34</v>
      </c>
      <c r="E3699" s="7" t="s">
        <v>28</v>
      </c>
      <c r="F3699" s="8">
        <v>321.0</v>
      </c>
      <c r="G3699" s="9">
        <v>321.0</v>
      </c>
    </row>
    <row r="3700" ht="14.25" hidden="1" customHeight="1">
      <c r="B3700" s="7" t="s">
        <v>22</v>
      </c>
      <c r="C3700" s="7" t="s">
        <v>7</v>
      </c>
      <c r="D3700" s="7" t="s">
        <v>8</v>
      </c>
      <c r="E3700" s="7" t="s">
        <v>25</v>
      </c>
      <c r="F3700" s="8">
        <v>318.0</v>
      </c>
      <c r="G3700" s="9">
        <v>159.0</v>
      </c>
    </row>
    <row r="3701" ht="14.25" hidden="1" customHeight="1">
      <c r="B3701" s="7" t="s">
        <v>22</v>
      </c>
      <c r="C3701" s="7" t="s">
        <v>29</v>
      </c>
      <c r="D3701" s="7" t="s">
        <v>34</v>
      </c>
      <c r="E3701" s="7" t="s">
        <v>8</v>
      </c>
      <c r="F3701" s="8">
        <v>316.0</v>
      </c>
      <c r="G3701" s="9">
        <v>316.0</v>
      </c>
    </row>
    <row r="3702" ht="14.25" hidden="1" customHeight="1">
      <c r="B3702" s="7" t="s">
        <v>22</v>
      </c>
      <c r="C3702" s="7" t="s">
        <v>30</v>
      </c>
      <c r="D3702" s="7" t="s">
        <v>9</v>
      </c>
      <c r="E3702" s="7" t="s">
        <v>25</v>
      </c>
      <c r="F3702" s="8">
        <v>304.0</v>
      </c>
      <c r="G3702" s="9">
        <v>152.0</v>
      </c>
    </row>
    <row r="3703" ht="14.25" hidden="1" customHeight="1">
      <c r="B3703" s="7" t="s">
        <v>22</v>
      </c>
      <c r="C3703" s="7" t="s">
        <v>29</v>
      </c>
      <c r="D3703" s="7" t="s">
        <v>8</v>
      </c>
      <c r="E3703" s="7" t="s">
        <v>25</v>
      </c>
      <c r="F3703" s="8">
        <v>291.0</v>
      </c>
      <c r="G3703" s="9">
        <v>291.0</v>
      </c>
    </row>
    <row r="3704" ht="14.25" hidden="1" customHeight="1">
      <c r="B3704" s="7" t="s">
        <v>22</v>
      </c>
      <c r="C3704" s="7" t="s">
        <v>29</v>
      </c>
      <c r="D3704" s="7" t="s">
        <v>10</v>
      </c>
      <c r="E3704" s="7" t="s">
        <v>8</v>
      </c>
      <c r="F3704" s="8">
        <v>272.0</v>
      </c>
      <c r="G3704" s="9">
        <v>272.0</v>
      </c>
    </row>
    <row r="3705" ht="14.25" hidden="1" customHeight="1">
      <c r="B3705" s="7" t="s">
        <v>22</v>
      </c>
      <c r="C3705" s="7" t="s">
        <v>29</v>
      </c>
      <c r="D3705" s="7" t="s">
        <v>28</v>
      </c>
      <c r="E3705" s="7" t="s">
        <v>25</v>
      </c>
      <c r="F3705" s="8">
        <v>271.0</v>
      </c>
      <c r="G3705" s="9">
        <v>271.0</v>
      </c>
    </row>
    <row r="3706" ht="14.25" hidden="1" customHeight="1">
      <c r="B3706" s="7" t="s">
        <v>22</v>
      </c>
      <c r="C3706" s="7" t="s">
        <v>7</v>
      </c>
      <c r="D3706" s="7" t="s">
        <v>31</v>
      </c>
      <c r="E3706" s="7" t="s">
        <v>25</v>
      </c>
      <c r="F3706" s="8">
        <v>270.0</v>
      </c>
      <c r="G3706" s="9">
        <v>135.0</v>
      </c>
    </row>
    <row r="3707" ht="14.25" hidden="1" customHeight="1">
      <c r="B3707" s="7" t="s">
        <v>22</v>
      </c>
      <c r="C3707" s="7" t="s">
        <v>7</v>
      </c>
      <c r="D3707" s="7" t="s">
        <v>32</v>
      </c>
      <c r="E3707" s="7" t="s">
        <v>25</v>
      </c>
      <c r="F3707" s="8">
        <v>266.0</v>
      </c>
      <c r="G3707" s="9">
        <v>133.0</v>
      </c>
    </row>
    <row r="3708" ht="14.25" hidden="1" customHeight="1">
      <c r="B3708" s="7" t="s">
        <v>22</v>
      </c>
      <c r="C3708" s="7" t="s">
        <v>29</v>
      </c>
      <c r="D3708" s="7" t="s">
        <v>28</v>
      </c>
      <c r="E3708" s="7" t="s">
        <v>31</v>
      </c>
      <c r="F3708" s="8">
        <v>260.0</v>
      </c>
      <c r="G3708" s="9">
        <v>260.0</v>
      </c>
    </row>
    <row r="3709" ht="14.25" hidden="1" customHeight="1">
      <c r="B3709" s="7" t="s">
        <v>22</v>
      </c>
      <c r="C3709" s="7" t="s">
        <v>29</v>
      </c>
      <c r="D3709" s="7" t="s">
        <v>32</v>
      </c>
      <c r="E3709" s="7" t="s">
        <v>33</v>
      </c>
      <c r="F3709" s="8">
        <v>255.0</v>
      </c>
      <c r="G3709" s="9">
        <v>255.0</v>
      </c>
    </row>
    <row r="3710" ht="14.25" hidden="1" customHeight="1">
      <c r="B3710" s="7" t="s">
        <v>22</v>
      </c>
      <c r="C3710" s="7" t="s">
        <v>29</v>
      </c>
      <c r="D3710" s="7" t="s">
        <v>8</v>
      </c>
      <c r="E3710" s="7" t="s">
        <v>11</v>
      </c>
      <c r="F3710" s="8">
        <v>254.0</v>
      </c>
      <c r="G3710" s="9">
        <v>254.0</v>
      </c>
    </row>
    <row r="3711" ht="14.25" hidden="1" customHeight="1">
      <c r="B3711" s="7" t="s">
        <v>22</v>
      </c>
      <c r="C3711" s="7" t="s">
        <v>7</v>
      </c>
      <c r="D3711" s="7" t="s">
        <v>34</v>
      </c>
      <c r="E3711" s="7" t="s">
        <v>8</v>
      </c>
      <c r="F3711" s="8">
        <v>236.0</v>
      </c>
      <c r="G3711" s="9">
        <v>118.0</v>
      </c>
    </row>
    <row r="3712" ht="14.25" hidden="1" customHeight="1">
      <c r="B3712" s="7" t="s">
        <v>22</v>
      </c>
      <c r="C3712" s="7" t="s">
        <v>7</v>
      </c>
      <c r="D3712" s="7" t="s">
        <v>33</v>
      </c>
      <c r="E3712" s="7" t="s">
        <v>28</v>
      </c>
      <c r="F3712" s="8">
        <v>234.0</v>
      </c>
      <c r="G3712" s="9">
        <v>117.0</v>
      </c>
    </row>
    <row r="3713" ht="14.25" hidden="1" customHeight="1">
      <c r="B3713" s="7" t="s">
        <v>22</v>
      </c>
      <c r="C3713" s="7" t="s">
        <v>7</v>
      </c>
      <c r="D3713" s="7" t="s">
        <v>28</v>
      </c>
      <c r="E3713" s="7" t="s">
        <v>8</v>
      </c>
      <c r="F3713" s="8">
        <v>230.0</v>
      </c>
      <c r="G3713" s="9">
        <v>115.0</v>
      </c>
    </row>
    <row r="3714" ht="14.25" hidden="1" customHeight="1">
      <c r="B3714" s="7" t="s">
        <v>22</v>
      </c>
      <c r="C3714" s="7" t="s">
        <v>29</v>
      </c>
      <c r="D3714" s="7" t="s">
        <v>33</v>
      </c>
      <c r="E3714" s="7" t="s">
        <v>8</v>
      </c>
      <c r="F3714" s="8">
        <v>227.0</v>
      </c>
      <c r="G3714" s="9">
        <v>227.0</v>
      </c>
    </row>
    <row r="3715" ht="14.25" hidden="1" customHeight="1">
      <c r="B3715" s="7" t="s">
        <v>22</v>
      </c>
      <c r="C3715" s="7" t="s">
        <v>7</v>
      </c>
      <c r="D3715" s="7" t="s">
        <v>10</v>
      </c>
      <c r="E3715" s="7" t="s">
        <v>28</v>
      </c>
      <c r="F3715" s="8">
        <v>224.0</v>
      </c>
      <c r="G3715" s="9">
        <v>112.0</v>
      </c>
    </row>
    <row r="3716" ht="14.25" hidden="1" customHeight="1">
      <c r="B3716" s="7" t="s">
        <v>22</v>
      </c>
      <c r="C3716" s="7" t="s">
        <v>7</v>
      </c>
      <c r="D3716" s="7" t="s">
        <v>33</v>
      </c>
      <c r="E3716" s="7" t="s">
        <v>9</v>
      </c>
      <c r="F3716" s="8">
        <v>222.0</v>
      </c>
      <c r="G3716" s="9">
        <v>111.0</v>
      </c>
    </row>
    <row r="3717" ht="14.25" hidden="1" customHeight="1">
      <c r="B3717" s="7" t="s">
        <v>22</v>
      </c>
      <c r="C3717" s="7" t="s">
        <v>29</v>
      </c>
      <c r="D3717" s="7" t="s">
        <v>28</v>
      </c>
      <c r="E3717" s="7" t="s">
        <v>8</v>
      </c>
      <c r="F3717" s="8">
        <v>216.0</v>
      </c>
      <c r="G3717" s="9">
        <v>216.0</v>
      </c>
    </row>
    <row r="3718" ht="14.25" hidden="1" customHeight="1">
      <c r="B3718" s="7" t="s">
        <v>22</v>
      </c>
      <c r="C3718" s="7" t="s">
        <v>7</v>
      </c>
      <c r="D3718" s="7" t="s">
        <v>11</v>
      </c>
      <c r="E3718" s="7" t="s">
        <v>8</v>
      </c>
      <c r="F3718" s="8">
        <v>214.0</v>
      </c>
      <c r="G3718" s="9">
        <v>107.0</v>
      </c>
    </row>
    <row r="3719" ht="14.25" hidden="1" customHeight="1">
      <c r="B3719" s="7" t="s">
        <v>22</v>
      </c>
      <c r="C3719" s="7" t="s">
        <v>29</v>
      </c>
      <c r="D3719" s="7" t="s">
        <v>31</v>
      </c>
      <c r="E3719" s="7" t="s">
        <v>33</v>
      </c>
      <c r="F3719" s="8">
        <v>213.0</v>
      </c>
      <c r="G3719" s="9">
        <v>213.0</v>
      </c>
    </row>
    <row r="3720" ht="14.25" hidden="1" customHeight="1">
      <c r="B3720" s="7" t="s">
        <v>22</v>
      </c>
      <c r="C3720" s="7" t="s">
        <v>29</v>
      </c>
      <c r="D3720" s="7" t="s">
        <v>8</v>
      </c>
      <c r="E3720" s="7" t="s">
        <v>10</v>
      </c>
      <c r="F3720" s="8">
        <v>209.0</v>
      </c>
      <c r="G3720" s="9">
        <v>209.0</v>
      </c>
    </row>
    <row r="3721" ht="14.25" hidden="1" customHeight="1">
      <c r="B3721" s="7" t="s">
        <v>22</v>
      </c>
      <c r="C3721" s="7" t="s">
        <v>7</v>
      </c>
      <c r="D3721" s="7" t="s">
        <v>9</v>
      </c>
      <c r="E3721" s="7" t="s">
        <v>28</v>
      </c>
      <c r="F3721" s="8">
        <v>208.0</v>
      </c>
      <c r="G3721" s="9">
        <v>104.0</v>
      </c>
    </row>
    <row r="3722" ht="14.25" hidden="1" customHeight="1">
      <c r="B3722" s="7" t="s">
        <v>22</v>
      </c>
      <c r="C3722" s="7" t="s">
        <v>30</v>
      </c>
      <c r="D3722" s="7" t="s">
        <v>8</v>
      </c>
      <c r="E3722" s="7" t="s">
        <v>10</v>
      </c>
      <c r="F3722" s="8">
        <v>200.0</v>
      </c>
      <c r="G3722" s="9">
        <v>100.0</v>
      </c>
    </row>
    <row r="3723" ht="14.25" hidden="1" customHeight="1">
      <c r="B3723" s="7" t="s">
        <v>22</v>
      </c>
      <c r="C3723" s="7" t="s">
        <v>29</v>
      </c>
      <c r="D3723" s="7" t="s">
        <v>9</v>
      </c>
      <c r="E3723" s="7" t="s">
        <v>33</v>
      </c>
      <c r="F3723" s="8">
        <v>198.0</v>
      </c>
      <c r="G3723" s="9">
        <v>198.0</v>
      </c>
    </row>
    <row r="3724" ht="14.25" hidden="1" customHeight="1">
      <c r="B3724" s="7" t="s">
        <v>22</v>
      </c>
      <c r="C3724" s="7" t="s">
        <v>7</v>
      </c>
      <c r="D3724" s="7" t="s">
        <v>9</v>
      </c>
      <c r="E3724" s="7" t="s">
        <v>32</v>
      </c>
      <c r="F3724" s="8">
        <v>196.0</v>
      </c>
      <c r="G3724" s="9">
        <v>98.0</v>
      </c>
    </row>
    <row r="3725" ht="14.25" hidden="1" customHeight="1">
      <c r="B3725" s="7" t="s">
        <v>22</v>
      </c>
      <c r="C3725" s="7" t="s">
        <v>29</v>
      </c>
      <c r="D3725" s="7" t="s">
        <v>11</v>
      </c>
      <c r="E3725" s="7" t="s">
        <v>8</v>
      </c>
      <c r="F3725" s="8">
        <v>195.0</v>
      </c>
      <c r="G3725" s="9">
        <v>195.0</v>
      </c>
    </row>
    <row r="3726" ht="14.25" hidden="1" customHeight="1">
      <c r="B3726" s="7" t="s">
        <v>22</v>
      </c>
      <c r="C3726" s="7" t="s">
        <v>7</v>
      </c>
      <c r="D3726" s="7" t="s">
        <v>28</v>
      </c>
      <c r="E3726" s="7" t="s">
        <v>31</v>
      </c>
      <c r="F3726" s="8">
        <v>192.0</v>
      </c>
      <c r="G3726" s="9">
        <v>96.0</v>
      </c>
    </row>
    <row r="3727" ht="14.25" hidden="1" customHeight="1">
      <c r="B3727" s="7" t="s">
        <v>22</v>
      </c>
      <c r="C3727" s="7" t="s">
        <v>29</v>
      </c>
      <c r="D3727" s="7" t="s">
        <v>33</v>
      </c>
      <c r="E3727" s="7" t="s">
        <v>8</v>
      </c>
      <c r="F3727" s="8">
        <v>190.0</v>
      </c>
      <c r="G3727" s="9">
        <v>190.0</v>
      </c>
    </row>
    <row r="3728" ht="14.25" hidden="1" customHeight="1">
      <c r="B3728" s="7" t="s">
        <v>22</v>
      </c>
      <c r="C3728" s="7" t="s">
        <v>7</v>
      </c>
      <c r="D3728" s="7" t="s">
        <v>11</v>
      </c>
      <c r="E3728" s="7" t="s">
        <v>10</v>
      </c>
      <c r="F3728" s="8">
        <v>178.0</v>
      </c>
      <c r="G3728" s="9">
        <v>89.0</v>
      </c>
    </row>
    <row r="3729" ht="14.25" hidden="1" customHeight="1">
      <c r="B3729" s="7" t="s">
        <v>22</v>
      </c>
      <c r="C3729" s="7" t="s">
        <v>29</v>
      </c>
      <c r="D3729" s="7" t="s">
        <v>9</v>
      </c>
      <c r="E3729" s="7" t="s">
        <v>10</v>
      </c>
      <c r="F3729" s="8">
        <v>178.0</v>
      </c>
      <c r="G3729" s="9">
        <v>178.0</v>
      </c>
    </row>
    <row r="3730" ht="14.25" hidden="1" customHeight="1">
      <c r="B3730" s="7" t="s">
        <v>22</v>
      </c>
      <c r="C3730" s="7" t="s">
        <v>7</v>
      </c>
      <c r="D3730" s="7" t="s">
        <v>25</v>
      </c>
      <c r="E3730" s="7" t="s">
        <v>31</v>
      </c>
      <c r="F3730" s="8">
        <v>176.0</v>
      </c>
      <c r="G3730" s="9">
        <v>88.0</v>
      </c>
    </row>
    <row r="3731" ht="14.25" hidden="1" customHeight="1">
      <c r="B3731" s="7" t="s">
        <v>22</v>
      </c>
      <c r="C3731" s="7" t="s">
        <v>30</v>
      </c>
      <c r="D3731" s="7" t="s">
        <v>33</v>
      </c>
      <c r="E3731" s="7" t="s">
        <v>8</v>
      </c>
      <c r="F3731" s="8">
        <v>176.0</v>
      </c>
      <c r="G3731" s="9">
        <v>88.0</v>
      </c>
    </row>
    <row r="3732" ht="14.25" hidden="1" customHeight="1">
      <c r="B3732" s="7" t="s">
        <v>22</v>
      </c>
      <c r="C3732" s="7" t="s">
        <v>7</v>
      </c>
      <c r="D3732" s="7" t="s">
        <v>28</v>
      </c>
      <c r="E3732" s="7" t="s">
        <v>25</v>
      </c>
      <c r="F3732" s="8">
        <v>168.0</v>
      </c>
      <c r="G3732" s="9">
        <v>84.0</v>
      </c>
    </row>
    <row r="3733" ht="14.25" hidden="1" customHeight="1">
      <c r="B3733" s="7" t="s">
        <v>22</v>
      </c>
      <c r="C3733" s="7" t="s">
        <v>7</v>
      </c>
      <c r="D3733" s="7" t="s">
        <v>28</v>
      </c>
      <c r="E3733" s="7" t="s">
        <v>31</v>
      </c>
      <c r="F3733" s="8">
        <v>166.0</v>
      </c>
      <c r="G3733" s="9">
        <v>83.0</v>
      </c>
    </row>
    <row r="3734" ht="14.25" hidden="1" customHeight="1">
      <c r="B3734" s="7" t="s">
        <v>22</v>
      </c>
      <c r="C3734" s="7" t="s">
        <v>29</v>
      </c>
      <c r="D3734" s="7" t="s">
        <v>33</v>
      </c>
      <c r="E3734" s="7" t="s">
        <v>8</v>
      </c>
      <c r="F3734" s="8">
        <v>164.0</v>
      </c>
      <c r="G3734" s="9">
        <v>164.0</v>
      </c>
    </row>
    <row r="3735" ht="14.25" hidden="1" customHeight="1">
      <c r="B3735" s="7" t="s">
        <v>22</v>
      </c>
      <c r="C3735" s="7" t="s">
        <v>7</v>
      </c>
      <c r="D3735" s="7" t="s">
        <v>8</v>
      </c>
      <c r="E3735" s="7" t="s">
        <v>9</v>
      </c>
      <c r="F3735" s="8">
        <v>164.0</v>
      </c>
      <c r="G3735" s="9">
        <v>82.0</v>
      </c>
    </row>
    <row r="3736" ht="14.25" hidden="1" customHeight="1">
      <c r="B3736" s="7" t="s">
        <v>22</v>
      </c>
      <c r="C3736" s="7" t="s">
        <v>7</v>
      </c>
      <c r="D3736" s="7" t="s">
        <v>25</v>
      </c>
      <c r="E3736" s="7" t="s">
        <v>32</v>
      </c>
      <c r="F3736" s="8">
        <v>158.0</v>
      </c>
      <c r="G3736" s="9">
        <v>79.0</v>
      </c>
    </row>
    <row r="3737" ht="14.25" hidden="1" customHeight="1">
      <c r="B3737" s="7" t="s">
        <v>22</v>
      </c>
      <c r="C3737" s="7" t="s">
        <v>7</v>
      </c>
      <c r="D3737" s="7" t="s">
        <v>34</v>
      </c>
      <c r="E3737" s="7" t="s">
        <v>31</v>
      </c>
      <c r="F3737" s="8">
        <v>154.0</v>
      </c>
      <c r="G3737" s="9">
        <v>77.0</v>
      </c>
    </row>
    <row r="3738" ht="14.25" hidden="1" customHeight="1">
      <c r="B3738" s="7" t="s">
        <v>22</v>
      </c>
      <c r="C3738" s="7" t="s">
        <v>29</v>
      </c>
      <c r="D3738" s="7" t="s">
        <v>31</v>
      </c>
      <c r="E3738" s="7" t="s">
        <v>24</v>
      </c>
      <c r="F3738" s="8">
        <v>147.0</v>
      </c>
      <c r="G3738" s="9">
        <v>147.0</v>
      </c>
    </row>
    <row r="3739" ht="14.25" hidden="1" customHeight="1">
      <c r="B3739" s="7" t="s">
        <v>22</v>
      </c>
      <c r="C3739" s="7" t="s">
        <v>7</v>
      </c>
      <c r="D3739" s="7" t="s">
        <v>25</v>
      </c>
      <c r="E3739" s="7" t="s">
        <v>8</v>
      </c>
      <c r="F3739" s="8">
        <v>146.0</v>
      </c>
      <c r="G3739" s="9">
        <v>146.0</v>
      </c>
    </row>
    <row r="3740" ht="14.25" hidden="1" customHeight="1">
      <c r="B3740" s="7" t="s">
        <v>22</v>
      </c>
      <c r="C3740" s="7" t="s">
        <v>7</v>
      </c>
      <c r="D3740" s="7" t="s">
        <v>31</v>
      </c>
      <c r="E3740" s="7" t="s">
        <v>31</v>
      </c>
      <c r="F3740" s="8">
        <v>146.0</v>
      </c>
      <c r="G3740" s="9">
        <v>73.0</v>
      </c>
    </row>
    <row r="3741" ht="14.25" hidden="1" customHeight="1">
      <c r="B3741" s="7" t="s">
        <v>22</v>
      </c>
      <c r="C3741" s="7" t="s">
        <v>29</v>
      </c>
      <c r="D3741" s="7" t="s">
        <v>9</v>
      </c>
      <c r="E3741" s="7" t="s">
        <v>8</v>
      </c>
      <c r="F3741" s="8">
        <v>139.0</v>
      </c>
      <c r="G3741" s="9">
        <v>139.0</v>
      </c>
    </row>
    <row r="3742" ht="14.25" hidden="1" customHeight="1">
      <c r="B3742" s="7" t="s">
        <v>22</v>
      </c>
      <c r="C3742" s="7" t="s">
        <v>7</v>
      </c>
      <c r="D3742" s="7" t="s">
        <v>9</v>
      </c>
      <c r="E3742" s="7" t="s">
        <v>10</v>
      </c>
      <c r="F3742" s="8">
        <v>138.0</v>
      </c>
      <c r="G3742" s="9">
        <v>69.0</v>
      </c>
    </row>
    <row r="3743" ht="14.25" hidden="1" customHeight="1">
      <c r="B3743" s="7" t="s">
        <v>22</v>
      </c>
      <c r="C3743" s="7" t="s">
        <v>30</v>
      </c>
      <c r="D3743" s="7" t="s">
        <v>34</v>
      </c>
      <c r="E3743" s="7" t="s">
        <v>28</v>
      </c>
      <c r="F3743" s="8">
        <v>132.0</v>
      </c>
      <c r="G3743" s="9">
        <v>66.0</v>
      </c>
    </row>
    <row r="3744" ht="14.25" hidden="1" customHeight="1">
      <c r="B3744" s="7" t="s">
        <v>22</v>
      </c>
      <c r="C3744" s="7" t="s">
        <v>7</v>
      </c>
      <c r="D3744" s="7" t="s">
        <v>32</v>
      </c>
      <c r="E3744" s="7" t="s">
        <v>33</v>
      </c>
      <c r="F3744" s="8">
        <v>132.0</v>
      </c>
      <c r="G3744" s="9">
        <v>66.0</v>
      </c>
    </row>
    <row r="3745" ht="14.25" hidden="1" customHeight="1">
      <c r="B3745" s="7" t="s">
        <v>22</v>
      </c>
      <c r="C3745" s="7" t="s">
        <v>30</v>
      </c>
      <c r="D3745" s="7" t="s">
        <v>31</v>
      </c>
      <c r="E3745" s="7" t="s">
        <v>33</v>
      </c>
      <c r="F3745" s="8">
        <v>132.0</v>
      </c>
      <c r="G3745" s="9">
        <v>66.0</v>
      </c>
    </row>
    <row r="3746" ht="14.25" hidden="1" customHeight="1">
      <c r="B3746" s="7" t="s">
        <v>22</v>
      </c>
      <c r="C3746" s="7" t="s">
        <v>29</v>
      </c>
      <c r="D3746" s="7" t="s">
        <v>31</v>
      </c>
      <c r="E3746" s="7" t="s">
        <v>28</v>
      </c>
      <c r="F3746" s="8">
        <v>130.0</v>
      </c>
      <c r="G3746" s="9">
        <v>130.0</v>
      </c>
    </row>
    <row r="3747" ht="14.25" customHeight="1">
      <c r="B3747" s="7" t="s">
        <v>22</v>
      </c>
      <c r="C3747" s="7" t="s">
        <v>29</v>
      </c>
      <c r="D3747" s="7" t="s">
        <v>8</v>
      </c>
      <c r="E3747" s="7" t="s">
        <v>31</v>
      </c>
      <c r="F3747" s="8">
        <v>130.0</v>
      </c>
      <c r="G3747" s="9">
        <v>130.0</v>
      </c>
    </row>
    <row r="3748" ht="14.25" hidden="1" customHeight="1">
      <c r="B3748" s="7" t="s">
        <v>22</v>
      </c>
      <c r="C3748" s="7" t="s">
        <v>7</v>
      </c>
      <c r="D3748" s="7" t="s">
        <v>9</v>
      </c>
      <c r="E3748" s="7" t="s">
        <v>10</v>
      </c>
      <c r="F3748" s="8">
        <v>124.0</v>
      </c>
      <c r="G3748" s="9">
        <v>62.0</v>
      </c>
    </row>
    <row r="3749" ht="14.25" hidden="1" customHeight="1">
      <c r="B3749" s="7" t="s">
        <v>22</v>
      </c>
      <c r="C3749" s="7" t="s">
        <v>29</v>
      </c>
      <c r="D3749" s="7" t="s">
        <v>8</v>
      </c>
      <c r="E3749" s="7" t="s">
        <v>33</v>
      </c>
      <c r="F3749" s="8">
        <v>123.0</v>
      </c>
      <c r="G3749" s="9">
        <v>123.0</v>
      </c>
    </row>
    <row r="3750" ht="14.25" hidden="1" customHeight="1">
      <c r="B3750" s="7" t="s">
        <v>22</v>
      </c>
      <c r="C3750" s="7" t="s">
        <v>7</v>
      </c>
      <c r="D3750" s="7" t="s">
        <v>11</v>
      </c>
      <c r="E3750" s="7" t="s">
        <v>25</v>
      </c>
      <c r="F3750" s="8">
        <v>122.0</v>
      </c>
      <c r="G3750" s="9">
        <v>61.0</v>
      </c>
    </row>
    <row r="3751" ht="14.25" hidden="1" customHeight="1">
      <c r="B3751" s="7" t="s">
        <v>22</v>
      </c>
      <c r="C3751" s="7" t="s">
        <v>7</v>
      </c>
      <c r="D3751" s="7" t="s">
        <v>10</v>
      </c>
      <c r="E3751" s="7" t="s">
        <v>33</v>
      </c>
      <c r="F3751" s="8">
        <v>120.0</v>
      </c>
      <c r="G3751" s="9">
        <v>60.0</v>
      </c>
    </row>
    <row r="3752" ht="14.25" hidden="1" customHeight="1">
      <c r="B3752" s="7" t="s">
        <v>22</v>
      </c>
      <c r="C3752" s="7" t="s">
        <v>29</v>
      </c>
      <c r="D3752" s="7" t="s">
        <v>28</v>
      </c>
      <c r="E3752" s="7" t="s">
        <v>10</v>
      </c>
      <c r="F3752" s="8">
        <v>119.0</v>
      </c>
      <c r="G3752" s="9">
        <v>119.0</v>
      </c>
    </row>
    <row r="3753" ht="14.25" hidden="1" customHeight="1">
      <c r="B3753" s="7" t="s">
        <v>22</v>
      </c>
      <c r="C3753" s="7" t="s">
        <v>7</v>
      </c>
      <c r="D3753" s="7" t="s">
        <v>32</v>
      </c>
      <c r="E3753" s="7" t="s">
        <v>25</v>
      </c>
      <c r="F3753" s="8">
        <v>116.0</v>
      </c>
      <c r="G3753" s="9">
        <v>58.0</v>
      </c>
    </row>
    <row r="3754" ht="14.25" hidden="1" customHeight="1">
      <c r="B3754" s="7" t="s">
        <v>22</v>
      </c>
      <c r="C3754" s="7" t="s">
        <v>7</v>
      </c>
      <c r="D3754" s="7" t="s">
        <v>24</v>
      </c>
      <c r="E3754" s="7" t="s">
        <v>31</v>
      </c>
      <c r="F3754" s="8">
        <v>114.0</v>
      </c>
      <c r="G3754" s="9">
        <v>57.0</v>
      </c>
    </row>
    <row r="3755" ht="14.25" hidden="1" customHeight="1">
      <c r="B3755" s="7" t="s">
        <v>22</v>
      </c>
      <c r="C3755" s="7" t="s">
        <v>7</v>
      </c>
      <c r="D3755" s="7" t="s">
        <v>10</v>
      </c>
      <c r="E3755" s="7" t="s">
        <v>9</v>
      </c>
      <c r="F3755" s="8">
        <v>114.0</v>
      </c>
      <c r="G3755" s="9">
        <v>57.0</v>
      </c>
    </row>
    <row r="3756" ht="14.25" hidden="1" customHeight="1">
      <c r="B3756" s="7" t="s">
        <v>22</v>
      </c>
      <c r="C3756" s="7" t="s">
        <v>7</v>
      </c>
      <c r="D3756" s="7" t="s">
        <v>10</v>
      </c>
      <c r="E3756" s="7" t="s">
        <v>8</v>
      </c>
      <c r="F3756" s="8">
        <v>114.0</v>
      </c>
      <c r="G3756" s="9">
        <v>57.0</v>
      </c>
    </row>
    <row r="3757" ht="14.25" hidden="1" customHeight="1">
      <c r="B3757" s="7" t="s">
        <v>22</v>
      </c>
      <c r="C3757" s="7" t="s">
        <v>7</v>
      </c>
      <c r="D3757" s="7" t="s">
        <v>31</v>
      </c>
      <c r="E3757" s="7" t="s">
        <v>31</v>
      </c>
      <c r="F3757" s="8">
        <v>114.0</v>
      </c>
      <c r="G3757" s="9">
        <v>57.0</v>
      </c>
    </row>
    <row r="3758" ht="14.25" hidden="1" customHeight="1">
      <c r="B3758" s="7" t="s">
        <v>22</v>
      </c>
      <c r="C3758" s="7" t="s">
        <v>7</v>
      </c>
      <c r="D3758" s="7" t="s">
        <v>10</v>
      </c>
      <c r="E3758" s="7" t="s">
        <v>31</v>
      </c>
      <c r="F3758" s="8">
        <v>110.0</v>
      </c>
      <c r="G3758" s="9">
        <v>55.0</v>
      </c>
    </row>
    <row r="3759" ht="14.25" hidden="1" customHeight="1">
      <c r="B3759" s="7" t="s">
        <v>22</v>
      </c>
      <c r="C3759" s="7" t="s">
        <v>30</v>
      </c>
      <c r="D3759" s="7" t="s">
        <v>32</v>
      </c>
      <c r="E3759" s="7" t="s">
        <v>31</v>
      </c>
      <c r="F3759" s="8">
        <v>110.0</v>
      </c>
      <c r="G3759" s="9">
        <v>55.0</v>
      </c>
    </row>
    <row r="3760" ht="14.25" hidden="1" customHeight="1">
      <c r="B3760" s="7" t="s">
        <v>22</v>
      </c>
      <c r="C3760" s="7" t="s">
        <v>29</v>
      </c>
      <c r="D3760" s="7" t="s">
        <v>25</v>
      </c>
      <c r="E3760" s="7" t="s">
        <v>28</v>
      </c>
      <c r="F3760" s="8">
        <v>108.0</v>
      </c>
      <c r="G3760" s="9">
        <v>108.0</v>
      </c>
    </row>
    <row r="3761" ht="14.25" hidden="1" customHeight="1">
      <c r="B3761" s="7" t="s">
        <v>22</v>
      </c>
      <c r="C3761" s="7" t="s">
        <v>29</v>
      </c>
      <c r="D3761" s="7" t="s">
        <v>8</v>
      </c>
      <c r="E3761" s="7" t="s">
        <v>33</v>
      </c>
      <c r="F3761" s="8">
        <v>108.0</v>
      </c>
      <c r="G3761" s="9">
        <v>108.0</v>
      </c>
    </row>
    <row r="3762" ht="14.25" hidden="1" customHeight="1">
      <c r="B3762" s="7" t="s">
        <v>22</v>
      </c>
      <c r="C3762" s="7" t="s">
        <v>29</v>
      </c>
      <c r="D3762" s="7" t="s">
        <v>8</v>
      </c>
      <c r="E3762" s="7" t="s">
        <v>28</v>
      </c>
      <c r="F3762" s="8">
        <v>107.0</v>
      </c>
      <c r="G3762" s="9">
        <v>107.0</v>
      </c>
    </row>
    <row r="3763" ht="14.25" hidden="1" customHeight="1">
      <c r="B3763" s="7" t="s">
        <v>22</v>
      </c>
      <c r="C3763" s="7" t="s">
        <v>7</v>
      </c>
      <c r="D3763" s="7" t="s">
        <v>24</v>
      </c>
      <c r="E3763" s="7" t="s">
        <v>31</v>
      </c>
      <c r="F3763" s="8">
        <v>106.0</v>
      </c>
      <c r="G3763" s="9">
        <v>53.0</v>
      </c>
    </row>
    <row r="3764" ht="14.25" hidden="1" customHeight="1">
      <c r="B3764" s="7" t="s">
        <v>22</v>
      </c>
      <c r="C3764" s="7" t="s">
        <v>29</v>
      </c>
      <c r="D3764" s="7" t="s">
        <v>9</v>
      </c>
      <c r="E3764" s="7" t="s">
        <v>25</v>
      </c>
      <c r="F3764" s="8">
        <v>104.0</v>
      </c>
      <c r="G3764" s="9">
        <v>104.0</v>
      </c>
    </row>
    <row r="3765" ht="14.25" hidden="1" customHeight="1">
      <c r="B3765" s="7" t="s">
        <v>22</v>
      </c>
      <c r="C3765" s="7" t="s">
        <v>7</v>
      </c>
      <c r="D3765" s="7" t="s">
        <v>33</v>
      </c>
      <c r="E3765" s="7" t="s">
        <v>28</v>
      </c>
      <c r="F3765" s="8">
        <v>102.0</v>
      </c>
      <c r="G3765" s="9">
        <v>51.0</v>
      </c>
    </row>
    <row r="3766" ht="14.25" hidden="1" customHeight="1">
      <c r="B3766" s="7" t="s">
        <v>22</v>
      </c>
      <c r="C3766" s="7" t="s">
        <v>7</v>
      </c>
      <c r="D3766" s="7" t="s">
        <v>8</v>
      </c>
      <c r="E3766" s="7" t="s">
        <v>28</v>
      </c>
      <c r="F3766" s="8">
        <v>102.0</v>
      </c>
      <c r="G3766" s="9">
        <v>51.0</v>
      </c>
    </row>
    <row r="3767" ht="14.25" hidden="1" customHeight="1">
      <c r="B3767" s="7" t="s">
        <v>22</v>
      </c>
      <c r="C3767" s="7" t="s">
        <v>30</v>
      </c>
      <c r="D3767" s="7" t="s">
        <v>31</v>
      </c>
      <c r="E3767" s="7" t="s">
        <v>24</v>
      </c>
      <c r="F3767" s="8">
        <v>96.0</v>
      </c>
      <c r="G3767" s="9">
        <v>48.0</v>
      </c>
    </row>
    <row r="3768" ht="14.25" hidden="1" customHeight="1">
      <c r="B3768" s="7" t="s">
        <v>22</v>
      </c>
      <c r="C3768" s="7" t="s">
        <v>29</v>
      </c>
      <c r="D3768" s="7" t="s">
        <v>25</v>
      </c>
      <c r="E3768" s="7" t="s">
        <v>8</v>
      </c>
      <c r="F3768" s="8">
        <v>94.0</v>
      </c>
      <c r="G3768" s="9">
        <v>94.0</v>
      </c>
    </row>
    <row r="3769" ht="14.25" hidden="1" customHeight="1">
      <c r="B3769" s="7" t="s">
        <v>22</v>
      </c>
      <c r="C3769" s="7" t="s">
        <v>29</v>
      </c>
      <c r="D3769" s="7" t="s">
        <v>10</v>
      </c>
      <c r="E3769" s="7" t="s">
        <v>25</v>
      </c>
      <c r="F3769" s="8">
        <v>94.0</v>
      </c>
      <c r="G3769" s="9">
        <v>94.0</v>
      </c>
    </row>
    <row r="3770" ht="14.25" customHeight="1">
      <c r="B3770" s="7" t="s">
        <v>22</v>
      </c>
      <c r="C3770" s="7" t="s">
        <v>30</v>
      </c>
      <c r="D3770" s="7" t="s">
        <v>8</v>
      </c>
      <c r="E3770" s="7" t="s">
        <v>31</v>
      </c>
      <c r="F3770" s="8">
        <v>94.0</v>
      </c>
      <c r="G3770" s="9">
        <v>47.0</v>
      </c>
    </row>
    <row r="3771" ht="14.25" hidden="1" customHeight="1">
      <c r="B3771" s="7" t="s">
        <v>22</v>
      </c>
      <c r="C3771" s="7" t="s">
        <v>7</v>
      </c>
      <c r="D3771" s="7" t="s">
        <v>32</v>
      </c>
      <c r="E3771" s="7" t="s">
        <v>8</v>
      </c>
      <c r="F3771" s="8">
        <v>92.0</v>
      </c>
      <c r="G3771" s="9">
        <v>46.0</v>
      </c>
    </row>
    <row r="3772" ht="14.25" hidden="1" customHeight="1">
      <c r="B3772" s="7" t="s">
        <v>22</v>
      </c>
      <c r="C3772" s="7" t="s">
        <v>30</v>
      </c>
      <c r="D3772" s="7" t="s">
        <v>33</v>
      </c>
      <c r="E3772" s="7" t="s">
        <v>9</v>
      </c>
      <c r="F3772" s="8">
        <v>90.0</v>
      </c>
      <c r="G3772" s="9">
        <v>45.0</v>
      </c>
    </row>
    <row r="3773" ht="14.25" hidden="1" customHeight="1">
      <c r="B3773" s="7" t="s">
        <v>22</v>
      </c>
      <c r="C3773" s="7" t="s">
        <v>29</v>
      </c>
      <c r="D3773" s="7" t="s">
        <v>8</v>
      </c>
      <c r="E3773" s="7" t="s">
        <v>28</v>
      </c>
      <c r="F3773" s="8">
        <v>90.0</v>
      </c>
      <c r="G3773" s="9">
        <v>90.0</v>
      </c>
    </row>
    <row r="3774" ht="14.25" hidden="1" customHeight="1">
      <c r="B3774" s="7" t="s">
        <v>22</v>
      </c>
      <c r="C3774" s="7" t="s">
        <v>29</v>
      </c>
      <c r="D3774" s="7" t="s">
        <v>8</v>
      </c>
      <c r="E3774" s="7" t="s">
        <v>10</v>
      </c>
      <c r="F3774" s="8">
        <v>89.0</v>
      </c>
      <c r="G3774" s="9">
        <v>89.0</v>
      </c>
    </row>
    <row r="3775" ht="14.25" hidden="1" customHeight="1">
      <c r="B3775" s="7" t="s">
        <v>22</v>
      </c>
      <c r="C3775" s="7" t="s">
        <v>7</v>
      </c>
      <c r="D3775" s="7" t="s">
        <v>33</v>
      </c>
      <c r="E3775" s="7" t="s">
        <v>31</v>
      </c>
      <c r="F3775" s="8">
        <v>88.0</v>
      </c>
      <c r="G3775" s="9">
        <v>44.0</v>
      </c>
    </row>
    <row r="3776" ht="14.25" hidden="1" customHeight="1">
      <c r="B3776" s="7" t="s">
        <v>22</v>
      </c>
      <c r="C3776" s="7" t="s">
        <v>7</v>
      </c>
      <c r="D3776" s="7" t="s">
        <v>10</v>
      </c>
      <c r="E3776" s="7" t="s">
        <v>8</v>
      </c>
      <c r="F3776" s="8">
        <v>88.0</v>
      </c>
      <c r="G3776" s="9">
        <v>44.0</v>
      </c>
    </row>
    <row r="3777" ht="14.25" customHeight="1">
      <c r="B3777" s="7" t="s">
        <v>22</v>
      </c>
      <c r="C3777" s="7" t="s">
        <v>7</v>
      </c>
      <c r="D3777" s="7" t="s">
        <v>8</v>
      </c>
      <c r="E3777" s="7" t="s">
        <v>31</v>
      </c>
      <c r="F3777" s="8">
        <v>88.0</v>
      </c>
      <c r="G3777" s="9">
        <v>44.0</v>
      </c>
    </row>
    <row r="3778" ht="14.25" hidden="1" customHeight="1">
      <c r="B3778" s="7" t="s">
        <v>22</v>
      </c>
      <c r="C3778" s="7" t="s">
        <v>29</v>
      </c>
      <c r="D3778" s="7" t="s">
        <v>31</v>
      </c>
      <c r="E3778" s="7" t="s">
        <v>9</v>
      </c>
      <c r="F3778" s="8">
        <v>85.0</v>
      </c>
      <c r="G3778" s="9">
        <v>85.0</v>
      </c>
    </row>
    <row r="3779" ht="14.25" hidden="1" customHeight="1">
      <c r="B3779" s="7" t="s">
        <v>22</v>
      </c>
      <c r="C3779" s="7" t="s">
        <v>7</v>
      </c>
      <c r="D3779" s="7" t="s">
        <v>33</v>
      </c>
      <c r="E3779" s="7" t="s">
        <v>25</v>
      </c>
      <c r="F3779" s="8">
        <v>80.0</v>
      </c>
      <c r="G3779" s="9">
        <v>40.0</v>
      </c>
    </row>
    <row r="3780" ht="14.25" hidden="1" customHeight="1">
      <c r="B3780" s="7" t="s">
        <v>22</v>
      </c>
      <c r="C3780" s="7" t="s">
        <v>30</v>
      </c>
      <c r="D3780" s="7" t="s">
        <v>33</v>
      </c>
      <c r="E3780" s="7" t="s">
        <v>25</v>
      </c>
      <c r="F3780" s="8">
        <v>80.0</v>
      </c>
      <c r="G3780" s="9">
        <v>40.0</v>
      </c>
    </row>
    <row r="3781" ht="14.25" hidden="1" customHeight="1">
      <c r="B3781" s="7" t="s">
        <v>22</v>
      </c>
      <c r="C3781" s="7" t="s">
        <v>7</v>
      </c>
      <c r="D3781" s="7" t="s">
        <v>28</v>
      </c>
      <c r="E3781" s="7" t="s">
        <v>10</v>
      </c>
      <c r="F3781" s="8">
        <v>80.0</v>
      </c>
      <c r="G3781" s="9">
        <v>40.0</v>
      </c>
    </row>
    <row r="3782" ht="14.25" hidden="1" customHeight="1">
      <c r="B3782" s="7" t="s">
        <v>22</v>
      </c>
      <c r="C3782" s="7" t="s">
        <v>30</v>
      </c>
      <c r="D3782" s="7" t="s">
        <v>8</v>
      </c>
      <c r="E3782" s="7" t="s">
        <v>33</v>
      </c>
      <c r="F3782" s="8">
        <v>80.0</v>
      </c>
      <c r="G3782" s="9">
        <v>40.0</v>
      </c>
    </row>
    <row r="3783" ht="14.25" hidden="1" customHeight="1">
      <c r="B3783" s="7" t="s">
        <v>22</v>
      </c>
      <c r="C3783" s="7" t="s">
        <v>30</v>
      </c>
      <c r="D3783" s="7" t="s">
        <v>34</v>
      </c>
      <c r="E3783" s="7" t="s">
        <v>8</v>
      </c>
      <c r="F3783" s="8">
        <v>76.0</v>
      </c>
      <c r="G3783" s="9">
        <v>38.0</v>
      </c>
    </row>
    <row r="3784" ht="14.25" hidden="1" customHeight="1">
      <c r="B3784" s="7" t="s">
        <v>22</v>
      </c>
      <c r="C3784" s="7" t="s">
        <v>30</v>
      </c>
      <c r="D3784" s="7" t="s">
        <v>32</v>
      </c>
      <c r="E3784" s="7" t="s">
        <v>9</v>
      </c>
      <c r="F3784" s="8">
        <v>76.0</v>
      </c>
      <c r="G3784" s="9">
        <v>38.0</v>
      </c>
    </row>
    <row r="3785" ht="14.25" hidden="1" customHeight="1">
      <c r="B3785" s="7" t="s">
        <v>22</v>
      </c>
      <c r="C3785" s="7" t="s">
        <v>7</v>
      </c>
      <c r="D3785" s="7" t="s">
        <v>28</v>
      </c>
      <c r="E3785" s="7" t="s">
        <v>32</v>
      </c>
      <c r="F3785" s="8">
        <v>74.0</v>
      </c>
      <c r="G3785" s="9">
        <v>37.0</v>
      </c>
    </row>
    <row r="3786" ht="14.25" hidden="1" customHeight="1">
      <c r="B3786" s="7" t="s">
        <v>22</v>
      </c>
      <c r="C3786" s="7" t="s">
        <v>7</v>
      </c>
      <c r="D3786" s="7" t="s">
        <v>25</v>
      </c>
      <c r="E3786" s="7" t="s">
        <v>28</v>
      </c>
      <c r="F3786" s="8">
        <v>72.0</v>
      </c>
      <c r="G3786" s="9">
        <v>36.0</v>
      </c>
    </row>
    <row r="3787" ht="14.25" hidden="1" customHeight="1">
      <c r="B3787" s="7" t="s">
        <v>22</v>
      </c>
      <c r="C3787" s="7" t="s">
        <v>7</v>
      </c>
      <c r="D3787" s="7" t="s">
        <v>10</v>
      </c>
      <c r="E3787" s="7" t="s">
        <v>25</v>
      </c>
      <c r="F3787" s="8">
        <v>72.0</v>
      </c>
      <c r="G3787" s="9">
        <v>36.0</v>
      </c>
    </row>
    <row r="3788" ht="14.25" hidden="1" customHeight="1">
      <c r="B3788" s="7" t="s">
        <v>22</v>
      </c>
      <c r="C3788" s="7" t="s">
        <v>29</v>
      </c>
      <c r="D3788" s="7" t="s">
        <v>25</v>
      </c>
      <c r="E3788" s="7" t="s">
        <v>10</v>
      </c>
      <c r="F3788" s="8">
        <v>70.0</v>
      </c>
      <c r="G3788" s="9">
        <v>70.0</v>
      </c>
    </row>
    <row r="3789" ht="14.25" hidden="1" customHeight="1">
      <c r="B3789" s="7" t="s">
        <v>22</v>
      </c>
      <c r="C3789" s="7" t="s">
        <v>30</v>
      </c>
      <c r="D3789" s="7" t="s">
        <v>33</v>
      </c>
      <c r="E3789" s="7" t="s">
        <v>28</v>
      </c>
      <c r="F3789" s="8">
        <v>68.0</v>
      </c>
      <c r="G3789" s="9">
        <v>34.0</v>
      </c>
    </row>
    <row r="3790" ht="14.25" hidden="1" customHeight="1">
      <c r="B3790" s="7" t="s">
        <v>22</v>
      </c>
      <c r="C3790" s="7" t="s">
        <v>7</v>
      </c>
      <c r="D3790" s="7" t="s">
        <v>8</v>
      </c>
      <c r="E3790" s="7" t="s">
        <v>25</v>
      </c>
      <c r="F3790" s="8">
        <v>68.0</v>
      </c>
      <c r="G3790" s="9">
        <v>68.0</v>
      </c>
    </row>
    <row r="3791" ht="14.25" hidden="1" customHeight="1">
      <c r="B3791" s="7" t="s">
        <v>22</v>
      </c>
      <c r="C3791" s="7" t="s">
        <v>29</v>
      </c>
      <c r="D3791" s="7" t="s">
        <v>28</v>
      </c>
      <c r="E3791" s="7" t="s">
        <v>31</v>
      </c>
      <c r="F3791" s="8">
        <v>66.0</v>
      </c>
      <c r="G3791" s="9">
        <v>66.0</v>
      </c>
    </row>
    <row r="3792" ht="14.25" hidden="1" customHeight="1">
      <c r="B3792" s="7" t="s">
        <v>22</v>
      </c>
      <c r="C3792" s="7" t="s">
        <v>29</v>
      </c>
      <c r="D3792" s="7" t="s">
        <v>31</v>
      </c>
      <c r="E3792" s="7" t="s">
        <v>25</v>
      </c>
      <c r="F3792" s="8">
        <v>65.0</v>
      </c>
      <c r="G3792" s="9">
        <v>65.0</v>
      </c>
    </row>
    <row r="3793" ht="14.25" hidden="1" customHeight="1">
      <c r="B3793" s="7" t="s">
        <v>22</v>
      </c>
      <c r="C3793" s="7" t="s">
        <v>7</v>
      </c>
      <c r="D3793" s="7" t="s">
        <v>28</v>
      </c>
      <c r="E3793" s="7" t="s">
        <v>10</v>
      </c>
      <c r="F3793" s="8">
        <v>64.0</v>
      </c>
      <c r="G3793" s="9">
        <v>32.0</v>
      </c>
    </row>
    <row r="3794" ht="14.25" hidden="1" customHeight="1">
      <c r="B3794" s="7" t="s">
        <v>22</v>
      </c>
      <c r="C3794" s="7" t="s">
        <v>7</v>
      </c>
      <c r="D3794" s="7" t="s">
        <v>10</v>
      </c>
      <c r="E3794" s="7" t="s">
        <v>8</v>
      </c>
      <c r="F3794" s="8">
        <v>64.0</v>
      </c>
      <c r="G3794" s="9">
        <v>32.0</v>
      </c>
    </row>
    <row r="3795" ht="14.25" hidden="1" customHeight="1">
      <c r="B3795" s="7" t="s">
        <v>22</v>
      </c>
      <c r="C3795" s="7" t="s">
        <v>7</v>
      </c>
      <c r="D3795" s="7" t="s">
        <v>32</v>
      </c>
      <c r="E3795" s="7" t="s">
        <v>9</v>
      </c>
      <c r="F3795" s="8">
        <v>64.0</v>
      </c>
      <c r="G3795" s="9">
        <v>32.0</v>
      </c>
    </row>
    <row r="3796" ht="14.25" hidden="1" customHeight="1">
      <c r="B3796" s="7" t="s">
        <v>22</v>
      </c>
      <c r="C3796" s="7" t="s">
        <v>7</v>
      </c>
      <c r="D3796" s="7" t="s">
        <v>33</v>
      </c>
      <c r="E3796" s="7" t="s">
        <v>31</v>
      </c>
      <c r="F3796" s="8">
        <v>62.0</v>
      </c>
      <c r="G3796" s="9">
        <v>31.0</v>
      </c>
    </row>
    <row r="3797" ht="14.25" hidden="1" customHeight="1">
      <c r="B3797" s="7" t="s">
        <v>22</v>
      </c>
      <c r="C3797" s="7" t="s">
        <v>7</v>
      </c>
      <c r="D3797" s="7" t="s">
        <v>8</v>
      </c>
      <c r="E3797" s="7" t="s">
        <v>33</v>
      </c>
      <c r="F3797" s="8">
        <v>60.0</v>
      </c>
      <c r="G3797" s="9">
        <v>30.0</v>
      </c>
    </row>
    <row r="3798" ht="14.25" hidden="1" customHeight="1">
      <c r="B3798" s="7" t="s">
        <v>22</v>
      </c>
      <c r="C3798" s="7" t="s">
        <v>7</v>
      </c>
      <c r="D3798" s="7" t="s">
        <v>33</v>
      </c>
      <c r="E3798" s="7" t="s">
        <v>28</v>
      </c>
      <c r="F3798" s="8">
        <v>58.0</v>
      </c>
      <c r="G3798" s="9">
        <v>29.0</v>
      </c>
    </row>
    <row r="3799" ht="14.25" hidden="1" customHeight="1">
      <c r="B3799" s="7" t="s">
        <v>22</v>
      </c>
      <c r="C3799" s="7" t="s">
        <v>30</v>
      </c>
      <c r="D3799" s="7" t="s">
        <v>28</v>
      </c>
      <c r="E3799" s="7" t="s">
        <v>8</v>
      </c>
      <c r="F3799" s="8">
        <v>58.0</v>
      </c>
      <c r="G3799" s="9">
        <v>29.0</v>
      </c>
    </row>
    <row r="3800" ht="14.25" hidden="1" customHeight="1">
      <c r="B3800" s="7" t="s">
        <v>22</v>
      </c>
      <c r="C3800" s="7" t="s">
        <v>7</v>
      </c>
      <c r="D3800" s="7" t="s">
        <v>31</v>
      </c>
      <c r="E3800" s="7" t="s">
        <v>8</v>
      </c>
      <c r="F3800" s="8">
        <v>58.0</v>
      </c>
      <c r="G3800" s="9">
        <v>29.0</v>
      </c>
    </row>
    <row r="3801" ht="14.25" hidden="1" customHeight="1">
      <c r="B3801" s="7" t="s">
        <v>22</v>
      </c>
      <c r="C3801" s="7" t="s">
        <v>29</v>
      </c>
      <c r="D3801" s="7" t="s">
        <v>28</v>
      </c>
      <c r="E3801" s="7" t="s">
        <v>32</v>
      </c>
      <c r="F3801" s="8">
        <v>56.0</v>
      </c>
      <c r="G3801" s="9">
        <v>56.0</v>
      </c>
    </row>
    <row r="3802" ht="14.25" hidden="1" customHeight="1">
      <c r="B3802" s="7" t="s">
        <v>22</v>
      </c>
      <c r="C3802" s="7" t="s">
        <v>29</v>
      </c>
      <c r="D3802" s="7" t="s">
        <v>10</v>
      </c>
      <c r="E3802" s="7" t="s">
        <v>9</v>
      </c>
      <c r="F3802" s="8">
        <v>55.0</v>
      </c>
      <c r="G3802" s="9">
        <v>55.0</v>
      </c>
    </row>
    <row r="3803" ht="14.25" hidden="1" customHeight="1">
      <c r="B3803" s="7" t="s">
        <v>22</v>
      </c>
      <c r="C3803" s="7" t="s">
        <v>7</v>
      </c>
      <c r="D3803" s="7" t="s">
        <v>9</v>
      </c>
      <c r="E3803" s="7" t="s">
        <v>31</v>
      </c>
      <c r="F3803" s="8">
        <v>54.0</v>
      </c>
      <c r="G3803" s="9">
        <v>27.0</v>
      </c>
    </row>
    <row r="3804" ht="14.25" hidden="1" customHeight="1">
      <c r="B3804" s="7" t="s">
        <v>22</v>
      </c>
      <c r="C3804" s="7" t="s">
        <v>30</v>
      </c>
      <c r="D3804" s="7" t="s">
        <v>10</v>
      </c>
      <c r="E3804" s="7" t="s">
        <v>28</v>
      </c>
      <c r="F3804" s="8">
        <v>54.0</v>
      </c>
      <c r="G3804" s="9">
        <v>27.0</v>
      </c>
    </row>
    <row r="3805" ht="14.25" hidden="1" customHeight="1">
      <c r="B3805" s="7" t="s">
        <v>22</v>
      </c>
      <c r="C3805" s="7" t="s">
        <v>29</v>
      </c>
      <c r="D3805" s="7" t="s">
        <v>9</v>
      </c>
      <c r="E3805" s="7" t="s">
        <v>8</v>
      </c>
      <c r="F3805" s="8">
        <v>53.0</v>
      </c>
      <c r="G3805" s="9">
        <v>53.0</v>
      </c>
    </row>
    <row r="3806" ht="14.25" hidden="1" customHeight="1">
      <c r="B3806" s="7" t="s">
        <v>22</v>
      </c>
      <c r="C3806" s="7" t="s">
        <v>7</v>
      </c>
      <c r="D3806" s="7" t="s">
        <v>9</v>
      </c>
      <c r="E3806" s="7" t="s">
        <v>33</v>
      </c>
      <c r="F3806" s="8">
        <v>52.0</v>
      </c>
      <c r="G3806" s="9">
        <v>26.0</v>
      </c>
    </row>
    <row r="3807" ht="14.25" hidden="1" customHeight="1">
      <c r="B3807" s="7" t="s">
        <v>22</v>
      </c>
      <c r="C3807" s="7" t="s">
        <v>29</v>
      </c>
      <c r="D3807" s="7" t="s">
        <v>9</v>
      </c>
      <c r="E3807" s="7" t="s">
        <v>25</v>
      </c>
      <c r="F3807" s="8">
        <v>51.0</v>
      </c>
      <c r="G3807" s="9">
        <v>51.0</v>
      </c>
    </row>
    <row r="3808" ht="14.25" hidden="1" customHeight="1">
      <c r="B3808" s="7" t="s">
        <v>22</v>
      </c>
      <c r="C3808" s="7" t="s">
        <v>7</v>
      </c>
      <c r="D3808" s="7" t="s">
        <v>25</v>
      </c>
      <c r="E3808" s="7" t="s">
        <v>33</v>
      </c>
      <c r="F3808" s="8">
        <v>50.0</v>
      </c>
      <c r="G3808" s="9">
        <v>25.0</v>
      </c>
    </row>
    <row r="3809" ht="14.25" hidden="1" customHeight="1">
      <c r="B3809" s="7" t="s">
        <v>22</v>
      </c>
      <c r="C3809" s="7" t="s">
        <v>29</v>
      </c>
      <c r="D3809" s="7" t="s">
        <v>28</v>
      </c>
      <c r="E3809" s="7" t="s">
        <v>33</v>
      </c>
      <c r="F3809" s="8">
        <v>50.0</v>
      </c>
      <c r="G3809" s="9">
        <v>50.0</v>
      </c>
    </row>
    <row r="3810" ht="14.25" hidden="1" customHeight="1">
      <c r="B3810" s="7" t="s">
        <v>22</v>
      </c>
      <c r="C3810" s="7" t="s">
        <v>29</v>
      </c>
      <c r="D3810" s="7" t="s">
        <v>11</v>
      </c>
      <c r="E3810" s="7" t="s">
        <v>8</v>
      </c>
      <c r="F3810" s="8">
        <v>50.0</v>
      </c>
      <c r="G3810" s="9">
        <v>50.0</v>
      </c>
    </row>
    <row r="3811" ht="14.25" hidden="1" customHeight="1">
      <c r="B3811" s="7" t="s">
        <v>22</v>
      </c>
      <c r="C3811" s="7" t="s">
        <v>30</v>
      </c>
      <c r="D3811" s="7" t="s">
        <v>24</v>
      </c>
      <c r="E3811" s="7" t="s">
        <v>31</v>
      </c>
      <c r="F3811" s="8">
        <v>50.0</v>
      </c>
      <c r="G3811" s="9">
        <v>25.0</v>
      </c>
    </row>
    <row r="3812" ht="14.25" hidden="1" customHeight="1">
      <c r="B3812" s="7" t="s">
        <v>22</v>
      </c>
      <c r="C3812" s="7" t="s">
        <v>29</v>
      </c>
      <c r="D3812" s="7" t="s">
        <v>31</v>
      </c>
      <c r="E3812" s="7" t="s">
        <v>31</v>
      </c>
      <c r="F3812" s="8">
        <v>50.0</v>
      </c>
      <c r="G3812" s="9">
        <v>50.0</v>
      </c>
    </row>
    <row r="3813" ht="14.25" hidden="1" customHeight="1">
      <c r="B3813" s="7" t="s">
        <v>22</v>
      </c>
      <c r="C3813" s="7" t="s">
        <v>29</v>
      </c>
      <c r="D3813" s="7" t="s">
        <v>9</v>
      </c>
      <c r="E3813" s="7" t="s">
        <v>10</v>
      </c>
      <c r="F3813" s="8">
        <v>49.0</v>
      </c>
      <c r="G3813" s="9">
        <v>49.0</v>
      </c>
    </row>
    <row r="3814" ht="14.25" hidden="1" customHeight="1">
      <c r="B3814" s="7" t="s">
        <v>22</v>
      </c>
      <c r="C3814" s="7" t="s">
        <v>7</v>
      </c>
      <c r="D3814" s="7" t="s">
        <v>31</v>
      </c>
      <c r="E3814" s="7" t="s">
        <v>25</v>
      </c>
      <c r="F3814" s="8">
        <v>48.0</v>
      </c>
      <c r="G3814" s="9">
        <v>48.0</v>
      </c>
    </row>
    <row r="3815" ht="14.25" hidden="1" customHeight="1">
      <c r="B3815" s="7" t="s">
        <v>22</v>
      </c>
      <c r="C3815" s="7" t="s">
        <v>7</v>
      </c>
      <c r="D3815" s="7" t="s">
        <v>33</v>
      </c>
      <c r="E3815" s="7" t="s">
        <v>32</v>
      </c>
      <c r="F3815" s="8">
        <v>46.0</v>
      </c>
      <c r="G3815" s="9">
        <v>23.0</v>
      </c>
    </row>
    <row r="3816" ht="14.25" hidden="1" customHeight="1">
      <c r="B3816" s="7" t="s">
        <v>22</v>
      </c>
      <c r="C3816" s="7" t="s">
        <v>7</v>
      </c>
      <c r="D3816" s="7" t="s">
        <v>8</v>
      </c>
      <c r="E3816" s="7" t="s">
        <v>28</v>
      </c>
      <c r="F3816" s="8">
        <v>46.0</v>
      </c>
      <c r="G3816" s="9">
        <v>23.0</v>
      </c>
    </row>
    <row r="3817" ht="14.25" hidden="1" customHeight="1">
      <c r="B3817" s="7" t="s">
        <v>22</v>
      </c>
      <c r="C3817" s="7" t="s">
        <v>29</v>
      </c>
      <c r="D3817" s="7" t="s">
        <v>33</v>
      </c>
      <c r="E3817" s="7" t="s">
        <v>9</v>
      </c>
      <c r="F3817" s="8">
        <v>45.0</v>
      </c>
      <c r="G3817" s="9">
        <v>45.0</v>
      </c>
    </row>
    <row r="3818" ht="14.25" hidden="1" customHeight="1">
      <c r="B3818" s="7" t="s">
        <v>22</v>
      </c>
      <c r="C3818" s="7" t="s">
        <v>29</v>
      </c>
      <c r="D3818" s="7" t="s">
        <v>33</v>
      </c>
      <c r="E3818" s="7" t="s">
        <v>28</v>
      </c>
      <c r="F3818" s="8">
        <v>44.0</v>
      </c>
      <c r="G3818" s="9">
        <v>44.0</v>
      </c>
    </row>
    <row r="3819" ht="14.25" hidden="1" customHeight="1">
      <c r="B3819" s="7" t="s">
        <v>22</v>
      </c>
      <c r="C3819" s="7" t="s">
        <v>7</v>
      </c>
      <c r="D3819" s="7" t="s">
        <v>8</v>
      </c>
      <c r="E3819" s="7" t="s">
        <v>9</v>
      </c>
      <c r="F3819" s="8">
        <v>44.0</v>
      </c>
      <c r="G3819" s="9">
        <v>22.0</v>
      </c>
    </row>
    <row r="3820" ht="14.25" hidden="1" customHeight="1">
      <c r="B3820" s="7" t="s">
        <v>22</v>
      </c>
      <c r="C3820" s="7" t="s">
        <v>29</v>
      </c>
      <c r="D3820" s="7" t="s">
        <v>28</v>
      </c>
      <c r="E3820" s="7" t="s">
        <v>25</v>
      </c>
      <c r="F3820" s="8">
        <v>43.0</v>
      </c>
      <c r="G3820" s="9">
        <v>43.0</v>
      </c>
    </row>
    <row r="3821" ht="14.25" hidden="1" customHeight="1">
      <c r="B3821" s="7" t="s">
        <v>22</v>
      </c>
      <c r="C3821" s="7" t="s">
        <v>30</v>
      </c>
      <c r="D3821" s="7" t="s">
        <v>28</v>
      </c>
      <c r="E3821" s="7" t="s">
        <v>25</v>
      </c>
      <c r="F3821" s="8">
        <v>42.0</v>
      </c>
      <c r="G3821" s="9">
        <v>21.0</v>
      </c>
    </row>
    <row r="3822" ht="14.25" hidden="1" customHeight="1">
      <c r="B3822" s="7" t="s">
        <v>22</v>
      </c>
      <c r="C3822" s="7" t="s">
        <v>7</v>
      </c>
      <c r="D3822" s="7" t="s">
        <v>35</v>
      </c>
      <c r="E3822" s="7" t="s">
        <v>8</v>
      </c>
      <c r="F3822" s="8">
        <v>42.0</v>
      </c>
      <c r="G3822" s="9">
        <v>21.0</v>
      </c>
    </row>
    <row r="3823" ht="14.25" hidden="1" customHeight="1">
      <c r="B3823" s="7" t="s">
        <v>22</v>
      </c>
      <c r="C3823" s="7" t="s">
        <v>29</v>
      </c>
      <c r="D3823" s="7" t="s">
        <v>11</v>
      </c>
      <c r="E3823" s="7" t="s">
        <v>25</v>
      </c>
      <c r="F3823" s="8">
        <v>40.0</v>
      </c>
      <c r="G3823" s="9">
        <v>40.0</v>
      </c>
    </row>
    <row r="3824" ht="14.25" hidden="1" customHeight="1">
      <c r="B3824" s="7" t="s">
        <v>22</v>
      </c>
      <c r="C3824" s="7" t="s">
        <v>7</v>
      </c>
      <c r="D3824" s="7" t="s">
        <v>34</v>
      </c>
      <c r="E3824" s="7" t="s">
        <v>28</v>
      </c>
      <c r="F3824" s="8">
        <v>40.0</v>
      </c>
      <c r="G3824" s="9">
        <v>20.0</v>
      </c>
    </row>
    <row r="3825" ht="14.25" hidden="1" customHeight="1">
      <c r="B3825" s="7" t="s">
        <v>22</v>
      </c>
      <c r="C3825" s="7" t="s">
        <v>29</v>
      </c>
      <c r="D3825" s="7" t="s">
        <v>10</v>
      </c>
      <c r="E3825" s="7" t="s">
        <v>33</v>
      </c>
      <c r="F3825" s="8">
        <v>40.0</v>
      </c>
      <c r="G3825" s="9">
        <v>40.0</v>
      </c>
    </row>
    <row r="3826" ht="14.25" hidden="1" customHeight="1">
      <c r="B3826" s="7" t="s">
        <v>22</v>
      </c>
      <c r="C3826" s="7" t="s">
        <v>29</v>
      </c>
      <c r="D3826" s="7" t="s">
        <v>8</v>
      </c>
      <c r="E3826" s="7" t="s">
        <v>25</v>
      </c>
      <c r="F3826" s="8">
        <v>39.0</v>
      </c>
      <c r="G3826" s="9">
        <v>39.0</v>
      </c>
    </row>
    <row r="3827" ht="14.25" hidden="1" customHeight="1">
      <c r="B3827" s="7" t="s">
        <v>22</v>
      </c>
      <c r="C3827" s="7" t="s">
        <v>29</v>
      </c>
      <c r="D3827" s="7" t="s">
        <v>33</v>
      </c>
      <c r="E3827" s="7" t="s">
        <v>28</v>
      </c>
      <c r="F3827" s="8">
        <v>38.0</v>
      </c>
      <c r="G3827" s="9">
        <v>38.0</v>
      </c>
    </row>
    <row r="3828" ht="14.25" hidden="1" customHeight="1">
      <c r="B3828" s="7" t="s">
        <v>22</v>
      </c>
      <c r="C3828" s="7" t="s">
        <v>7</v>
      </c>
      <c r="D3828" s="7" t="s">
        <v>32</v>
      </c>
      <c r="E3828" s="7" t="s">
        <v>33</v>
      </c>
      <c r="F3828" s="8">
        <v>38.0</v>
      </c>
      <c r="G3828" s="9">
        <v>19.0</v>
      </c>
    </row>
    <row r="3829" ht="14.25" hidden="1" customHeight="1">
      <c r="B3829" s="7" t="s">
        <v>22</v>
      </c>
      <c r="C3829" s="7" t="s">
        <v>7</v>
      </c>
      <c r="D3829" s="7" t="s">
        <v>31</v>
      </c>
      <c r="E3829" s="7" t="s">
        <v>9</v>
      </c>
      <c r="F3829" s="8">
        <v>38.0</v>
      </c>
      <c r="G3829" s="9">
        <v>19.0</v>
      </c>
    </row>
    <row r="3830" ht="14.25" hidden="1" customHeight="1">
      <c r="B3830" s="7" t="s">
        <v>22</v>
      </c>
      <c r="C3830" s="7" t="s">
        <v>7</v>
      </c>
      <c r="D3830" s="7" t="s">
        <v>33</v>
      </c>
      <c r="E3830" s="7" t="s">
        <v>11</v>
      </c>
      <c r="F3830" s="8">
        <v>36.0</v>
      </c>
      <c r="G3830" s="9">
        <v>18.0</v>
      </c>
    </row>
    <row r="3831" ht="14.25" hidden="1" customHeight="1">
      <c r="B3831" s="7" t="s">
        <v>22</v>
      </c>
      <c r="C3831" s="7" t="s">
        <v>7</v>
      </c>
      <c r="D3831" s="7" t="s">
        <v>35</v>
      </c>
      <c r="E3831" s="7" t="s">
        <v>28</v>
      </c>
      <c r="F3831" s="8">
        <v>36.0</v>
      </c>
      <c r="G3831" s="9">
        <v>18.0</v>
      </c>
    </row>
    <row r="3832" ht="14.25" hidden="1" customHeight="1">
      <c r="B3832" s="7" t="s">
        <v>22</v>
      </c>
      <c r="C3832" s="7" t="s">
        <v>7</v>
      </c>
      <c r="D3832" s="7" t="s">
        <v>32</v>
      </c>
      <c r="E3832" s="7" t="s">
        <v>24</v>
      </c>
      <c r="F3832" s="8">
        <v>36.0</v>
      </c>
      <c r="G3832" s="9">
        <v>18.0</v>
      </c>
    </row>
    <row r="3833" ht="14.25" hidden="1" customHeight="1">
      <c r="B3833" s="7" t="s">
        <v>22</v>
      </c>
      <c r="C3833" s="7" t="s">
        <v>29</v>
      </c>
      <c r="D3833" s="7" t="s">
        <v>25</v>
      </c>
      <c r="E3833" s="7" t="s">
        <v>8</v>
      </c>
      <c r="F3833" s="8">
        <v>34.0</v>
      </c>
      <c r="G3833" s="9">
        <v>34.0</v>
      </c>
    </row>
    <row r="3834" ht="14.25" customHeight="1">
      <c r="B3834" s="7" t="s">
        <v>22</v>
      </c>
      <c r="C3834" s="7" t="s">
        <v>7</v>
      </c>
      <c r="D3834" s="7" t="s">
        <v>8</v>
      </c>
      <c r="E3834" s="7" t="s">
        <v>31</v>
      </c>
      <c r="F3834" s="8">
        <v>34.0</v>
      </c>
      <c r="G3834" s="9">
        <v>17.0</v>
      </c>
    </row>
    <row r="3835" ht="14.25" customHeight="1">
      <c r="B3835" s="7" t="s">
        <v>22</v>
      </c>
      <c r="C3835" s="7" t="s">
        <v>7</v>
      </c>
      <c r="D3835" s="7" t="s">
        <v>8</v>
      </c>
      <c r="E3835" s="7" t="s">
        <v>31</v>
      </c>
      <c r="F3835" s="8">
        <v>34.0</v>
      </c>
      <c r="G3835" s="9">
        <v>17.0</v>
      </c>
    </row>
    <row r="3836" ht="14.25" hidden="1" customHeight="1">
      <c r="B3836" s="7" t="s">
        <v>22</v>
      </c>
      <c r="C3836" s="7" t="s">
        <v>29</v>
      </c>
      <c r="D3836" s="7" t="s">
        <v>34</v>
      </c>
      <c r="E3836" s="7" t="s">
        <v>31</v>
      </c>
      <c r="F3836" s="8">
        <v>33.0</v>
      </c>
      <c r="G3836" s="9">
        <v>33.0</v>
      </c>
    </row>
    <row r="3837" ht="14.25" hidden="1" customHeight="1">
      <c r="B3837" s="7" t="s">
        <v>22</v>
      </c>
      <c r="C3837" s="7" t="s">
        <v>29</v>
      </c>
      <c r="D3837" s="7" t="s">
        <v>34</v>
      </c>
      <c r="E3837" s="7" t="s">
        <v>28</v>
      </c>
      <c r="F3837" s="8">
        <v>32.0</v>
      </c>
      <c r="G3837" s="9">
        <v>32.0</v>
      </c>
    </row>
    <row r="3838" ht="14.25" hidden="1" customHeight="1">
      <c r="B3838" s="7" t="s">
        <v>22</v>
      </c>
      <c r="C3838" s="7" t="s">
        <v>30</v>
      </c>
      <c r="D3838" s="7" t="s">
        <v>10</v>
      </c>
      <c r="E3838" s="7" t="s">
        <v>31</v>
      </c>
      <c r="F3838" s="8">
        <v>32.0</v>
      </c>
      <c r="G3838" s="9">
        <v>16.0</v>
      </c>
    </row>
    <row r="3839" ht="14.25" hidden="1" customHeight="1">
      <c r="B3839" s="7" t="s">
        <v>22</v>
      </c>
      <c r="C3839" s="7" t="s">
        <v>7</v>
      </c>
      <c r="D3839" s="7" t="s">
        <v>8</v>
      </c>
      <c r="E3839" s="7" t="s">
        <v>9</v>
      </c>
      <c r="F3839" s="8">
        <v>32.0</v>
      </c>
      <c r="G3839" s="9">
        <v>16.0</v>
      </c>
    </row>
    <row r="3840" ht="14.25" hidden="1" customHeight="1">
      <c r="B3840" s="7" t="s">
        <v>22</v>
      </c>
      <c r="C3840" s="7" t="s">
        <v>29</v>
      </c>
      <c r="D3840" s="7" t="s">
        <v>25</v>
      </c>
      <c r="E3840" s="7" t="s">
        <v>10</v>
      </c>
      <c r="F3840" s="8">
        <v>30.0</v>
      </c>
      <c r="G3840" s="9">
        <v>30.0</v>
      </c>
    </row>
    <row r="3841" ht="14.25" hidden="1" customHeight="1">
      <c r="B3841" s="7" t="s">
        <v>22</v>
      </c>
      <c r="C3841" s="7" t="s">
        <v>29</v>
      </c>
      <c r="D3841" s="7" t="s">
        <v>9</v>
      </c>
      <c r="E3841" s="7" t="s">
        <v>31</v>
      </c>
      <c r="F3841" s="8">
        <v>28.0</v>
      </c>
      <c r="G3841" s="9">
        <v>28.0</v>
      </c>
    </row>
    <row r="3842" ht="14.25" hidden="1" customHeight="1">
      <c r="B3842" s="7" t="s">
        <v>22</v>
      </c>
      <c r="C3842" s="7" t="s">
        <v>7</v>
      </c>
      <c r="D3842" s="7" t="s">
        <v>31</v>
      </c>
      <c r="E3842" s="7" t="s">
        <v>10</v>
      </c>
      <c r="F3842" s="8">
        <v>28.0</v>
      </c>
      <c r="G3842" s="9">
        <v>14.0</v>
      </c>
    </row>
    <row r="3843" ht="14.25" hidden="1" customHeight="1">
      <c r="B3843" s="7" t="s">
        <v>22</v>
      </c>
      <c r="C3843" s="7" t="s">
        <v>7</v>
      </c>
      <c r="D3843" s="7" t="s">
        <v>8</v>
      </c>
      <c r="E3843" s="7" t="s">
        <v>28</v>
      </c>
      <c r="F3843" s="8">
        <v>28.0</v>
      </c>
      <c r="G3843" s="9">
        <v>14.0</v>
      </c>
    </row>
    <row r="3844" ht="14.25" hidden="1" customHeight="1">
      <c r="B3844" s="7" t="s">
        <v>22</v>
      </c>
      <c r="C3844" s="7" t="s">
        <v>29</v>
      </c>
      <c r="D3844" s="7" t="s">
        <v>24</v>
      </c>
      <c r="E3844" s="7" t="s">
        <v>31</v>
      </c>
      <c r="F3844" s="8">
        <v>27.0</v>
      </c>
      <c r="G3844" s="9">
        <v>27.0</v>
      </c>
    </row>
    <row r="3845" ht="14.25" hidden="1" customHeight="1">
      <c r="B3845" s="7" t="s">
        <v>22</v>
      </c>
      <c r="C3845" s="7" t="s">
        <v>29</v>
      </c>
      <c r="D3845" s="7" t="s">
        <v>10</v>
      </c>
      <c r="E3845" s="7" t="s">
        <v>28</v>
      </c>
      <c r="F3845" s="8">
        <v>27.0</v>
      </c>
      <c r="G3845" s="9">
        <v>27.0</v>
      </c>
    </row>
    <row r="3846" ht="14.25" hidden="1" customHeight="1">
      <c r="B3846" s="7" t="s">
        <v>22</v>
      </c>
      <c r="C3846" s="7" t="s">
        <v>30</v>
      </c>
      <c r="D3846" s="7" t="s">
        <v>9</v>
      </c>
      <c r="E3846" s="7" t="s">
        <v>28</v>
      </c>
      <c r="F3846" s="8">
        <v>26.0</v>
      </c>
      <c r="G3846" s="9">
        <v>13.0</v>
      </c>
    </row>
    <row r="3847" ht="14.25" hidden="1" customHeight="1">
      <c r="B3847" s="7" t="s">
        <v>22</v>
      </c>
      <c r="C3847" s="7" t="s">
        <v>29</v>
      </c>
      <c r="D3847" s="7" t="s">
        <v>10</v>
      </c>
      <c r="E3847" s="7" t="s">
        <v>25</v>
      </c>
      <c r="F3847" s="8">
        <v>26.0</v>
      </c>
      <c r="G3847" s="9">
        <v>26.0</v>
      </c>
    </row>
    <row r="3848" ht="14.25" hidden="1" customHeight="1">
      <c r="B3848" s="7" t="s">
        <v>22</v>
      </c>
      <c r="C3848" s="7" t="s">
        <v>7</v>
      </c>
      <c r="D3848" s="7" t="s">
        <v>10</v>
      </c>
      <c r="E3848" s="7" t="s">
        <v>31</v>
      </c>
      <c r="F3848" s="8">
        <v>26.0</v>
      </c>
      <c r="G3848" s="9">
        <v>13.0</v>
      </c>
    </row>
    <row r="3849" ht="14.25" hidden="1" customHeight="1">
      <c r="B3849" s="7" t="s">
        <v>22</v>
      </c>
      <c r="C3849" s="7" t="s">
        <v>29</v>
      </c>
      <c r="D3849" s="7" t="s">
        <v>31</v>
      </c>
      <c r="E3849" s="7" t="s">
        <v>28</v>
      </c>
      <c r="F3849" s="8">
        <v>26.0</v>
      </c>
      <c r="G3849" s="9">
        <v>26.0</v>
      </c>
    </row>
    <row r="3850" ht="14.25" hidden="1" customHeight="1">
      <c r="B3850" s="7" t="s">
        <v>22</v>
      </c>
      <c r="C3850" s="7" t="s">
        <v>7</v>
      </c>
      <c r="D3850" s="7" t="s">
        <v>8</v>
      </c>
      <c r="E3850" s="7" t="s">
        <v>25</v>
      </c>
      <c r="F3850" s="8">
        <v>26.0</v>
      </c>
      <c r="G3850" s="9">
        <v>13.0</v>
      </c>
    </row>
    <row r="3851" ht="14.25" hidden="1" customHeight="1">
      <c r="B3851" s="7" t="s">
        <v>22</v>
      </c>
      <c r="C3851" s="7" t="s">
        <v>29</v>
      </c>
      <c r="D3851" s="7" t="s">
        <v>11</v>
      </c>
      <c r="E3851" s="7" t="s">
        <v>10</v>
      </c>
      <c r="F3851" s="8">
        <v>25.0</v>
      </c>
      <c r="G3851" s="9">
        <v>25.0</v>
      </c>
    </row>
    <row r="3852" ht="14.25" hidden="1" customHeight="1">
      <c r="B3852" s="7" t="s">
        <v>22</v>
      </c>
      <c r="C3852" s="7" t="s">
        <v>29</v>
      </c>
      <c r="D3852" s="7" t="s">
        <v>28</v>
      </c>
      <c r="E3852" s="7" t="s">
        <v>8</v>
      </c>
      <c r="F3852" s="8">
        <v>24.0</v>
      </c>
      <c r="G3852" s="9">
        <v>24.0</v>
      </c>
    </row>
    <row r="3853" ht="14.25" hidden="1" customHeight="1">
      <c r="B3853" s="7" t="s">
        <v>22</v>
      </c>
      <c r="C3853" s="7" t="s">
        <v>7</v>
      </c>
      <c r="D3853" s="7" t="s">
        <v>10</v>
      </c>
      <c r="E3853" s="7" t="s">
        <v>24</v>
      </c>
      <c r="F3853" s="8">
        <v>24.0</v>
      </c>
      <c r="G3853" s="9">
        <v>12.0</v>
      </c>
    </row>
    <row r="3854" ht="14.25" hidden="1" customHeight="1">
      <c r="B3854" s="7" t="s">
        <v>22</v>
      </c>
      <c r="C3854" s="7" t="s">
        <v>29</v>
      </c>
      <c r="D3854" s="7" t="s">
        <v>8</v>
      </c>
      <c r="E3854" s="7" t="s">
        <v>25</v>
      </c>
      <c r="F3854" s="8">
        <v>24.0</v>
      </c>
      <c r="G3854" s="9">
        <v>24.0</v>
      </c>
    </row>
    <row r="3855" ht="14.25" hidden="1" customHeight="1">
      <c r="B3855" s="7" t="s">
        <v>22</v>
      </c>
      <c r="C3855" s="7" t="s">
        <v>7</v>
      </c>
      <c r="D3855" s="7" t="s">
        <v>8</v>
      </c>
      <c r="E3855" s="7" t="s">
        <v>10</v>
      </c>
      <c r="F3855" s="8">
        <v>24.0</v>
      </c>
      <c r="G3855" s="9">
        <v>12.0</v>
      </c>
    </row>
    <row r="3856" ht="14.25" hidden="1" customHeight="1">
      <c r="B3856" s="7" t="s">
        <v>22</v>
      </c>
      <c r="C3856" s="7" t="s">
        <v>29</v>
      </c>
      <c r="D3856" s="7" t="s">
        <v>31</v>
      </c>
      <c r="E3856" s="7" t="s">
        <v>25</v>
      </c>
      <c r="F3856" s="8">
        <v>23.0</v>
      </c>
      <c r="G3856" s="9">
        <v>23.0</v>
      </c>
    </row>
    <row r="3857" ht="14.25" hidden="1" customHeight="1">
      <c r="B3857" s="7" t="s">
        <v>22</v>
      </c>
      <c r="C3857" s="7" t="s">
        <v>29</v>
      </c>
      <c r="D3857" s="7" t="s">
        <v>11</v>
      </c>
      <c r="E3857" s="7" t="s">
        <v>25</v>
      </c>
      <c r="F3857" s="8">
        <v>22.0</v>
      </c>
      <c r="G3857" s="9">
        <v>22.0</v>
      </c>
    </row>
    <row r="3858" ht="14.25" hidden="1" customHeight="1">
      <c r="B3858" s="7" t="s">
        <v>22</v>
      </c>
      <c r="C3858" s="7" t="s">
        <v>7</v>
      </c>
      <c r="D3858" s="7" t="s">
        <v>11</v>
      </c>
      <c r="E3858" s="7" t="s">
        <v>10</v>
      </c>
      <c r="F3858" s="8">
        <v>22.0</v>
      </c>
      <c r="G3858" s="9">
        <v>11.0</v>
      </c>
    </row>
    <row r="3859" ht="14.25" hidden="1" customHeight="1">
      <c r="B3859" s="7" t="s">
        <v>22</v>
      </c>
      <c r="C3859" s="7" t="s">
        <v>29</v>
      </c>
      <c r="D3859" s="7" t="s">
        <v>9</v>
      </c>
      <c r="E3859" s="7" t="s">
        <v>8</v>
      </c>
      <c r="F3859" s="8">
        <v>22.0</v>
      </c>
      <c r="G3859" s="9">
        <v>22.0</v>
      </c>
    </row>
    <row r="3860" ht="14.25" hidden="1" customHeight="1">
      <c r="B3860" s="7" t="s">
        <v>22</v>
      </c>
      <c r="C3860" s="7" t="s">
        <v>30</v>
      </c>
      <c r="D3860" s="7" t="s">
        <v>31</v>
      </c>
      <c r="E3860" s="7" t="s">
        <v>10</v>
      </c>
      <c r="F3860" s="8">
        <v>22.0</v>
      </c>
      <c r="G3860" s="9">
        <v>11.0</v>
      </c>
    </row>
    <row r="3861" ht="14.25" hidden="1" customHeight="1">
      <c r="B3861" s="7" t="s">
        <v>22</v>
      </c>
      <c r="C3861" s="7" t="s">
        <v>29</v>
      </c>
      <c r="D3861" s="7" t="s">
        <v>33</v>
      </c>
      <c r="E3861" s="7" t="s">
        <v>25</v>
      </c>
      <c r="F3861" s="8">
        <v>21.0</v>
      </c>
      <c r="G3861" s="9">
        <v>21.0</v>
      </c>
    </row>
    <row r="3862" ht="14.25" hidden="1" customHeight="1">
      <c r="B3862" s="7" t="s">
        <v>22</v>
      </c>
      <c r="C3862" s="7" t="s">
        <v>29</v>
      </c>
      <c r="D3862" s="7" t="s">
        <v>8</v>
      </c>
      <c r="E3862" s="7" t="s">
        <v>9</v>
      </c>
      <c r="F3862" s="8">
        <v>21.0</v>
      </c>
      <c r="G3862" s="9">
        <v>21.0</v>
      </c>
    </row>
    <row r="3863" ht="14.25" hidden="1" customHeight="1">
      <c r="B3863" s="7" t="s">
        <v>22</v>
      </c>
      <c r="C3863" s="7" t="s">
        <v>30</v>
      </c>
      <c r="D3863" s="7" t="s">
        <v>28</v>
      </c>
      <c r="E3863" s="7" t="s">
        <v>31</v>
      </c>
      <c r="F3863" s="8">
        <v>20.0</v>
      </c>
      <c r="G3863" s="9">
        <v>10.0</v>
      </c>
    </row>
    <row r="3864" ht="14.25" hidden="1" customHeight="1">
      <c r="B3864" s="7" t="s">
        <v>22</v>
      </c>
      <c r="C3864" s="7" t="s">
        <v>7</v>
      </c>
      <c r="D3864" s="7" t="s">
        <v>11</v>
      </c>
      <c r="E3864" s="7" t="s">
        <v>25</v>
      </c>
      <c r="F3864" s="8">
        <v>20.0</v>
      </c>
      <c r="G3864" s="9">
        <v>10.0</v>
      </c>
    </row>
    <row r="3865" ht="14.25" hidden="1" customHeight="1">
      <c r="B3865" s="7" t="s">
        <v>22</v>
      </c>
      <c r="C3865" s="7" t="s">
        <v>30</v>
      </c>
      <c r="D3865" s="7" t="s">
        <v>10</v>
      </c>
      <c r="E3865" s="7" t="s">
        <v>33</v>
      </c>
      <c r="F3865" s="8">
        <v>20.0</v>
      </c>
      <c r="G3865" s="9">
        <v>10.0</v>
      </c>
    </row>
    <row r="3866" ht="14.25" hidden="1" customHeight="1">
      <c r="B3866" s="7" t="s">
        <v>22</v>
      </c>
      <c r="C3866" s="7" t="s">
        <v>30</v>
      </c>
      <c r="D3866" s="7" t="s">
        <v>10</v>
      </c>
      <c r="E3866" s="7" t="s">
        <v>9</v>
      </c>
      <c r="F3866" s="8">
        <v>20.0</v>
      </c>
      <c r="G3866" s="9">
        <v>10.0</v>
      </c>
    </row>
    <row r="3867" ht="14.25" hidden="1" customHeight="1">
      <c r="B3867" s="7" t="s">
        <v>22</v>
      </c>
      <c r="C3867" s="7" t="s">
        <v>29</v>
      </c>
      <c r="D3867" s="7" t="s">
        <v>25</v>
      </c>
      <c r="E3867" s="7" t="s">
        <v>28</v>
      </c>
      <c r="F3867" s="8">
        <v>18.0</v>
      </c>
      <c r="G3867" s="9">
        <v>18.0</v>
      </c>
    </row>
    <row r="3868" ht="14.25" hidden="1" customHeight="1">
      <c r="B3868" s="7" t="s">
        <v>22</v>
      </c>
      <c r="C3868" s="7" t="s">
        <v>29</v>
      </c>
      <c r="D3868" s="7" t="s">
        <v>25</v>
      </c>
      <c r="E3868" s="7" t="s">
        <v>8</v>
      </c>
      <c r="F3868" s="8">
        <v>18.0</v>
      </c>
      <c r="G3868" s="9">
        <v>18.0</v>
      </c>
    </row>
    <row r="3869" ht="14.25" hidden="1" customHeight="1">
      <c r="B3869" s="7" t="s">
        <v>22</v>
      </c>
      <c r="C3869" s="7" t="s">
        <v>7</v>
      </c>
      <c r="D3869" s="7" t="s">
        <v>9</v>
      </c>
      <c r="E3869" s="7" t="s">
        <v>33</v>
      </c>
      <c r="F3869" s="8">
        <v>18.0</v>
      </c>
      <c r="G3869" s="9">
        <v>9.0</v>
      </c>
    </row>
    <row r="3870" ht="14.25" hidden="1" customHeight="1">
      <c r="B3870" s="7" t="s">
        <v>22</v>
      </c>
      <c r="C3870" s="7" t="s">
        <v>7</v>
      </c>
      <c r="D3870" s="7" t="s">
        <v>9</v>
      </c>
      <c r="E3870" s="7" t="s">
        <v>31</v>
      </c>
      <c r="F3870" s="8">
        <v>18.0</v>
      </c>
      <c r="G3870" s="9">
        <v>9.0</v>
      </c>
    </row>
    <row r="3871" ht="14.25" hidden="1" customHeight="1">
      <c r="B3871" s="7" t="s">
        <v>22</v>
      </c>
      <c r="C3871" s="7" t="s">
        <v>7</v>
      </c>
      <c r="D3871" s="7" t="s">
        <v>10</v>
      </c>
      <c r="E3871" s="7" t="s">
        <v>9</v>
      </c>
      <c r="F3871" s="8">
        <v>18.0</v>
      </c>
      <c r="G3871" s="9">
        <v>9.0</v>
      </c>
    </row>
    <row r="3872" ht="14.25" hidden="1" customHeight="1">
      <c r="B3872" s="7" t="s">
        <v>22</v>
      </c>
      <c r="C3872" s="7" t="s">
        <v>29</v>
      </c>
      <c r="D3872" s="7" t="s">
        <v>32</v>
      </c>
      <c r="E3872" s="7" t="s">
        <v>28</v>
      </c>
      <c r="F3872" s="8">
        <v>18.0</v>
      </c>
      <c r="G3872" s="9">
        <v>18.0</v>
      </c>
    </row>
    <row r="3873" ht="14.25" hidden="1" customHeight="1">
      <c r="B3873" s="7" t="s">
        <v>22</v>
      </c>
      <c r="C3873" s="7" t="s">
        <v>7</v>
      </c>
      <c r="D3873" s="7" t="s">
        <v>31</v>
      </c>
      <c r="E3873" s="7" t="s">
        <v>10</v>
      </c>
      <c r="F3873" s="8">
        <v>18.0</v>
      </c>
      <c r="G3873" s="9">
        <v>9.0</v>
      </c>
    </row>
    <row r="3874" ht="14.25" hidden="1" customHeight="1">
      <c r="B3874" s="7" t="s">
        <v>22</v>
      </c>
      <c r="C3874" s="7" t="s">
        <v>29</v>
      </c>
      <c r="D3874" s="7" t="s">
        <v>25</v>
      </c>
      <c r="E3874" s="7" t="s">
        <v>33</v>
      </c>
      <c r="F3874" s="8">
        <v>17.0</v>
      </c>
      <c r="G3874" s="9">
        <v>17.0</v>
      </c>
    </row>
    <row r="3875" ht="14.25" hidden="1" customHeight="1">
      <c r="B3875" s="7" t="s">
        <v>22</v>
      </c>
      <c r="C3875" s="7" t="s">
        <v>29</v>
      </c>
      <c r="D3875" s="7" t="s">
        <v>9</v>
      </c>
      <c r="E3875" s="7" t="s">
        <v>25</v>
      </c>
      <c r="F3875" s="8">
        <v>17.0</v>
      </c>
      <c r="G3875" s="9">
        <v>17.0</v>
      </c>
    </row>
    <row r="3876" ht="14.25" hidden="1" customHeight="1">
      <c r="B3876" s="7" t="s">
        <v>22</v>
      </c>
      <c r="C3876" s="7" t="s">
        <v>7</v>
      </c>
      <c r="D3876" s="7" t="s">
        <v>25</v>
      </c>
      <c r="E3876" s="7" t="s">
        <v>8</v>
      </c>
      <c r="F3876" s="8">
        <v>16.0</v>
      </c>
      <c r="G3876" s="9">
        <v>8.0</v>
      </c>
    </row>
    <row r="3877" ht="14.25" hidden="1" customHeight="1">
      <c r="B3877" s="7" t="s">
        <v>22</v>
      </c>
      <c r="C3877" s="7" t="s">
        <v>30</v>
      </c>
      <c r="D3877" s="7" t="s">
        <v>28</v>
      </c>
      <c r="E3877" s="7" t="s">
        <v>10</v>
      </c>
      <c r="F3877" s="8">
        <v>16.0</v>
      </c>
      <c r="G3877" s="9">
        <v>8.0</v>
      </c>
    </row>
    <row r="3878" ht="14.25" hidden="1" customHeight="1">
      <c r="B3878" s="7" t="s">
        <v>22</v>
      </c>
      <c r="C3878" s="7" t="s">
        <v>7</v>
      </c>
      <c r="D3878" s="7" t="s">
        <v>11</v>
      </c>
      <c r="E3878" s="7" t="s">
        <v>9</v>
      </c>
      <c r="F3878" s="8">
        <v>16.0</v>
      </c>
      <c r="G3878" s="9">
        <v>8.0</v>
      </c>
    </row>
    <row r="3879" ht="14.25" hidden="1" customHeight="1">
      <c r="B3879" s="7" t="s">
        <v>22</v>
      </c>
      <c r="C3879" s="7" t="s">
        <v>7</v>
      </c>
      <c r="D3879" s="7" t="s">
        <v>9</v>
      </c>
      <c r="E3879" s="7" t="s">
        <v>10</v>
      </c>
      <c r="F3879" s="8">
        <v>16.0</v>
      </c>
      <c r="G3879" s="9">
        <v>8.0</v>
      </c>
    </row>
    <row r="3880" ht="14.25" hidden="1" customHeight="1">
      <c r="B3880" s="7" t="s">
        <v>22</v>
      </c>
      <c r="C3880" s="7" t="s">
        <v>30</v>
      </c>
      <c r="D3880" s="7" t="s">
        <v>10</v>
      </c>
      <c r="E3880" s="7" t="s">
        <v>25</v>
      </c>
      <c r="F3880" s="8">
        <v>16.0</v>
      </c>
      <c r="G3880" s="9">
        <v>8.0</v>
      </c>
    </row>
    <row r="3881" ht="14.25" hidden="1" customHeight="1">
      <c r="B3881" s="7" t="s">
        <v>22</v>
      </c>
      <c r="C3881" s="7" t="s">
        <v>29</v>
      </c>
      <c r="D3881" s="7" t="s">
        <v>10</v>
      </c>
      <c r="E3881" s="7" t="s">
        <v>8</v>
      </c>
      <c r="F3881" s="8">
        <v>16.0</v>
      </c>
      <c r="G3881" s="9">
        <v>16.0</v>
      </c>
    </row>
    <row r="3882" ht="14.25" hidden="1" customHeight="1">
      <c r="B3882" s="7" t="s">
        <v>22</v>
      </c>
      <c r="C3882" s="7" t="s">
        <v>7</v>
      </c>
      <c r="D3882" s="7" t="s">
        <v>31</v>
      </c>
      <c r="E3882" s="7" t="s">
        <v>33</v>
      </c>
      <c r="F3882" s="8">
        <v>16.0</v>
      </c>
      <c r="G3882" s="9">
        <v>8.0</v>
      </c>
    </row>
    <row r="3883" ht="14.25" hidden="1" customHeight="1">
      <c r="B3883" s="7" t="s">
        <v>22</v>
      </c>
      <c r="C3883" s="7" t="s">
        <v>7</v>
      </c>
      <c r="D3883" s="7" t="s">
        <v>31</v>
      </c>
      <c r="E3883" s="7" t="s">
        <v>28</v>
      </c>
      <c r="F3883" s="8">
        <v>16.0</v>
      </c>
      <c r="G3883" s="9">
        <v>8.0</v>
      </c>
    </row>
    <row r="3884" ht="14.25" hidden="1" customHeight="1">
      <c r="B3884" s="7" t="s">
        <v>22</v>
      </c>
      <c r="C3884" s="7" t="s">
        <v>7</v>
      </c>
      <c r="D3884" s="7" t="s">
        <v>8</v>
      </c>
      <c r="E3884" s="7" t="s">
        <v>28</v>
      </c>
      <c r="F3884" s="8">
        <v>16.0</v>
      </c>
      <c r="G3884" s="9">
        <v>8.0</v>
      </c>
    </row>
    <row r="3885" ht="14.25" hidden="1" customHeight="1">
      <c r="B3885" s="7" t="s">
        <v>22</v>
      </c>
      <c r="C3885" s="7" t="s">
        <v>29</v>
      </c>
      <c r="D3885" s="7" t="s">
        <v>11</v>
      </c>
      <c r="E3885" s="7" t="s">
        <v>9</v>
      </c>
      <c r="F3885" s="8">
        <v>15.0</v>
      </c>
      <c r="G3885" s="9">
        <v>15.0</v>
      </c>
    </row>
    <row r="3886" ht="14.25" hidden="1" customHeight="1">
      <c r="B3886" s="7" t="s">
        <v>22</v>
      </c>
      <c r="C3886" s="7" t="s">
        <v>29</v>
      </c>
      <c r="D3886" s="7" t="s">
        <v>9</v>
      </c>
      <c r="E3886" s="7" t="s">
        <v>32</v>
      </c>
      <c r="F3886" s="8">
        <v>15.0</v>
      </c>
      <c r="G3886" s="9">
        <v>15.0</v>
      </c>
    </row>
    <row r="3887" ht="14.25" hidden="1" customHeight="1">
      <c r="B3887" s="7" t="s">
        <v>22</v>
      </c>
      <c r="C3887" s="7" t="s">
        <v>29</v>
      </c>
      <c r="D3887" s="7" t="s">
        <v>10</v>
      </c>
      <c r="E3887" s="7" t="s">
        <v>31</v>
      </c>
      <c r="F3887" s="8">
        <v>15.0</v>
      </c>
      <c r="G3887" s="9">
        <v>15.0</v>
      </c>
    </row>
    <row r="3888" ht="14.25" hidden="1" customHeight="1">
      <c r="B3888" s="7" t="s">
        <v>22</v>
      </c>
      <c r="C3888" s="7" t="s">
        <v>29</v>
      </c>
      <c r="D3888" s="7" t="s">
        <v>10</v>
      </c>
      <c r="E3888" s="7" t="s">
        <v>8</v>
      </c>
      <c r="F3888" s="8">
        <v>15.0</v>
      </c>
      <c r="G3888" s="9">
        <v>15.0</v>
      </c>
    </row>
    <row r="3889" ht="14.25" hidden="1" customHeight="1">
      <c r="B3889" s="7" t="s">
        <v>22</v>
      </c>
      <c r="C3889" s="7" t="s">
        <v>29</v>
      </c>
      <c r="D3889" s="7" t="s">
        <v>8</v>
      </c>
      <c r="E3889" s="7" t="s">
        <v>28</v>
      </c>
      <c r="F3889" s="8">
        <v>15.0</v>
      </c>
      <c r="G3889" s="9">
        <v>15.0</v>
      </c>
    </row>
    <row r="3890" ht="14.25" hidden="1" customHeight="1">
      <c r="B3890" s="7" t="s">
        <v>22</v>
      </c>
      <c r="C3890" s="7" t="s">
        <v>7</v>
      </c>
      <c r="D3890" s="7" t="s">
        <v>25</v>
      </c>
      <c r="E3890" s="7" t="s">
        <v>33</v>
      </c>
      <c r="F3890" s="8">
        <v>14.0</v>
      </c>
      <c r="G3890" s="9">
        <v>7.0</v>
      </c>
    </row>
    <row r="3891" ht="14.25" hidden="1" customHeight="1">
      <c r="B3891" s="7" t="s">
        <v>22</v>
      </c>
      <c r="C3891" s="7" t="s">
        <v>7</v>
      </c>
      <c r="D3891" s="7" t="s">
        <v>25</v>
      </c>
      <c r="E3891" s="7" t="s">
        <v>9</v>
      </c>
      <c r="F3891" s="8">
        <v>14.0</v>
      </c>
      <c r="G3891" s="9">
        <v>7.0</v>
      </c>
    </row>
    <row r="3892" ht="14.25" hidden="1" customHeight="1">
      <c r="B3892" s="7" t="s">
        <v>22</v>
      </c>
      <c r="C3892" s="7" t="s">
        <v>7</v>
      </c>
      <c r="D3892" s="7" t="s">
        <v>33</v>
      </c>
      <c r="E3892" s="7" t="s">
        <v>9</v>
      </c>
      <c r="F3892" s="8">
        <v>14.0</v>
      </c>
      <c r="G3892" s="9">
        <v>7.0</v>
      </c>
    </row>
    <row r="3893" ht="14.25" hidden="1" customHeight="1">
      <c r="B3893" s="7" t="s">
        <v>22</v>
      </c>
      <c r="C3893" s="7" t="s">
        <v>7</v>
      </c>
      <c r="D3893" s="7" t="s">
        <v>33</v>
      </c>
      <c r="E3893" s="7" t="s">
        <v>8</v>
      </c>
      <c r="F3893" s="8">
        <v>14.0</v>
      </c>
      <c r="G3893" s="9">
        <v>7.0</v>
      </c>
    </row>
    <row r="3894" ht="14.25" hidden="1" customHeight="1">
      <c r="B3894" s="7" t="s">
        <v>22</v>
      </c>
      <c r="C3894" s="7" t="s">
        <v>7</v>
      </c>
      <c r="D3894" s="7" t="s">
        <v>10</v>
      </c>
      <c r="E3894" s="7" t="s">
        <v>9</v>
      </c>
      <c r="F3894" s="8">
        <v>14.0</v>
      </c>
      <c r="G3894" s="9">
        <v>7.0</v>
      </c>
    </row>
    <row r="3895" ht="14.25" hidden="1" customHeight="1">
      <c r="B3895" s="7" t="s">
        <v>22</v>
      </c>
      <c r="C3895" s="7" t="s">
        <v>29</v>
      </c>
      <c r="D3895" s="7" t="s">
        <v>11</v>
      </c>
      <c r="E3895" s="7" t="s">
        <v>10</v>
      </c>
      <c r="F3895" s="8">
        <v>13.0</v>
      </c>
      <c r="G3895" s="9">
        <v>13.0</v>
      </c>
    </row>
    <row r="3896" ht="14.25" hidden="1" customHeight="1">
      <c r="B3896" s="7" t="s">
        <v>22</v>
      </c>
      <c r="C3896" s="7" t="s">
        <v>29</v>
      </c>
      <c r="D3896" s="7" t="s">
        <v>32</v>
      </c>
      <c r="E3896" s="7" t="s">
        <v>9</v>
      </c>
      <c r="F3896" s="8">
        <v>13.0</v>
      </c>
      <c r="G3896" s="9">
        <v>13.0</v>
      </c>
    </row>
    <row r="3897" ht="14.25" hidden="1" customHeight="1">
      <c r="B3897" s="7" t="s">
        <v>22</v>
      </c>
      <c r="C3897" s="7" t="s">
        <v>30</v>
      </c>
      <c r="D3897" s="7" t="s">
        <v>33</v>
      </c>
      <c r="E3897" s="7" t="s">
        <v>31</v>
      </c>
      <c r="F3897" s="8">
        <v>12.0</v>
      </c>
      <c r="G3897" s="9">
        <v>6.0</v>
      </c>
    </row>
    <row r="3898" ht="14.25" hidden="1" customHeight="1">
      <c r="B3898" s="7" t="s">
        <v>22</v>
      </c>
      <c r="C3898" s="7" t="s">
        <v>7</v>
      </c>
      <c r="D3898" s="7" t="s">
        <v>33</v>
      </c>
      <c r="E3898" s="7" t="s">
        <v>8</v>
      </c>
      <c r="F3898" s="8">
        <v>12.0</v>
      </c>
      <c r="G3898" s="9">
        <v>6.0</v>
      </c>
    </row>
    <row r="3899" ht="14.25" hidden="1" customHeight="1">
      <c r="B3899" s="7" t="s">
        <v>22</v>
      </c>
      <c r="C3899" s="7" t="s">
        <v>29</v>
      </c>
      <c r="D3899" s="7" t="s">
        <v>34</v>
      </c>
      <c r="E3899" s="7" t="s">
        <v>28</v>
      </c>
      <c r="F3899" s="8">
        <v>12.0</v>
      </c>
      <c r="G3899" s="9">
        <v>12.0</v>
      </c>
    </row>
    <row r="3900" ht="14.25" hidden="1" customHeight="1">
      <c r="B3900" s="7" t="s">
        <v>22</v>
      </c>
      <c r="C3900" s="7" t="s">
        <v>30</v>
      </c>
      <c r="D3900" s="7" t="s">
        <v>24</v>
      </c>
      <c r="E3900" s="7" t="s">
        <v>8</v>
      </c>
      <c r="F3900" s="8">
        <v>12.0</v>
      </c>
      <c r="G3900" s="9">
        <v>6.0</v>
      </c>
    </row>
    <row r="3901" ht="14.25" hidden="1" customHeight="1">
      <c r="B3901" s="7" t="s">
        <v>22</v>
      </c>
      <c r="C3901" s="7" t="s">
        <v>29</v>
      </c>
      <c r="D3901" s="7" t="s">
        <v>10</v>
      </c>
      <c r="E3901" s="7" t="s">
        <v>24</v>
      </c>
      <c r="F3901" s="8">
        <v>12.0</v>
      </c>
      <c r="G3901" s="9">
        <v>12.0</v>
      </c>
    </row>
    <row r="3902" ht="14.25" hidden="1" customHeight="1">
      <c r="B3902" s="7" t="s">
        <v>22</v>
      </c>
      <c r="C3902" s="7" t="s">
        <v>29</v>
      </c>
      <c r="D3902" s="7" t="s">
        <v>32</v>
      </c>
      <c r="E3902" s="7" t="s">
        <v>33</v>
      </c>
      <c r="F3902" s="8">
        <v>12.0</v>
      </c>
      <c r="G3902" s="9">
        <v>12.0</v>
      </c>
    </row>
    <row r="3903" ht="14.25" hidden="1" customHeight="1">
      <c r="B3903" s="7" t="s">
        <v>22</v>
      </c>
      <c r="C3903" s="7" t="s">
        <v>30</v>
      </c>
      <c r="D3903" s="7" t="s">
        <v>32</v>
      </c>
      <c r="E3903" s="7" t="s">
        <v>28</v>
      </c>
      <c r="F3903" s="8">
        <v>12.0</v>
      </c>
      <c r="G3903" s="9">
        <v>6.0</v>
      </c>
    </row>
    <row r="3904" ht="14.25" hidden="1" customHeight="1">
      <c r="B3904" s="7" t="s">
        <v>22</v>
      </c>
      <c r="C3904" s="7" t="s">
        <v>29</v>
      </c>
      <c r="D3904" s="7" t="s">
        <v>31</v>
      </c>
      <c r="E3904" s="7" t="s">
        <v>9</v>
      </c>
      <c r="F3904" s="8">
        <v>12.0</v>
      </c>
      <c r="G3904" s="9">
        <v>12.0</v>
      </c>
    </row>
    <row r="3905" ht="14.25" hidden="1" customHeight="1">
      <c r="B3905" s="7" t="s">
        <v>22</v>
      </c>
      <c r="C3905" s="7" t="s">
        <v>29</v>
      </c>
      <c r="D3905" s="7" t="s">
        <v>31</v>
      </c>
      <c r="E3905" s="7" t="s">
        <v>31</v>
      </c>
      <c r="F3905" s="8">
        <v>12.0</v>
      </c>
      <c r="G3905" s="9">
        <v>12.0</v>
      </c>
    </row>
    <row r="3906" ht="14.25" hidden="1" customHeight="1">
      <c r="B3906" s="7" t="s">
        <v>22</v>
      </c>
      <c r="C3906" s="7" t="s">
        <v>30</v>
      </c>
      <c r="D3906" s="7" t="s">
        <v>31</v>
      </c>
      <c r="E3906" s="7" t="s">
        <v>31</v>
      </c>
      <c r="F3906" s="8">
        <v>12.0</v>
      </c>
      <c r="G3906" s="9">
        <v>6.0</v>
      </c>
    </row>
    <row r="3907" ht="14.25" hidden="1" customHeight="1">
      <c r="B3907" s="7" t="s">
        <v>22</v>
      </c>
      <c r="C3907" s="7" t="s">
        <v>7</v>
      </c>
      <c r="D3907" s="7" t="s">
        <v>8</v>
      </c>
      <c r="E3907" s="7" t="s">
        <v>33</v>
      </c>
      <c r="F3907" s="8">
        <v>12.0</v>
      </c>
      <c r="G3907" s="9">
        <v>6.0</v>
      </c>
    </row>
    <row r="3908" ht="14.25" hidden="1" customHeight="1">
      <c r="B3908" s="7" t="s">
        <v>22</v>
      </c>
      <c r="C3908" s="7" t="s">
        <v>29</v>
      </c>
      <c r="D3908" s="7" t="s">
        <v>8</v>
      </c>
      <c r="E3908" s="7" t="s">
        <v>9</v>
      </c>
      <c r="F3908" s="8">
        <v>12.0</v>
      </c>
      <c r="G3908" s="9">
        <v>12.0</v>
      </c>
    </row>
    <row r="3909" ht="14.25" hidden="1" customHeight="1">
      <c r="B3909" s="7" t="s">
        <v>22</v>
      </c>
      <c r="C3909" s="7" t="s">
        <v>7</v>
      </c>
      <c r="D3909" s="7" t="s">
        <v>8</v>
      </c>
      <c r="E3909" s="7" t="s">
        <v>10</v>
      </c>
      <c r="F3909" s="8">
        <v>12.0</v>
      </c>
      <c r="G3909" s="9">
        <v>6.0</v>
      </c>
    </row>
    <row r="3910" ht="14.25" hidden="1" customHeight="1">
      <c r="B3910" s="7" t="s">
        <v>22</v>
      </c>
      <c r="C3910" s="7" t="s">
        <v>29</v>
      </c>
      <c r="D3910" s="7" t="s">
        <v>9</v>
      </c>
      <c r="E3910" s="7" t="s">
        <v>31</v>
      </c>
      <c r="F3910" s="8">
        <v>11.0</v>
      </c>
      <c r="G3910" s="9">
        <v>11.0</v>
      </c>
    </row>
    <row r="3911" ht="14.25" customHeight="1">
      <c r="B3911" s="7" t="s">
        <v>22</v>
      </c>
      <c r="C3911" s="7" t="s">
        <v>29</v>
      </c>
      <c r="D3911" s="7" t="s">
        <v>8</v>
      </c>
      <c r="E3911" s="7" t="s">
        <v>31</v>
      </c>
      <c r="F3911" s="8">
        <v>11.0</v>
      </c>
      <c r="G3911" s="9">
        <v>11.0</v>
      </c>
    </row>
    <row r="3912" ht="14.25" hidden="1" customHeight="1">
      <c r="B3912" s="7" t="s">
        <v>22</v>
      </c>
      <c r="C3912" s="7" t="s">
        <v>7</v>
      </c>
      <c r="D3912" s="7" t="s">
        <v>25</v>
      </c>
      <c r="E3912" s="7" t="s">
        <v>10</v>
      </c>
      <c r="F3912" s="8">
        <v>10.0</v>
      </c>
      <c r="G3912" s="9">
        <v>5.0</v>
      </c>
    </row>
    <row r="3913" ht="14.25" hidden="1" customHeight="1">
      <c r="B3913" s="7" t="s">
        <v>22</v>
      </c>
      <c r="C3913" s="7" t="s">
        <v>29</v>
      </c>
      <c r="D3913" s="7" t="s">
        <v>33</v>
      </c>
      <c r="E3913" s="7" t="s">
        <v>32</v>
      </c>
      <c r="F3913" s="8">
        <v>10.0</v>
      </c>
      <c r="G3913" s="9">
        <v>10.0</v>
      </c>
    </row>
    <row r="3914" ht="14.25" hidden="1" customHeight="1">
      <c r="B3914" s="7" t="s">
        <v>22</v>
      </c>
      <c r="C3914" s="7" t="s">
        <v>7</v>
      </c>
      <c r="D3914" s="7" t="s">
        <v>9</v>
      </c>
      <c r="E3914" s="7" t="s">
        <v>31</v>
      </c>
      <c r="F3914" s="8">
        <v>10.0</v>
      </c>
      <c r="G3914" s="9">
        <v>5.0</v>
      </c>
    </row>
    <row r="3915" ht="14.25" hidden="1" customHeight="1">
      <c r="B3915" s="7" t="s">
        <v>22</v>
      </c>
      <c r="C3915" s="7" t="s">
        <v>29</v>
      </c>
      <c r="D3915" s="7" t="s">
        <v>32</v>
      </c>
      <c r="E3915" s="7" t="s">
        <v>25</v>
      </c>
      <c r="F3915" s="8">
        <v>10.0</v>
      </c>
      <c r="G3915" s="9">
        <v>10.0</v>
      </c>
    </row>
    <row r="3916" ht="14.25" hidden="1" customHeight="1">
      <c r="B3916" s="7" t="s">
        <v>22</v>
      </c>
      <c r="C3916" s="7" t="s">
        <v>7</v>
      </c>
      <c r="D3916" s="7" t="s">
        <v>31</v>
      </c>
      <c r="E3916" s="7" t="s">
        <v>28</v>
      </c>
      <c r="F3916" s="8">
        <v>10.0</v>
      </c>
      <c r="G3916" s="9">
        <v>5.0</v>
      </c>
    </row>
    <row r="3917" ht="14.25" hidden="1" customHeight="1">
      <c r="B3917" s="7" t="s">
        <v>22</v>
      </c>
      <c r="C3917" s="7" t="s">
        <v>30</v>
      </c>
      <c r="D3917" s="7" t="s">
        <v>31</v>
      </c>
      <c r="E3917" s="7" t="s">
        <v>8</v>
      </c>
      <c r="F3917" s="8">
        <v>10.0</v>
      </c>
      <c r="G3917" s="9">
        <v>5.0</v>
      </c>
    </row>
    <row r="3918" ht="14.25" hidden="1" customHeight="1">
      <c r="B3918" s="7" t="s">
        <v>22</v>
      </c>
      <c r="C3918" s="7" t="s">
        <v>7</v>
      </c>
      <c r="D3918" s="7" t="s">
        <v>8</v>
      </c>
      <c r="E3918" s="7" t="s">
        <v>9</v>
      </c>
      <c r="F3918" s="8">
        <v>10.0</v>
      </c>
      <c r="G3918" s="9">
        <v>10.0</v>
      </c>
    </row>
    <row r="3919" ht="14.25" hidden="1" customHeight="1">
      <c r="B3919" s="7" t="s">
        <v>22</v>
      </c>
      <c r="C3919" s="7" t="s">
        <v>29</v>
      </c>
      <c r="D3919" s="7" t="s">
        <v>8</v>
      </c>
      <c r="E3919" s="7" t="s">
        <v>9</v>
      </c>
      <c r="F3919" s="8">
        <v>10.0</v>
      </c>
      <c r="G3919" s="9">
        <v>10.0</v>
      </c>
    </row>
    <row r="3920" ht="14.25" hidden="1" customHeight="1">
      <c r="B3920" s="7" t="s">
        <v>22</v>
      </c>
      <c r="C3920" s="7" t="s">
        <v>7</v>
      </c>
      <c r="D3920" s="7" t="s">
        <v>8</v>
      </c>
      <c r="E3920" s="7" t="s">
        <v>9</v>
      </c>
      <c r="F3920" s="8">
        <v>10.0</v>
      </c>
      <c r="G3920" s="9">
        <v>5.0</v>
      </c>
    </row>
    <row r="3921" ht="14.25" hidden="1" customHeight="1">
      <c r="B3921" s="7" t="s">
        <v>22</v>
      </c>
      <c r="C3921" s="7" t="s">
        <v>29</v>
      </c>
      <c r="D3921" s="7" t="s">
        <v>33</v>
      </c>
      <c r="E3921" s="7" t="s">
        <v>31</v>
      </c>
      <c r="F3921" s="8">
        <v>9.0</v>
      </c>
      <c r="G3921" s="9">
        <v>9.0</v>
      </c>
    </row>
    <row r="3922" ht="14.25" hidden="1" customHeight="1">
      <c r="B3922" s="7" t="s">
        <v>22</v>
      </c>
      <c r="C3922" s="7" t="s">
        <v>29</v>
      </c>
      <c r="D3922" s="7" t="s">
        <v>28</v>
      </c>
      <c r="E3922" s="7" t="s">
        <v>10</v>
      </c>
      <c r="F3922" s="8">
        <v>9.0</v>
      </c>
      <c r="G3922" s="9">
        <v>9.0</v>
      </c>
    </row>
    <row r="3923" ht="14.25" hidden="1" customHeight="1">
      <c r="B3923" s="7" t="s">
        <v>22</v>
      </c>
      <c r="C3923" s="7" t="s">
        <v>29</v>
      </c>
      <c r="D3923" s="7" t="s">
        <v>32</v>
      </c>
      <c r="E3923" s="7" t="s">
        <v>28</v>
      </c>
      <c r="F3923" s="8">
        <v>9.0</v>
      </c>
      <c r="G3923" s="9">
        <v>9.0</v>
      </c>
    </row>
    <row r="3924" ht="14.25" hidden="1" customHeight="1">
      <c r="B3924" s="7" t="s">
        <v>22</v>
      </c>
      <c r="C3924" s="7" t="s">
        <v>30</v>
      </c>
      <c r="D3924" s="7" t="s">
        <v>25</v>
      </c>
      <c r="E3924" s="7" t="s">
        <v>31</v>
      </c>
      <c r="F3924" s="8">
        <v>8.0</v>
      </c>
      <c r="G3924" s="9">
        <v>4.0</v>
      </c>
    </row>
    <row r="3925" ht="14.25" hidden="1" customHeight="1">
      <c r="B3925" s="7" t="s">
        <v>22</v>
      </c>
      <c r="C3925" s="7" t="s">
        <v>7</v>
      </c>
      <c r="D3925" s="7" t="s">
        <v>34</v>
      </c>
      <c r="E3925" s="7" t="s">
        <v>8</v>
      </c>
      <c r="F3925" s="8">
        <v>8.0</v>
      </c>
      <c r="G3925" s="9">
        <v>4.0</v>
      </c>
    </row>
    <row r="3926" ht="14.25" hidden="1" customHeight="1">
      <c r="B3926" s="7" t="s">
        <v>22</v>
      </c>
      <c r="C3926" s="7" t="s">
        <v>7</v>
      </c>
      <c r="D3926" s="7" t="s">
        <v>24</v>
      </c>
      <c r="E3926" s="7" t="s">
        <v>10</v>
      </c>
      <c r="F3926" s="8">
        <v>8.0</v>
      </c>
      <c r="G3926" s="9">
        <v>4.0</v>
      </c>
    </row>
    <row r="3927" ht="14.25" hidden="1" customHeight="1">
      <c r="B3927" s="7" t="s">
        <v>22</v>
      </c>
      <c r="C3927" s="7" t="s">
        <v>29</v>
      </c>
      <c r="D3927" s="7" t="s">
        <v>10</v>
      </c>
      <c r="E3927" s="7" t="s">
        <v>9</v>
      </c>
      <c r="F3927" s="8">
        <v>8.0</v>
      </c>
      <c r="G3927" s="9">
        <v>8.0</v>
      </c>
    </row>
    <row r="3928" ht="14.25" hidden="1" customHeight="1">
      <c r="B3928" s="7" t="s">
        <v>22</v>
      </c>
      <c r="C3928" s="7" t="s">
        <v>7</v>
      </c>
      <c r="D3928" s="7" t="s">
        <v>32</v>
      </c>
      <c r="E3928" s="7" t="s">
        <v>28</v>
      </c>
      <c r="F3928" s="8">
        <v>8.0</v>
      </c>
      <c r="G3928" s="9">
        <v>4.0</v>
      </c>
    </row>
    <row r="3929" ht="14.25" hidden="1" customHeight="1">
      <c r="B3929" s="7" t="s">
        <v>22</v>
      </c>
      <c r="C3929" s="7" t="s">
        <v>29</v>
      </c>
      <c r="D3929" s="7" t="s">
        <v>31</v>
      </c>
      <c r="E3929" s="7" t="s">
        <v>25</v>
      </c>
      <c r="F3929" s="8">
        <v>8.0</v>
      </c>
      <c r="G3929" s="9">
        <v>8.0</v>
      </c>
    </row>
    <row r="3930" ht="14.25" hidden="1" customHeight="1">
      <c r="B3930" s="7" t="s">
        <v>22</v>
      </c>
      <c r="C3930" s="7" t="s">
        <v>30</v>
      </c>
      <c r="D3930" s="7" t="s">
        <v>31</v>
      </c>
      <c r="E3930" s="7" t="s">
        <v>9</v>
      </c>
      <c r="F3930" s="8">
        <v>8.0</v>
      </c>
      <c r="G3930" s="9">
        <v>4.0</v>
      </c>
    </row>
    <row r="3931" ht="14.25" hidden="1" customHeight="1">
      <c r="B3931" s="7" t="s">
        <v>22</v>
      </c>
      <c r="C3931" s="7" t="s">
        <v>7</v>
      </c>
      <c r="D3931" s="7" t="s">
        <v>31</v>
      </c>
      <c r="E3931" s="7" t="s">
        <v>10</v>
      </c>
      <c r="F3931" s="8">
        <v>8.0</v>
      </c>
      <c r="G3931" s="9">
        <v>4.0</v>
      </c>
    </row>
    <row r="3932" ht="14.25" hidden="1" customHeight="1">
      <c r="B3932" s="7" t="s">
        <v>22</v>
      </c>
      <c r="C3932" s="7" t="s">
        <v>7</v>
      </c>
      <c r="D3932" s="7" t="s">
        <v>31</v>
      </c>
      <c r="E3932" s="7" t="s">
        <v>10</v>
      </c>
      <c r="F3932" s="8">
        <v>8.0</v>
      </c>
      <c r="G3932" s="9">
        <v>4.0</v>
      </c>
    </row>
    <row r="3933" ht="14.25" hidden="1" customHeight="1">
      <c r="B3933" s="7" t="s">
        <v>22</v>
      </c>
      <c r="C3933" s="7" t="s">
        <v>7</v>
      </c>
      <c r="D3933" s="7" t="s">
        <v>8</v>
      </c>
      <c r="E3933" s="7" t="s">
        <v>10</v>
      </c>
      <c r="F3933" s="8">
        <v>8.0</v>
      </c>
      <c r="G3933" s="9">
        <v>4.0</v>
      </c>
    </row>
    <row r="3934" ht="14.25" hidden="1" customHeight="1">
      <c r="B3934" s="7" t="s">
        <v>22</v>
      </c>
      <c r="C3934" s="7" t="s">
        <v>29</v>
      </c>
      <c r="D3934" s="7" t="s">
        <v>25</v>
      </c>
      <c r="E3934" s="7" t="s">
        <v>28</v>
      </c>
      <c r="F3934" s="8">
        <v>7.0</v>
      </c>
      <c r="G3934" s="9">
        <v>7.0</v>
      </c>
    </row>
    <row r="3935" ht="14.25" hidden="1" customHeight="1">
      <c r="B3935" s="7" t="s">
        <v>22</v>
      </c>
      <c r="C3935" s="7" t="s">
        <v>29</v>
      </c>
      <c r="D3935" s="7" t="s">
        <v>25</v>
      </c>
      <c r="E3935" s="7" t="s">
        <v>9</v>
      </c>
      <c r="F3935" s="8">
        <v>7.0</v>
      </c>
      <c r="G3935" s="9">
        <v>7.0</v>
      </c>
    </row>
    <row r="3936" ht="14.25" hidden="1" customHeight="1">
      <c r="B3936" s="7" t="s">
        <v>22</v>
      </c>
      <c r="C3936" s="7" t="s">
        <v>29</v>
      </c>
      <c r="D3936" s="7" t="s">
        <v>33</v>
      </c>
      <c r="E3936" s="7" t="s">
        <v>8</v>
      </c>
      <c r="F3936" s="8">
        <v>7.0</v>
      </c>
      <c r="G3936" s="9">
        <v>7.0</v>
      </c>
    </row>
    <row r="3937" ht="14.25" hidden="1" customHeight="1">
      <c r="B3937" s="7" t="s">
        <v>22</v>
      </c>
      <c r="C3937" s="7" t="s">
        <v>29</v>
      </c>
      <c r="D3937" s="7" t="s">
        <v>9</v>
      </c>
      <c r="E3937" s="7" t="s">
        <v>28</v>
      </c>
      <c r="F3937" s="8">
        <v>7.0</v>
      </c>
      <c r="G3937" s="9">
        <v>7.0</v>
      </c>
    </row>
    <row r="3938" ht="14.25" hidden="1" customHeight="1">
      <c r="B3938" s="7" t="s">
        <v>22</v>
      </c>
      <c r="C3938" s="7" t="s">
        <v>29</v>
      </c>
      <c r="D3938" s="7" t="s">
        <v>9</v>
      </c>
      <c r="E3938" s="7" t="s">
        <v>8</v>
      </c>
      <c r="F3938" s="8">
        <v>7.0</v>
      </c>
      <c r="G3938" s="9">
        <v>7.0</v>
      </c>
    </row>
    <row r="3939" ht="14.25" hidden="1" customHeight="1">
      <c r="B3939" s="7" t="s">
        <v>22</v>
      </c>
      <c r="C3939" s="7" t="s">
        <v>29</v>
      </c>
      <c r="D3939" s="7" t="s">
        <v>32</v>
      </c>
      <c r="E3939" s="7" t="s">
        <v>24</v>
      </c>
      <c r="F3939" s="8">
        <v>7.0</v>
      </c>
      <c r="G3939" s="9">
        <v>7.0</v>
      </c>
    </row>
    <row r="3940" ht="14.25" hidden="1" customHeight="1">
      <c r="B3940" s="7" t="s">
        <v>22</v>
      </c>
      <c r="C3940" s="7" t="s">
        <v>29</v>
      </c>
      <c r="D3940" s="7" t="s">
        <v>31</v>
      </c>
      <c r="E3940" s="7" t="s">
        <v>33</v>
      </c>
      <c r="F3940" s="8">
        <v>7.0</v>
      </c>
      <c r="G3940" s="9">
        <v>7.0</v>
      </c>
    </row>
    <row r="3941" ht="14.25" hidden="1" customHeight="1">
      <c r="B3941" s="7" t="s">
        <v>22</v>
      </c>
      <c r="C3941" s="7" t="s">
        <v>29</v>
      </c>
      <c r="D3941" s="7" t="s">
        <v>31</v>
      </c>
      <c r="E3941" s="7" t="s">
        <v>33</v>
      </c>
      <c r="F3941" s="8">
        <v>7.0</v>
      </c>
      <c r="G3941" s="9">
        <v>7.0</v>
      </c>
    </row>
    <row r="3942" ht="14.25" hidden="1" customHeight="1">
      <c r="B3942" s="7" t="s">
        <v>22</v>
      </c>
      <c r="C3942" s="7" t="s">
        <v>29</v>
      </c>
      <c r="D3942" s="7" t="s">
        <v>31</v>
      </c>
      <c r="E3942" s="7" t="s">
        <v>8</v>
      </c>
      <c r="F3942" s="8">
        <v>7.0</v>
      </c>
      <c r="G3942" s="9">
        <v>7.0</v>
      </c>
    </row>
    <row r="3943" ht="14.25" hidden="1" customHeight="1">
      <c r="B3943" s="7" t="s">
        <v>22</v>
      </c>
      <c r="C3943" s="7" t="s">
        <v>30</v>
      </c>
      <c r="D3943" s="7" t="s">
        <v>25</v>
      </c>
      <c r="E3943" s="7" t="s">
        <v>28</v>
      </c>
      <c r="F3943" s="8">
        <v>6.0</v>
      </c>
      <c r="G3943" s="9">
        <v>3.0</v>
      </c>
    </row>
    <row r="3944" ht="14.25" hidden="1" customHeight="1">
      <c r="B3944" s="7" t="s">
        <v>22</v>
      </c>
      <c r="C3944" s="7" t="s">
        <v>7</v>
      </c>
      <c r="D3944" s="7" t="s">
        <v>25</v>
      </c>
      <c r="E3944" s="7" t="s">
        <v>24</v>
      </c>
      <c r="F3944" s="8">
        <v>6.0</v>
      </c>
      <c r="G3944" s="9">
        <v>3.0</v>
      </c>
    </row>
    <row r="3945" ht="14.25" hidden="1" customHeight="1">
      <c r="B3945" s="7" t="s">
        <v>22</v>
      </c>
      <c r="C3945" s="7" t="s">
        <v>7</v>
      </c>
      <c r="D3945" s="7" t="s">
        <v>33</v>
      </c>
      <c r="E3945" s="7" t="s">
        <v>28</v>
      </c>
      <c r="F3945" s="8">
        <v>6.0</v>
      </c>
      <c r="G3945" s="9">
        <v>3.0</v>
      </c>
    </row>
    <row r="3946" ht="14.25" hidden="1" customHeight="1">
      <c r="B3946" s="7" t="s">
        <v>22</v>
      </c>
      <c r="C3946" s="7" t="s">
        <v>7</v>
      </c>
      <c r="D3946" s="7" t="s">
        <v>33</v>
      </c>
      <c r="E3946" s="7" t="s">
        <v>31</v>
      </c>
      <c r="F3946" s="8">
        <v>6.0</v>
      </c>
      <c r="G3946" s="9">
        <v>3.0</v>
      </c>
    </row>
    <row r="3947" ht="14.25" hidden="1" customHeight="1">
      <c r="B3947" s="7" t="s">
        <v>22</v>
      </c>
      <c r="C3947" s="7" t="s">
        <v>7</v>
      </c>
      <c r="D3947" s="7" t="s">
        <v>28</v>
      </c>
      <c r="E3947" s="7" t="s">
        <v>25</v>
      </c>
      <c r="F3947" s="8">
        <v>6.0</v>
      </c>
      <c r="G3947" s="9">
        <v>6.0</v>
      </c>
    </row>
    <row r="3948" ht="14.25" hidden="1" customHeight="1">
      <c r="B3948" s="7" t="s">
        <v>22</v>
      </c>
      <c r="C3948" s="7" t="s">
        <v>7</v>
      </c>
      <c r="D3948" s="7" t="s">
        <v>28</v>
      </c>
      <c r="E3948" s="7" t="s">
        <v>10</v>
      </c>
      <c r="F3948" s="8">
        <v>6.0</v>
      </c>
      <c r="G3948" s="9">
        <v>3.0</v>
      </c>
    </row>
    <row r="3949" ht="14.25" hidden="1" customHeight="1">
      <c r="B3949" s="7" t="s">
        <v>22</v>
      </c>
      <c r="C3949" s="7" t="s">
        <v>7</v>
      </c>
      <c r="D3949" s="7" t="s">
        <v>28</v>
      </c>
      <c r="E3949" s="7" t="s">
        <v>37</v>
      </c>
      <c r="F3949" s="8">
        <v>6.0</v>
      </c>
      <c r="G3949" s="9">
        <v>3.0</v>
      </c>
    </row>
    <row r="3950" ht="14.25" hidden="1" customHeight="1">
      <c r="B3950" s="7" t="s">
        <v>22</v>
      </c>
      <c r="C3950" s="7" t="s">
        <v>7</v>
      </c>
      <c r="D3950" s="7" t="s">
        <v>28</v>
      </c>
      <c r="E3950" s="7" t="s">
        <v>8</v>
      </c>
      <c r="F3950" s="8">
        <v>6.0</v>
      </c>
      <c r="G3950" s="9">
        <v>6.0</v>
      </c>
    </row>
    <row r="3951" ht="14.25" hidden="1" customHeight="1">
      <c r="B3951" s="7" t="s">
        <v>22</v>
      </c>
      <c r="C3951" s="7" t="s">
        <v>7</v>
      </c>
      <c r="D3951" s="7" t="s">
        <v>10</v>
      </c>
      <c r="E3951" s="7" t="s">
        <v>33</v>
      </c>
      <c r="F3951" s="8">
        <v>6.0</v>
      </c>
      <c r="G3951" s="9">
        <v>3.0</v>
      </c>
    </row>
    <row r="3952" ht="14.25" hidden="1" customHeight="1">
      <c r="B3952" s="7" t="s">
        <v>22</v>
      </c>
      <c r="C3952" s="7" t="s">
        <v>7</v>
      </c>
      <c r="D3952" s="7" t="s">
        <v>10</v>
      </c>
      <c r="E3952" s="7" t="s">
        <v>28</v>
      </c>
      <c r="F3952" s="8">
        <v>6.0</v>
      </c>
      <c r="G3952" s="9">
        <v>3.0</v>
      </c>
    </row>
    <row r="3953" ht="14.25" hidden="1" customHeight="1">
      <c r="B3953" s="7" t="s">
        <v>22</v>
      </c>
      <c r="C3953" s="7" t="s">
        <v>29</v>
      </c>
      <c r="D3953" s="7" t="s">
        <v>31</v>
      </c>
      <c r="E3953" s="7" t="s">
        <v>9</v>
      </c>
      <c r="F3953" s="8">
        <v>6.0</v>
      </c>
      <c r="G3953" s="9">
        <v>6.0</v>
      </c>
    </row>
    <row r="3954" ht="14.25" hidden="1" customHeight="1">
      <c r="B3954" s="7" t="s">
        <v>22</v>
      </c>
      <c r="C3954" s="7" t="s">
        <v>29</v>
      </c>
      <c r="D3954" s="7" t="s">
        <v>25</v>
      </c>
      <c r="E3954" s="7" t="s">
        <v>10</v>
      </c>
      <c r="F3954" s="8">
        <v>5.0</v>
      </c>
      <c r="G3954" s="9">
        <v>5.0</v>
      </c>
    </row>
    <row r="3955" ht="14.25" hidden="1" customHeight="1">
      <c r="B3955" s="7" t="s">
        <v>22</v>
      </c>
      <c r="C3955" s="7" t="s">
        <v>29</v>
      </c>
      <c r="D3955" s="7" t="s">
        <v>33</v>
      </c>
      <c r="E3955" s="7" t="s">
        <v>25</v>
      </c>
      <c r="F3955" s="8">
        <v>5.0</v>
      </c>
      <c r="G3955" s="9">
        <v>5.0</v>
      </c>
    </row>
    <row r="3956" ht="14.25" hidden="1" customHeight="1">
      <c r="B3956" s="7" t="s">
        <v>22</v>
      </c>
      <c r="C3956" s="7" t="s">
        <v>29</v>
      </c>
      <c r="D3956" s="7" t="s">
        <v>33</v>
      </c>
      <c r="E3956" s="7" t="s">
        <v>25</v>
      </c>
      <c r="F3956" s="8">
        <v>5.0</v>
      </c>
      <c r="G3956" s="9">
        <v>5.0</v>
      </c>
    </row>
    <row r="3957" ht="14.25" hidden="1" customHeight="1">
      <c r="B3957" s="7" t="s">
        <v>22</v>
      </c>
      <c r="C3957" s="7" t="s">
        <v>29</v>
      </c>
      <c r="D3957" s="7" t="s">
        <v>33</v>
      </c>
      <c r="E3957" s="7" t="s">
        <v>28</v>
      </c>
      <c r="F3957" s="8">
        <v>5.0</v>
      </c>
      <c r="G3957" s="9">
        <v>5.0</v>
      </c>
    </row>
    <row r="3958" ht="14.25" hidden="1" customHeight="1">
      <c r="B3958" s="7" t="s">
        <v>22</v>
      </c>
      <c r="C3958" s="7" t="s">
        <v>29</v>
      </c>
      <c r="D3958" s="7" t="s">
        <v>28</v>
      </c>
      <c r="E3958" s="7" t="s">
        <v>31</v>
      </c>
      <c r="F3958" s="8">
        <v>5.0</v>
      </c>
      <c r="G3958" s="9">
        <v>5.0</v>
      </c>
    </row>
    <row r="3959" ht="14.25" hidden="1" customHeight="1">
      <c r="B3959" s="7" t="s">
        <v>22</v>
      </c>
      <c r="C3959" s="7" t="s">
        <v>29</v>
      </c>
      <c r="D3959" s="7" t="s">
        <v>9</v>
      </c>
      <c r="E3959" s="7" t="s">
        <v>31</v>
      </c>
      <c r="F3959" s="8">
        <v>5.0</v>
      </c>
      <c r="G3959" s="9">
        <v>5.0</v>
      </c>
    </row>
    <row r="3960" ht="14.25" hidden="1" customHeight="1">
      <c r="B3960" s="7" t="s">
        <v>22</v>
      </c>
      <c r="C3960" s="7" t="s">
        <v>29</v>
      </c>
      <c r="D3960" s="7" t="s">
        <v>10</v>
      </c>
      <c r="E3960" s="7" t="s">
        <v>25</v>
      </c>
      <c r="F3960" s="8">
        <v>5.0</v>
      </c>
      <c r="G3960" s="9">
        <v>5.0</v>
      </c>
    </row>
    <row r="3961" ht="14.25" hidden="1" customHeight="1">
      <c r="B3961" s="7" t="s">
        <v>22</v>
      </c>
      <c r="C3961" s="7" t="s">
        <v>29</v>
      </c>
      <c r="D3961" s="7" t="s">
        <v>31</v>
      </c>
      <c r="E3961" s="7" t="s">
        <v>28</v>
      </c>
      <c r="F3961" s="8">
        <v>5.0</v>
      </c>
      <c r="G3961" s="9">
        <v>5.0</v>
      </c>
    </row>
    <row r="3962" ht="14.25" hidden="1" customHeight="1">
      <c r="B3962" s="7" t="s">
        <v>22</v>
      </c>
      <c r="C3962" s="7" t="s">
        <v>29</v>
      </c>
      <c r="D3962" s="7" t="s">
        <v>31</v>
      </c>
      <c r="E3962" s="7" t="s">
        <v>10</v>
      </c>
      <c r="F3962" s="8">
        <v>5.0</v>
      </c>
      <c r="G3962" s="9">
        <v>5.0</v>
      </c>
    </row>
    <row r="3963" ht="14.25" hidden="1" customHeight="1">
      <c r="B3963" s="7" t="s">
        <v>22</v>
      </c>
      <c r="C3963" s="7" t="s">
        <v>36</v>
      </c>
      <c r="D3963" s="7" t="s">
        <v>8</v>
      </c>
      <c r="E3963" s="7" t="s">
        <v>24</v>
      </c>
      <c r="F3963" s="8">
        <v>5.0</v>
      </c>
      <c r="G3963" s="9">
        <v>5.0</v>
      </c>
    </row>
    <row r="3964" ht="14.25" hidden="1" customHeight="1">
      <c r="B3964" s="7" t="s">
        <v>22</v>
      </c>
      <c r="C3964" s="7" t="s">
        <v>7</v>
      </c>
      <c r="D3964" s="7" t="s">
        <v>25</v>
      </c>
      <c r="E3964" s="7" t="s">
        <v>33</v>
      </c>
      <c r="F3964" s="8">
        <v>4.0</v>
      </c>
      <c r="G3964" s="9">
        <v>2.0</v>
      </c>
    </row>
    <row r="3965" ht="14.25" hidden="1" customHeight="1">
      <c r="B3965" s="7" t="s">
        <v>22</v>
      </c>
      <c r="C3965" s="7" t="s">
        <v>7</v>
      </c>
      <c r="D3965" s="7" t="s">
        <v>25</v>
      </c>
      <c r="E3965" s="7" t="s">
        <v>28</v>
      </c>
      <c r="F3965" s="8">
        <v>4.0</v>
      </c>
      <c r="G3965" s="9">
        <v>2.0</v>
      </c>
    </row>
    <row r="3966" ht="14.25" hidden="1" customHeight="1">
      <c r="B3966" s="7" t="s">
        <v>22</v>
      </c>
      <c r="C3966" s="7" t="s">
        <v>29</v>
      </c>
      <c r="D3966" s="7" t="s">
        <v>25</v>
      </c>
      <c r="E3966" s="7" t="s">
        <v>31</v>
      </c>
      <c r="F3966" s="8">
        <v>4.0</v>
      </c>
      <c r="G3966" s="9">
        <v>4.0</v>
      </c>
    </row>
    <row r="3967" ht="14.25" hidden="1" customHeight="1">
      <c r="B3967" s="7" t="s">
        <v>22</v>
      </c>
      <c r="C3967" s="7" t="s">
        <v>7</v>
      </c>
      <c r="D3967" s="7" t="s">
        <v>33</v>
      </c>
      <c r="E3967" s="7" t="s">
        <v>28</v>
      </c>
      <c r="F3967" s="8">
        <v>4.0</v>
      </c>
      <c r="G3967" s="9">
        <v>2.0</v>
      </c>
    </row>
    <row r="3968" ht="14.25" hidden="1" customHeight="1">
      <c r="B3968" s="7" t="s">
        <v>22</v>
      </c>
      <c r="C3968" s="7" t="s">
        <v>7</v>
      </c>
      <c r="D3968" s="7" t="s">
        <v>33</v>
      </c>
      <c r="E3968" s="7" t="s">
        <v>9</v>
      </c>
      <c r="F3968" s="8">
        <v>4.0</v>
      </c>
      <c r="G3968" s="9">
        <v>2.0</v>
      </c>
    </row>
    <row r="3969" ht="14.25" hidden="1" customHeight="1">
      <c r="B3969" s="7" t="s">
        <v>22</v>
      </c>
      <c r="C3969" s="7" t="s">
        <v>7</v>
      </c>
      <c r="D3969" s="7" t="s">
        <v>33</v>
      </c>
      <c r="E3969" s="7" t="s">
        <v>31</v>
      </c>
      <c r="F3969" s="8">
        <v>4.0</v>
      </c>
      <c r="G3969" s="9">
        <v>2.0</v>
      </c>
    </row>
    <row r="3970" ht="14.25" hidden="1" customHeight="1">
      <c r="B3970" s="7" t="s">
        <v>22</v>
      </c>
      <c r="C3970" s="7" t="s">
        <v>7</v>
      </c>
      <c r="D3970" s="7" t="s">
        <v>33</v>
      </c>
      <c r="E3970" s="7" t="s">
        <v>8</v>
      </c>
      <c r="F3970" s="8">
        <v>4.0</v>
      </c>
      <c r="G3970" s="9">
        <v>4.0</v>
      </c>
    </row>
    <row r="3971" ht="14.25" hidden="1" customHeight="1">
      <c r="B3971" s="7" t="s">
        <v>22</v>
      </c>
      <c r="C3971" s="7" t="s">
        <v>29</v>
      </c>
      <c r="D3971" s="7" t="s">
        <v>28</v>
      </c>
      <c r="E3971" s="7" t="s">
        <v>8</v>
      </c>
      <c r="F3971" s="8">
        <v>4.0</v>
      </c>
      <c r="G3971" s="9">
        <v>4.0</v>
      </c>
    </row>
    <row r="3972" ht="14.25" hidden="1" customHeight="1">
      <c r="B3972" s="7" t="s">
        <v>22</v>
      </c>
      <c r="C3972" s="7" t="s">
        <v>7</v>
      </c>
      <c r="D3972" s="7" t="s">
        <v>11</v>
      </c>
      <c r="E3972" s="7" t="s">
        <v>32</v>
      </c>
      <c r="F3972" s="8">
        <v>4.0</v>
      </c>
      <c r="G3972" s="9">
        <v>2.0</v>
      </c>
    </row>
    <row r="3973" ht="14.25" hidden="1" customHeight="1">
      <c r="B3973" s="7" t="s">
        <v>22</v>
      </c>
      <c r="C3973" s="7" t="s">
        <v>30</v>
      </c>
      <c r="D3973" s="7" t="s">
        <v>11</v>
      </c>
      <c r="E3973" s="7" t="s">
        <v>8</v>
      </c>
      <c r="F3973" s="8">
        <v>4.0</v>
      </c>
      <c r="G3973" s="9">
        <v>2.0</v>
      </c>
    </row>
    <row r="3974" ht="14.25" hidden="1" customHeight="1">
      <c r="B3974" s="7" t="s">
        <v>22</v>
      </c>
      <c r="C3974" s="7" t="s">
        <v>7</v>
      </c>
      <c r="D3974" s="7" t="s">
        <v>35</v>
      </c>
      <c r="E3974" s="7" t="s">
        <v>28</v>
      </c>
      <c r="F3974" s="8">
        <v>4.0</v>
      </c>
      <c r="G3974" s="9">
        <v>2.0</v>
      </c>
    </row>
    <row r="3975" ht="14.25" hidden="1" customHeight="1">
      <c r="B3975" s="7" t="s">
        <v>22</v>
      </c>
      <c r="C3975" s="7" t="s">
        <v>7</v>
      </c>
      <c r="D3975" s="7" t="s">
        <v>34</v>
      </c>
      <c r="E3975" s="7" t="s">
        <v>8</v>
      </c>
      <c r="F3975" s="8">
        <v>4.0</v>
      </c>
      <c r="G3975" s="9">
        <v>2.0</v>
      </c>
    </row>
    <row r="3976" ht="14.25" hidden="1" customHeight="1">
      <c r="B3976" s="7" t="s">
        <v>22</v>
      </c>
      <c r="C3976" s="7" t="s">
        <v>29</v>
      </c>
      <c r="D3976" s="7" t="s">
        <v>9</v>
      </c>
      <c r="E3976" s="7" t="s">
        <v>33</v>
      </c>
      <c r="F3976" s="8">
        <v>4.0</v>
      </c>
      <c r="G3976" s="9">
        <v>4.0</v>
      </c>
    </row>
    <row r="3977" ht="14.25" hidden="1" customHeight="1">
      <c r="B3977" s="7" t="s">
        <v>22</v>
      </c>
      <c r="C3977" s="7" t="s">
        <v>7</v>
      </c>
      <c r="D3977" s="7" t="s">
        <v>9</v>
      </c>
      <c r="E3977" s="7" t="s">
        <v>8</v>
      </c>
      <c r="F3977" s="8">
        <v>4.0</v>
      </c>
      <c r="G3977" s="9">
        <v>2.0</v>
      </c>
    </row>
    <row r="3978" ht="14.25" hidden="1" customHeight="1">
      <c r="B3978" s="7" t="s">
        <v>22</v>
      </c>
      <c r="C3978" s="7" t="s">
        <v>30</v>
      </c>
      <c r="D3978" s="7" t="s">
        <v>9</v>
      </c>
      <c r="E3978" s="7" t="s">
        <v>8</v>
      </c>
      <c r="F3978" s="8">
        <v>4.0</v>
      </c>
      <c r="G3978" s="9">
        <v>2.0</v>
      </c>
    </row>
    <row r="3979" ht="14.25" hidden="1" customHeight="1">
      <c r="B3979" s="7" t="s">
        <v>22</v>
      </c>
      <c r="C3979" s="7" t="s">
        <v>7</v>
      </c>
      <c r="D3979" s="7" t="s">
        <v>24</v>
      </c>
      <c r="E3979" s="7" t="s">
        <v>31</v>
      </c>
      <c r="F3979" s="8">
        <v>4.0</v>
      </c>
      <c r="G3979" s="9">
        <v>2.0</v>
      </c>
    </row>
    <row r="3980" ht="14.25" hidden="1" customHeight="1">
      <c r="B3980" s="7" t="s">
        <v>22</v>
      </c>
      <c r="C3980" s="7" t="s">
        <v>7</v>
      </c>
      <c r="D3980" s="7" t="s">
        <v>10</v>
      </c>
      <c r="E3980" s="7" t="s">
        <v>28</v>
      </c>
      <c r="F3980" s="8">
        <v>4.0</v>
      </c>
      <c r="G3980" s="9">
        <v>2.0</v>
      </c>
    </row>
    <row r="3981" ht="14.25" hidden="1" customHeight="1">
      <c r="B3981" s="7" t="s">
        <v>22</v>
      </c>
      <c r="C3981" s="7" t="s">
        <v>7</v>
      </c>
      <c r="D3981" s="7" t="s">
        <v>10</v>
      </c>
      <c r="E3981" s="7" t="s">
        <v>9</v>
      </c>
      <c r="F3981" s="8">
        <v>4.0</v>
      </c>
      <c r="G3981" s="9">
        <v>2.0</v>
      </c>
    </row>
    <row r="3982" ht="14.25" hidden="1" customHeight="1">
      <c r="B3982" s="7" t="s">
        <v>22</v>
      </c>
      <c r="C3982" s="7" t="s">
        <v>7</v>
      </c>
      <c r="D3982" s="7" t="s">
        <v>10</v>
      </c>
      <c r="E3982" s="7" t="s">
        <v>9</v>
      </c>
      <c r="F3982" s="8">
        <v>4.0</v>
      </c>
      <c r="G3982" s="9">
        <v>2.0</v>
      </c>
    </row>
    <row r="3983" ht="14.25" hidden="1" customHeight="1">
      <c r="B3983" s="7" t="s">
        <v>22</v>
      </c>
      <c r="C3983" s="7" t="s">
        <v>30</v>
      </c>
      <c r="D3983" s="7" t="s">
        <v>10</v>
      </c>
      <c r="E3983" s="7" t="s">
        <v>8</v>
      </c>
      <c r="F3983" s="8">
        <v>4.0</v>
      </c>
      <c r="G3983" s="9">
        <v>2.0</v>
      </c>
    </row>
    <row r="3984" ht="14.25" hidden="1" customHeight="1">
      <c r="B3984" s="7" t="s">
        <v>22</v>
      </c>
      <c r="C3984" s="7" t="s">
        <v>29</v>
      </c>
      <c r="D3984" s="7" t="s">
        <v>32</v>
      </c>
      <c r="E3984" s="7" t="s">
        <v>25</v>
      </c>
      <c r="F3984" s="8">
        <v>4.0</v>
      </c>
      <c r="G3984" s="9">
        <v>4.0</v>
      </c>
    </row>
    <row r="3985" ht="14.25" hidden="1" customHeight="1">
      <c r="B3985" s="7" t="s">
        <v>22</v>
      </c>
      <c r="C3985" s="7" t="s">
        <v>7</v>
      </c>
      <c r="D3985" s="7" t="s">
        <v>32</v>
      </c>
      <c r="E3985" s="7" t="s">
        <v>28</v>
      </c>
      <c r="F3985" s="8">
        <v>4.0</v>
      </c>
      <c r="G3985" s="9">
        <v>2.0</v>
      </c>
    </row>
    <row r="3986" ht="14.25" hidden="1" customHeight="1">
      <c r="B3986" s="7" t="s">
        <v>22</v>
      </c>
      <c r="C3986" s="7" t="s">
        <v>7</v>
      </c>
      <c r="D3986" s="7" t="s">
        <v>32</v>
      </c>
      <c r="E3986" s="7" t="s">
        <v>28</v>
      </c>
      <c r="F3986" s="8">
        <v>4.0</v>
      </c>
      <c r="G3986" s="9">
        <v>2.0</v>
      </c>
    </row>
    <row r="3987" ht="14.25" hidden="1" customHeight="1">
      <c r="B3987" s="7" t="s">
        <v>22</v>
      </c>
      <c r="C3987" s="7" t="s">
        <v>7</v>
      </c>
      <c r="D3987" s="7" t="s">
        <v>32</v>
      </c>
      <c r="E3987" s="7" t="s">
        <v>9</v>
      </c>
      <c r="F3987" s="8">
        <v>4.0</v>
      </c>
      <c r="G3987" s="9">
        <v>2.0</v>
      </c>
    </row>
    <row r="3988" ht="14.25" hidden="1" customHeight="1">
      <c r="B3988" s="7" t="s">
        <v>22</v>
      </c>
      <c r="C3988" s="7" t="s">
        <v>30</v>
      </c>
      <c r="D3988" s="7" t="s">
        <v>32</v>
      </c>
      <c r="E3988" s="7" t="s">
        <v>8</v>
      </c>
      <c r="F3988" s="8">
        <v>4.0</v>
      </c>
      <c r="G3988" s="9">
        <v>2.0</v>
      </c>
    </row>
    <row r="3989" ht="14.25" hidden="1" customHeight="1">
      <c r="B3989" s="7" t="s">
        <v>22</v>
      </c>
      <c r="C3989" s="7" t="s">
        <v>7</v>
      </c>
      <c r="D3989" s="7" t="s">
        <v>31</v>
      </c>
      <c r="E3989" s="7" t="s">
        <v>33</v>
      </c>
      <c r="F3989" s="8">
        <v>4.0</v>
      </c>
      <c r="G3989" s="9">
        <v>2.0</v>
      </c>
    </row>
    <row r="3990" ht="14.25" hidden="1" customHeight="1">
      <c r="B3990" s="7" t="s">
        <v>22</v>
      </c>
      <c r="C3990" s="7" t="s">
        <v>7</v>
      </c>
      <c r="D3990" s="7" t="s">
        <v>31</v>
      </c>
      <c r="E3990" s="7" t="s">
        <v>9</v>
      </c>
      <c r="F3990" s="8">
        <v>4.0</v>
      </c>
      <c r="G3990" s="9">
        <v>2.0</v>
      </c>
    </row>
    <row r="3991" ht="14.25" hidden="1" customHeight="1">
      <c r="B3991" s="7" t="s">
        <v>22</v>
      </c>
      <c r="C3991" s="7" t="s">
        <v>30</v>
      </c>
      <c r="D3991" s="7" t="s">
        <v>8</v>
      </c>
      <c r="E3991" s="7" t="s">
        <v>33</v>
      </c>
      <c r="F3991" s="8">
        <v>4.0</v>
      </c>
      <c r="G3991" s="9">
        <v>2.0</v>
      </c>
    </row>
    <row r="3992" ht="14.25" hidden="1" customHeight="1">
      <c r="B3992" s="7" t="s">
        <v>22</v>
      </c>
      <c r="C3992" s="7" t="s">
        <v>7</v>
      </c>
      <c r="D3992" s="7" t="s">
        <v>8</v>
      </c>
      <c r="E3992" s="7" t="s">
        <v>9</v>
      </c>
      <c r="F3992" s="8">
        <v>4.0</v>
      </c>
      <c r="G3992" s="9">
        <v>2.0</v>
      </c>
    </row>
    <row r="3993" ht="14.25" hidden="1" customHeight="1">
      <c r="B3993" s="7" t="s">
        <v>22</v>
      </c>
      <c r="C3993" s="7" t="s">
        <v>29</v>
      </c>
      <c r="D3993" s="7" t="s">
        <v>25</v>
      </c>
      <c r="E3993" s="7" t="s">
        <v>32</v>
      </c>
      <c r="F3993" s="8">
        <v>3.0</v>
      </c>
      <c r="G3993" s="9">
        <v>3.0</v>
      </c>
    </row>
    <row r="3994" ht="14.25" hidden="1" customHeight="1">
      <c r="B3994" s="7" t="s">
        <v>22</v>
      </c>
      <c r="C3994" s="7" t="s">
        <v>29</v>
      </c>
      <c r="D3994" s="7" t="s">
        <v>25</v>
      </c>
      <c r="E3994" s="7" t="s">
        <v>31</v>
      </c>
      <c r="F3994" s="8">
        <v>3.0</v>
      </c>
      <c r="G3994" s="9">
        <v>3.0</v>
      </c>
    </row>
    <row r="3995" ht="14.25" hidden="1" customHeight="1">
      <c r="B3995" s="7" t="s">
        <v>22</v>
      </c>
      <c r="C3995" s="7" t="s">
        <v>29</v>
      </c>
      <c r="D3995" s="7" t="s">
        <v>25</v>
      </c>
      <c r="E3995" s="7" t="s">
        <v>8</v>
      </c>
      <c r="F3995" s="8">
        <v>3.0</v>
      </c>
      <c r="G3995" s="9">
        <v>3.0</v>
      </c>
    </row>
    <row r="3996" ht="14.25" hidden="1" customHeight="1">
      <c r="B3996" s="7" t="s">
        <v>22</v>
      </c>
      <c r="C3996" s="7" t="s">
        <v>29</v>
      </c>
      <c r="D3996" s="7" t="s">
        <v>28</v>
      </c>
      <c r="E3996" s="7" t="s">
        <v>31</v>
      </c>
      <c r="F3996" s="8">
        <v>3.0</v>
      </c>
      <c r="G3996" s="9">
        <v>3.0</v>
      </c>
    </row>
    <row r="3997" ht="14.25" hidden="1" customHeight="1">
      <c r="B3997" s="7" t="s">
        <v>22</v>
      </c>
      <c r="C3997" s="7" t="s">
        <v>29</v>
      </c>
      <c r="D3997" s="7" t="s">
        <v>35</v>
      </c>
      <c r="E3997" s="7" t="s">
        <v>28</v>
      </c>
      <c r="F3997" s="8">
        <v>3.0</v>
      </c>
      <c r="G3997" s="9">
        <v>3.0</v>
      </c>
    </row>
    <row r="3998" ht="14.25" hidden="1" customHeight="1">
      <c r="B3998" s="7" t="s">
        <v>22</v>
      </c>
      <c r="C3998" s="7" t="s">
        <v>29</v>
      </c>
      <c r="D3998" s="7" t="s">
        <v>34</v>
      </c>
      <c r="E3998" s="7" t="s">
        <v>33</v>
      </c>
      <c r="F3998" s="8">
        <v>3.0</v>
      </c>
      <c r="G3998" s="9">
        <v>3.0</v>
      </c>
    </row>
    <row r="3999" ht="14.25" hidden="1" customHeight="1">
      <c r="B3999" s="7" t="s">
        <v>22</v>
      </c>
      <c r="C3999" s="7" t="s">
        <v>29</v>
      </c>
      <c r="D3999" s="7" t="s">
        <v>34</v>
      </c>
      <c r="E3999" s="7" t="s">
        <v>32</v>
      </c>
      <c r="F3999" s="8">
        <v>3.0</v>
      </c>
      <c r="G3999" s="9">
        <v>3.0</v>
      </c>
    </row>
    <row r="4000" ht="14.25" hidden="1" customHeight="1">
      <c r="B4000" s="7" t="s">
        <v>22</v>
      </c>
      <c r="C4000" s="7" t="s">
        <v>29</v>
      </c>
      <c r="D4000" s="7" t="s">
        <v>9</v>
      </c>
      <c r="E4000" s="7" t="s">
        <v>31</v>
      </c>
      <c r="F4000" s="8">
        <v>3.0</v>
      </c>
      <c r="G4000" s="9">
        <v>3.0</v>
      </c>
    </row>
    <row r="4001" ht="14.25" hidden="1" customHeight="1">
      <c r="B4001" s="7" t="s">
        <v>22</v>
      </c>
      <c r="C4001" s="7" t="s">
        <v>36</v>
      </c>
      <c r="D4001" s="7" t="s">
        <v>31</v>
      </c>
      <c r="E4001" s="7" t="s">
        <v>28</v>
      </c>
      <c r="F4001" s="8">
        <v>3.0</v>
      </c>
      <c r="G4001" s="9">
        <v>3.0</v>
      </c>
    </row>
    <row r="4002" ht="14.25" hidden="1" customHeight="1">
      <c r="B4002" s="7" t="s">
        <v>22</v>
      </c>
      <c r="C4002" s="7" t="s">
        <v>29</v>
      </c>
      <c r="D4002" s="7" t="s">
        <v>8</v>
      </c>
      <c r="E4002" s="7" t="s">
        <v>25</v>
      </c>
      <c r="F4002" s="8">
        <v>3.0</v>
      </c>
      <c r="G4002" s="9">
        <v>3.0</v>
      </c>
    </row>
    <row r="4003" ht="14.25" hidden="1" customHeight="1">
      <c r="B4003" s="7" t="s">
        <v>22</v>
      </c>
      <c r="C4003" s="7" t="s">
        <v>29</v>
      </c>
      <c r="D4003" s="7" t="s">
        <v>8</v>
      </c>
      <c r="E4003" s="7" t="s">
        <v>9</v>
      </c>
      <c r="F4003" s="8">
        <v>3.0</v>
      </c>
      <c r="G4003" s="9">
        <v>3.0</v>
      </c>
    </row>
    <row r="4004" ht="14.25" hidden="1" customHeight="1">
      <c r="B4004" s="7" t="s">
        <v>22</v>
      </c>
      <c r="C4004" s="7" t="s">
        <v>29</v>
      </c>
      <c r="D4004" s="7" t="s">
        <v>8</v>
      </c>
      <c r="E4004" s="7" t="s">
        <v>10</v>
      </c>
      <c r="F4004" s="8">
        <v>3.0</v>
      </c>
      <c r="G4004" s="9">
        <v>3.0</v>
      </c>
    </row>
    <row r="4005" ht="14.25" hidden="1" customHeight="1">
      <c r="B4005" s="7" t="s">
        <v>22</v>
      </c>
      <c r="C4005" s="7" t="s">
        <v>7</v>
      </c>
      <c r="D4005" s="7" t="s">
        <v>25</v>
      </c>
      <c r="E4005" s="7" t="s">
        <v>33</v>
      </c>
      <c r="F4005" s="8">
        <v>2.0</v>
      </c>
      <c r="G4005" s="9">
        <v>1.0</v>
      </c>
    </row>
    <row r="4006" ht="14.25" hidden="1" customHeight="1">
      <c r="B4006" s="7" t="s">
        <v>22</v>
      </c>
      <c r="C4006" s="7" t="s">
        <v>7</v>
      </c>
      <c r="D4006" s="7" t="s">
        <v>25</v>
      </c>
      <c r="E4006" s="7" t="s">
        <v>33</v>
      </c>
      <c r="F4006" s="8">
        <v>2.0</v>
      </c>
      <c r="G4006" s="9">
        <v>1.0</v>
      </c>
    </row>
    <row r="4007" ht="14.25" hidden="1" customHeight="1">
      <c r="B4007" s="7" t="s">
        <v>22</v>
      </c>
      <c r="C4007" s="7" t="s">
        <v>29</v>
      </c>
      <c r="D4007" s="7" t="s">
        <v>25</v>
      </c>
      <c r="E4007" s="7" t="s">
        <v>9</v>
      </c>
      <c r="F4007" s="8">
        <v>2.0</v>
      </c>
      <c r="G4007" s="9">
        <v>2.0</v>
      </c>
    </row>
    <row r="4008" ht="14.25" hidden="1" customHeight="1">
      <c r="B4008" s="7" t="s">
        <v>22</v>
      </c>
      <c r="C4008" s="7" t="s">
        <v>7</v>
      </c>
      <c r="D4008" s="7" t="s">
        <v>25</v>
      </c>
      <c r="E4008" s="7" t="s">
        <v>10</v>
      </c>
      <c r="F4008" s="8">
        <v>2.0</v>
      </c>
      <c r="G4008" s="9">
        <v>1.0</v>
      </c>
    </row>
    <row r="4009" ht="14.25" hidden="1" customHeight="1">
      <c r="B4009" s="7" t="s">
        <v>22</v>
      </c>
      <c r="C4009" s="7" t="s">
        <v>7</v>
      </c>
      <c r="D4009" s="7" t="s">
        <v>25</v>
      </c>
      <c r="E4009" s="7" t="s">
        <v>8</v>
      </c>
      <c r="F4009" s="8">
        <v>2.0</v>
      </c>
      <c r="G4009" s="9">
        <v>1.0</v>
      </c>
    </row>
    <row r="4010" ht="14.25" hidden="1" customHeight="1">
      <c r="B4010" s="7" t="s">
        <v>22</v>
      </c>
      <c r="C4010" s="7" t="s">
        <v>30</v>
      </c>
      <c r="D4010" s="7" t="s">
        <v>25</v>
      </c>
      <c r="E4010" s="7" t="s">
        <v>8</v>
      </c>
      <c r="F4010" s="8">
        <v>2.0</v>
      </c>
      <c r="G4010" s="9">
        <v>1.0</v>
      </c>
    </row>
    <row r="4011" ht="14.25" hidden="1" customHeight="1">
      <c r="B4011" s="7" t="s">
        <v>22</v>
      </c>
      <c r="C4011" s="7" t="s">
        <v>7</v>
      </c>
      <c r="D4011" s="7" t="s">
        <v>33</v>
      </c>
      <c r="E4011" s="7" t="s">
        <v>25</v>
      </c>
      <c r="F4011" s="8">
        <v>2.0</v>
      </c>
      <c r="G4011" s="9">
        <v>1.0</v>
      </c>
    </row>
    <row r="4012" ht="14.25" hidden="1" customHeight="1">
      <c r="B4012" s="7" t="s">
        <v>22</v>
      </c>
      <c r="C4012" s="7" t="s">
        <v>29</v>
      </c>
      <c r="D4012" s="7" t="s">
        <v>33</v>
      </c>
      <c r="E4012" s="7" t="s">
        <v>28</v>
      </c>
      <c r="F4012" s="8">
        <v>2.0</v>
      </c>
      <c r="G4012" s="9">
        <v>2.0</v>
      </c>
    </row>
    <row r="4013" ht="14.25" hidden="1" customHeight="1">
      <c r="B4013" s="7" t="s">
        <v>22</v>
      </c>
      <c r="C4013" s="7" t="s">
        <v>30</v>
      </c>
      <c r="D4013" s="7" t="s">
        <v>33</v>
      </c>
      <c r="E4013" s="7" t="s">
        <v>31</v>
      </c>
      <c r="F4013" s="8">
        <v>2.0</v>
      </c>
      <c r="G4013" s="9">
        <v>1.0</v>
      </c>
    </row>
    <row r="4014" ht="14.25" hidden="1" customHeight="1">
      <c r="B4014" s="7" t="s">
        <v>22</v>
      </c>
      <c r="C4014" s="7" t="s">
        <v>7</v>
      </c>
      <c r="D4014" s="7" t="s">
        <v>33</v>
      </c>
      <c r="E4014" s="7" t="s">
        <v>8</v>
      </c>
      <c r="F4014" s="8">
        <v>2.0</v>
      </c>
      <c r="G4014" s="9">
        <v>1.0</v>
      </c>
    </row>
    <row r="4015" ht="14.25" hidden="1" customHeight="1">
      <c r="B4015" s="7" t="s">
        <v>22</v>
      </c>
      <c r="C4015" s="7" t="s">
        <v>29</v>
      </c>
      <c r="D4015" s="7" t="s">
        <v>28</v>
      </c>
      <c r="E4015" s="7" t="s">
        <v>25</v>
      </c>
      <c r="F4015" s="8">
        <v>2.0</v>
      </c>
      <c r="G4015" s="9">
        <v>2.0</v>
      </c>
    </row>
    <row r="4016" ht="14.25" hidden="1" customHeight="1">
      <c r="B4016" s="7" t="s">
        <v>22</v>
      </c>
      <c r="C4016" s="7" t="s">
        <v>30</v>
      </c>
      <c r="D4016" s="7" t="s">
        <v>11</v>
      </c>
      <c r="E4016" s="7" t="s">
        <v>10</v>
      </c>
      <c r="F4016" s="8">
        <v>2.0</v>
      </c>
      <c r="G4016" s="9">
        <v>1.0</v>
      </c>
    </row>
    <row r="4017" ht="14.25" hidden="1" customHeight="1">
      <c r="B4017" s="7" t="s">
        <v>22</v>
      </c>
      <c r="C4017" s="7" t="s">
        <v>29</v>
      </c>
      <c r="D4017" s="7" t="s">
        <v>11</v>
      </c>
      <c r="E4017" s="7" t="s">
        <v>32</v>
      </c>
      <c r="F4017" s="8">
        <v>2.0</v>
      </c>
      <c r="G4017" s="9">
        <v>2.0</v>
      </c>
    </row>
    <row r="4018" ht="14.25" hidden="1" customHeight="1">
      <c r="B4018" s="7" t="s">
        <v>22</v>
      </c>
      <c r="C4018" s="7" t="s">
        <v>7</v>
      </c>
      <c r="D4018" s="7" t="s">
        <v>11</v>
      </c>
      <c r="E4018" s="7" t="s">
        <v>8</v>
      </c>
      <c r="F4018" s="8">
        <v>2.0</v>
      </c>
      <c r="G4018" s="9">
        <v>1.0</v>
      </c>
    </row>
    <row r="4019" ht="14.25" hidden="1" customHeight="1">
      <c r="B4019" s="7" t="s">
        <v>22</v>
      </c>
      <c r="C4019" s="7" t="s">
        <v>7</v>
      </c>
      <c r="D4019" s="7" t="s">
        <v>9</v>
      </c>
      <c r="E4019" s="7" t="s">
        <v>25</v>
      </c>
      <c r="F4019" s="8">
        <v>2.0</v>
      </c>
      <c r="G4019" s="9">
        <v>2.0</v>
      </c>
    </row>
    <row r="4020" ht="14.25" hidden="1" customHeight="1">
      <c r="B4020" s="7" t="s">
        <v>22</v>
      </c>
      <c r="C4020" s="7" t="s">
        <v>30</v>
      </c>
      <c r="D4020" s="7" t="s">
        <v>9</v>
      </c>
      <c r="E4020" s="7" t="s">
        <v>10</v>
      </c>
      <c r="F4020" s="8">
        <v>2.0</v>
      </c>
      <c r="G4020" s="9">
        <v>1.0</v>
      </c>
    </row>
    <row r="4021" ht="14.25" hidden="1" customHeight="1">
      <c r="B4021" s="7" t="s">
        <v>22</v>
      </c>
      <c r="C4021" s="7" t="s">
        <v>29</v>
      </c>
      <c r="D4021" s="7" t="s">
        <v>9</v>
      </c>
      <c r="E4021" s="7" t="s">
        <v>31</v>
      </c>
      <c r="F4021" s="8">
        <v>2.0</v>
      </c>
      <c r="G4021" s="9">
        <v>2.0</v>
      </c>
    </row>
    <row r="4022" ht="14.25" hidden="1" customHeight="1">
      <c r="B4022" s="7" t="s">
        <v>22</v>
      </c>
      <c r="C4022" s="7" t="s">
        <v>30</v>
      </c>
      <c r="D4022" s="7" t="s">
        <v>24</v>
      </c>
      <c r="E4022" s="7" t="s">
        <v>28</v>
      </c>
      <c r="F4022" s="8">
        <v>2.0</v>
      </c>
      <c r="G4022" s="9">
        <v>1.0</v>
      </c>
    </row>
    <row r="4023" ht="14.25" hidden="1" customHeight="1">
      <c r="B4023" s="7" t="s">
        <v>22</v>
      </c>
      <c r="C4023" s="7" t="s">
        <v>30</v>
      </c>
      <c r="D4023" s="7" t="s">
        <v>24</v>
      </c>
      <c r="E4023" s="7" t="s">
        <v>10</v>
      </c>
      <c r="F4023" s="8">
        <v>2.0</v>
      </c>
      <c r="G4023" s="9">
        <v>1.0</v>
      </c>
    </row>
    <row r="4024" ht="14.25" hidden="1" customHeight="1">
      <c r="B4024" s="7" t="s">
        <v>22</v>
      </c>
      <c r="C4024" s="7" t="s">
        <v>29</v>
      </c>
      <c r="D4024" s="7" t="s">
        <v>24</v>
      </c>
      <c r="E4024" s="7" t="s">
        <v>31</v>
      </c>
      <c r="F4024" s="8">
        <v>2.0</v>
      </c>
      <c r="G4024" s="9">
        <v>2.0</v>
      </c>
    </row>
    <row r="4025" ht="14.25" hidden="1" customHeight="1">
      <c r="B4025" s="7" t="s">
        <v>22</v>
      </c>
      <c r="C4025" s="7" t="s">
        <v>7</v>
      </c>
      <c r="D4025" s="7" t="s">
        <v>10</v>
      </c>
      <c r="E4025" s="7" t="s">
        <v>33</v>
      </c>
      <c r="F4025" s="8">
        <v>2.0</v>
      </c>
      <c r="G4025" s="9">
        <v>2.0</v>
      </c>
    </row>
    <row r="4026" ht="14.25" hidden="1" customHeight="1">
      <c r="B4026" s="7" t="s">
        <v>22</v>
      </c>
      <c r="C4026" s="7" t="s">
        <v>7</v>
      </c>
      <c r="D4026" s="7" t="s">
        <v>10</v>
      </c>
      <c r="E4026" s="7" t="s">
        <v>33</v>
      </c>
      <c r="F4026" s="8">
        <v>2.0</v>
      </c>
      <c r="G4026" s="9">
        <v>1.0</v>
      </c>
    </row>
    <row r="4027" ht="14.25" hidden="1" customHeight="1">
      <c r="B4027" s="7" t="s">
        <v>22</v>
      </c>
      <c r="C4027" s="7" t="s">
        <v>7</v>
      </c>
      <c r="D4027" s="7" t="s">
        <v>10</v>
      </c>
      <c r="E4027" s="7" t="s">
        <v>31</v>
      </c>
      <c r="F4027" s="8">
        <v>2.0</v>
      </c>
      <c r="G4027" s="9">
        <v>1.0</v>
      </c>
    </row>
    <row r="4028" ht="14.25" hidden="1" customHeight="1">
      <c r="B4028" s="7" t="s">
        <v>22</v>
      </c>
      <c r="C4028" s="7" t="s">
        <v>7</v>
      </c>
      <c r="D4028" s="7" t="s">
        <v>32</v>
      </c>
      <c r="E4028" s="7" t="s">
        <v>25</v>
      </c>
      <c r="F4028" s="8">
        <v>2.0</v>
      </c>
      <c r="G4028" s="9">
        <v>2.0</v>
      </c>
    </row>
    <row r="4029" ht="14.25" hidden="1" customHeight="1">
      <c r="B4029" s="7" t="s">
        <v>22</v>
      </c>
      <c r="C4029" s="7" t="s">
        <v>30</v>
      </c>
      <c r="D4029" s="7" t="s">
        <v>32</v>
      </c>
      <c r="E4029" s="7" t="s">
        <v>25</v>
      </c>
      <c r="F4029" s="8">
        <v>2.0</v>
      </c>
      <c r="G4029" s="9">
        <v>1.0</v>
      </c>
    </row>
    <row r="4030" ht="14.25" hidden="1" customHeight="1">
      <c r="B4030" s="7" t="s">
        <v>22</v>
      </c>
      <c r="C4030" s="7" t="s">
        <v>7</v>
      </c>
      <c r="D4030" s="7" t="s">
        <v>32</v>
      </c>
      <c r="E4030" s="7" t="s">
        <v>33</v>
      </c>
      <c r="F4030" s="8">
        <v>2.0</v>
      </c>
      <c r="G4030" s="9">
        <v>1.0</v>
      </c>
    </row>
    <row r="4031" ht="14.25" hidden="1" customHeight="1">
      <c r="B4031" s="7" t="s">
        <v>22</v>
      </c>
      <c r="C4031" s="7" t="s">
        <v>7</v>
      </c>
      <c r="D4031" s="7" t="s">
        <v>32</v>
      </c>
      <c r="E4031" s="7" t="s">
        <v>9</v>
      </c>
      <c r="F4031" s="8">
        <v>2.0</v>
      </c>
      <c r="G4031" s="9">
        <v>1.0</v>
      </c>
    </row>
    <row r="4032" ht="14.25" hidden="1" customHeight="1">
      <c r="B4032" s="7" t="s">
        <v>22</v>
      </c>
      <c r="C4032" s="7" t="s">
        <v>30</v>
      </c>
      <c r="D4032" s="7" t="s">
        <v>32</v>
      </c>
      <c r="E4032" s="7" t="s">
        <v>10</v>
      </c>
      <c r="F4032" s="8">
        <v>2.0</v>
      </c>
      <c r="G4032" s="9">
        <v>1.0</v>
      </c>
    </row>
    <row r="4033" ht="14.25" hidden="1" customHeight="1">
      <c r="B4033" s="7" t="s">
        <v>22</v>
      </c>
      <c r="C4033" s="7" t="s">
        <v>7</v>
      </c>
      <c r="D4033" s="7" t="s">
        <v>32</v>
      </c>
      <c r="E4033" s="7" t="s">
        <v>31</v>
      </c>
      <c r="F4033" s="8">
        <v>2.0</v>
      </c>
      <c r="G4033" s="9">
        <v>1.0</v>
      </c>
    </row>
    <row r="4034" ht="14.25" hidden="1" customHeight="1">
      <c r="B4034" s="7" t="s">
        <v>22</v>
      </c>
      <c r="C4034" s="7" t="s">
        <v>7</v>
      </c>
      <c r="D4034" s="7" t="s">
        <v>32</v>
      </c>
      <c r="E4034" s="7" t="s">
        <v>31</v>
      </c>
      <c r="F4034" s="8">
        <v>2.0</v>
      </c>
      <c r="G4034" s="9">
        <v>1.0</v>
      </c>
    </row>
    <row r="4035" ht="14.25" hidden="1" customHeight="1">
      <c r="B4035" s="7" t="s">
        <v>22</v>
      </c>
      <c r="C4035" s="7" t="s">
        <v>29</v>
      </c>
      <c r="D4035" s="7" t="s">
        <v>32</v>
      </c>
      <c r="E4035" s="7" t="s">
        <v>8</v>
      </c>
      <c r="F4035" s="8">
        <v>2.0</v>
      </c>
      <c r="G4035" s="9">
        <v>2.0</v>
      </c>
    </row>
    <row r="4036" ht="14.25" hidden="1" customHeight="1">
      <c r="B4036" s="7" t="s">
        <v>22</v>
      </c>
      <c r="C4036" s="7" t="s">
        <v>7</v>
      </c>
      <c r="D4036" s="7" t="s">
        <v>31</v>
      </c>
      <c r="E4036" s="7" t="s">
        <v>25</v>
      </c>
      <c r="F4036" s="8">
        <v>2.0</v>
      </c>
      <c r="G4036" s="9">
        <v>1.0</v>
      </c>
    </row>
    <row r="4037" ht="14.25" hidden="1" customHeight="1">
      <c r="B4037" s="7" t="s">
        <v>22</v>
      </c>
      <c r="C4037" s="7" t="s">
        <v>36</v>
      </c>
      <c r="D4037" s="7" t="s">
        <v>31</v>
      </c>
      <c r="E4037" s="7" t="s">
        <v>9</v>
      </c>
      <c r="F4037" s="8">
        <v>2.0</v>
      </c>
      <c r="G4037" s="9">
        <v>2.0</v>
      </c>
    </row>
    <row r="4038" ht="14.25" hidden="1" customHeight="1">
      <c r="B4038" s="7" t="s">
        <v>22</v>
      </c>
      <c r="C4038" s="7" t="s">
        <v>29</v>
      </c>
      <c r="D4038" s="7" t="s">
        <v>31</v>
      </c>
      <c r="E4038" s="7" t="s">
        <v>10</v>
      </c>
      <c r="F4038" s="8">
        <v>2.0</v>
      </c>
      <c r="G4038" s="9">
        <v>2.0</v>
      </c>
    </row>
    <row r="4039" ht="14.25" hidden="1" customHeight="1">
      <c r="B4039" s="7" t="s">
        <v>22</v>
      </c>
      <c r="C4039" s="7" t="s">
        <v>7</v>
      </c>
      <c r="D4039" s="7" t="s">
        <v>31</v>
      </c>
      <c r="E4039" s="7" t="s">
        <v>31</v>
      </c>
      <c r="F4039" s="8">
        <v>2.0</v>
      </c>
      <c r="G4039" s="9">
        <v>1.0</v>
      </c>
    </row>
    <row r="4040" ht="14.25" hidden="1" customHeight="1">
      <c r="B4040" s="7" t="s">
        <v>22</v>
      </c>
      <c r="C4040" s="7" t="s">
        <v>7</v>
      </c>
      <c r="D4040" s="7" t="s">
        <v>31</v>
      </c>
      <c r="E4040" s="7" t="s">
        <v>31</v>
      </c>
      <c r="F4040" s="8">
        <v>2.0</v>
      </c>
      <c r="G4040" s="9">
        <v>1.0</v>
      </c>
    </row>
    <row r="4041" ht="14.25" hidden="1" customHeight="1">
      <c r="B4041" s="7" t="s">
        <v>22</v>
      </c>
      <c r="C4041" s="7" t="s">
        <v>7</v>
      </c>
      <c r="D4041" s="7" t="s">
        <v>31</v>
      </c>
      <c r="E4041" s="7" t="s">
        <v>8</v>
      </c>
      <c r="F4041" s="8">
        <v>2.0</v>
      </c>
      <c r="G4041" s="9">
        <v>1.0</v>
      </c>
    </row>
    <row r="4042" ht="14.25" hidden="1" customHeight="1">
      <c r="B4042" s="7" t="s">
        <v>22</v>
      </c>
      <c r="C4042" s="7" t="s">
        <v>7</v>
      </c>
      <c r="D4042" s="7" t="s">
        <v>8</v>
      </c>
      <c r="E4042" s="7" t="s">
        <v>25</v>
      </c>
      <c r="F4042" s="8">
        <v>2.0</v>
      </c>
      <c r="G4042" s="9">
        <v>1.0</v>
      </c>
    </row>
    <row r="4043" ht="14.25" hidden="1" customHeight="1">
      <c r="B4043" s="7" t="s">
        <v>22</v>
      </c>
      <c r="C4043" s="7" t="s">
        <v>7</v>
      </c>
      <c r="D4043" s="7" t="s">
        <v>8</v>
      </c>
      <c r="E4043" s="7" t="s">
        <v>33</v>
      </c>
      <c r="F4043" s="8">
        <v>2.0</v>
      </c>
      <c r="G4043" s="9">
        <v>2.0</v>
      </c>
    </row>
    <row r="4044" ht="14.25" hidden="1" customHeight="1">
      <c r="B4044" s="7" t="s">
        <v>22</v>
      </c>
      <c r="C4044" s="7" t="s">
        <v>7</v>
      </c>
      <c r="D4044" s="7" t="s">
        <v>8</v>
      </c>
      <c r="E4044" s="7" t="s">
        <v>33</v>
      </c>
      <c r="F4044" s="8">
        <v>2.0</v>
      </c>
      <c r="G4044" s="9">
        <v>1.0</v>
      </c>
    </row>
    <row r="4045" ht="14.25" hidden="1" customHeight="1">
      <c r="B4045" s="7" t="s">
        <v>22</v>
      </c>
      <c r="C4045" s="7" t="s">
        <v>29</v>
      </c>
      <c r="D4045" s="7" t="s">
        <v>8</v>
      </c>
      <c r="E4045" s="7" t="s">
        <v>28</v>
      </c>
      <c r="F4045" s="8">
        <v>2.0</v>
      </c>
      <c r="G4045" s="9">
        <v>2.0</v>
      </c>
    </row>
    <row r="4046" ht="14.25" hidden="1" customHeight="1">
      <c r="B4046" s="7" t="s">
        <v>22</v>
      </c>
      <c r="C4046" s="7" t="s">
        <v>36</v>
      </c>
      <c r="D4046" s="7" t="s">
        <v>8</v>
      </c>
      <c r="E4046" s="7" t="s">
        <v>9</v>
      </c>
      <c r="F4046" s="8">
        <v>2.0</v>
      </c>
      <c r="G4046" s="9">
        <v>2.0</v>
      </c>
    </row>
    <row r="4047" ht="14.25" hidden="1" customHeight="1">
      <c r="B4047" s="7" t="s">
        <v>22</v>
      </c>
      <c r="C4047" s="7" t="s">
        <v>7</v>
      </c>
      <c r="D4047" s="7" t="s">
        <v>8</v>
      </c>
      <c r="E4047" s="7" t="s">
        <v>9</v>
      </c>
      <c r="F4047" s="8">
        <v>2.0</v>
      </c>
      <c r="G4047" s="9">
        <v>1.0</v>
      </c>
    </row>
    <row r="4048" ht="14.25" hidden="1" customHeight="1">
      <c r="B4048" s="7" t="s">
        <v>22</v>
      </c>
      <c r="C4048" s="7" t="s">
        <v>7</v>
      </c>
      <c r="D4048" s="7" t="s">
        <v>8</v>
      </c>
      <c r="E4048" s="7" t="s">
        <v>10</v>
      </c>
      <c r="F4048" s="8">
        <v>2.0</v>
      </c>
      <c r="G4048" s="9">
        <v>1.0</v>
      </c>
    </row>
    <row r="4049" ht="14.25" customHeight="1">
      <c r="B4049" s="7" t="s">
        <v>22</v>
      </c>
      <c r="C4049" s="7" t="s">
        <v>7</v>
      </c>
      <c r="D4049" s="7" t="s">
        <v>8</v>
      </c>
      <c r="E4049" s="7" t="s">
        <v>31</v>
      </c>
      <c r="F4049" s="8">
        <v>2.0</v>
      </c>
      <c r="G4049" s="9">
        <v>1.0</v>
      </c>
    </row>
    <row r="4050" ht="14.25" hidden="1" customHeight="1">
      <c r="B4050" s="7" t="s">
        <v>22</v>
      </c>
      <c r="C4050" s="7" t="s">
        <v>36</v>
      </c>
      <c r="D4050" s="7" t="s">
        <v>25</v>
      </c>
      <c r="E4050" s="7" t="s">
        <v>9</v>
      </c>
      <c r="F4050" s="8">
        <v>1.0</v>
      </c>
      <c r="G4050" s="9">
        <v>1.0</v>
      </c>
    </row>
    <row r="4051" ht="14.25" hidden="1" customHeight="1">
      <c r="B4051" s="7" t="s">
        <v>22</v>
      </c>
      <c r="C4051" s="7" t="s">
        <v>29</v>
      </c>
      <c r="D4051" s="7" t="s">
        <v>25</v>
      </c>
      <c r="E4051" s="7" t="s">
        <v>9</v>
      </c>
      <c r="F4051" s="8">
        <v>1.0</v>
      </c>
      <c r="G4051" s="9">
        <v>1.0</v>
      </c>
    </row>
    <row r="4052" ht="14.25" hidden="1" customHeight="1">
      <c r="B4052" s="7" t="s">
        <v>22</v>
      </c>
      <c r="C4052" s="7" t="s">
        <v>29</v>
      </c>
      <c r="D4052" s="7" t="s">
        <v>33</v>
      </c>
      <c r="E4052" s="7" t="s">
        <v>9</v>
      </c>
      <c r="F4052" s="8">
        <v>1.0</v>
      </c>
      <c r="G4052" s="9">
        <v>1.0</v>
      </c>
    </row>
    <row r="4053" ht="14.25" hidden="1" customHeight="1">
      <c r="B4053" s="7" t="s">
        <v>22</v>
      </c>
      <c r="C4053" s="7" t="s">
        <v>29</v>
      </c>
      <c r="D4053" s="7" t="s">
        <v>33</v>
      </c>
      <c r="E4053" s="7" t="s">
        <v>31</v>
      </c>
      <c r="F4053" s="8">
        <v>1.0</v>
      </c>
      <c r="G4053" s="9">
        <v>1.0</v>
      </c>
    </row>
    <row r="4054" ht="14.25" hidden="1" customHeight="1">
      <c r="B4054" s="7" t="s">
        <v>22</v>
      </c>
      <c r="C4054" s="7" t="s">
        <v>36</v>
      </c>
      <c r="D4054" s="7" t="s">
        <v>33</v>
      </c>
      <c r="E4054" s="7" t="s">
        <v>31</v>
      </c>
      <c r="F4054" s="8">
        <v>1.0</v>
      </c>
      <c r="G4054" s="9">
        <v>1.0</v>
      </c>
    </row>
    <row r="4055" ht="14.25" hidden="1" customHeight="1">
      <c r="B4055" s="7" t="s">
        <v>22</v>
      </c>
      <c r="C4055" s="7" t="s">
        <v>36</v>
      </c>
      <c r="D4055" s="7" t="s">
        <v>33</v>
      </c>
      <c r="E4055" s="7" t="s">
        <v>8</v>
      </c>
      <c r="F4055" s="8">
        <v>1.0</v>
      </c>
      <c r="G4055" s="9">
        <v>1.0</v>
      </c>
    </row>
    <row r="4056" ht="14.25" hidden="1" customHeight="1">
      <c r="B4056" s="7" t="s">
        <v>22</v>
      </c>
      <c r="C4056" s="7" t="s">
        <v>29</v>
      </c>
      <c r="D4056" s="7" t="s">
        <v>11</v>
      </c>
      <c r="E4056" s="7" t="s">
        <v>31</v>
      </c>
      <c r="F4056" s="8">
        <v>1.0</v>
      </c>
      <c r="G4056" s="9">
        <v>1.0</v>
      </c>
    </row>
    <row r="4057" ht="14.25" hidden="1" customHeight="1">
      <c r="B4057" s="7" t="s">
        <v>22</v>
      </c>
      <c r="C4057" s="7" t="s">
        <v>29</v>
      </c>
      <c r="D4057" s="7" t="s">
        <v>11</v>
      </c>
      <c r="E4057" s="7" t="s">
        <v>8</v>
      </c>
      <c r="F4057" s="8">
        <v>1.0</v>
      </c>
      <c r="G4057" s="9">
        <v>1.0</v>
      </c>
    </row>
    <row r="4058" ht="14.25" hidden="1" customHeight="1">
      <c r="B4058" s="7" t="s">
        <v>22</v>
      </c>
      <c r="C4058" s="7" t="s">
        <v>29</v>
      </c>
      <c r="D4058" s="7" t="s">
        <v>9</v>
      </c>
      <c r="E4058" s="7" t="s">
        <v>33</v>
      </c>
      <c r="F4058" s="8">
        <v>1.0</v>
      </c>
      <c r="G4058" s="9">
        <v>1.0</v>
      </c>
    </row>
    <row r="4059" ht="14.25" hidden="1" customHeight="1">
      <c r="B4059" s="7" t="s">
        <v>22</v>
      </c>
      <c r="C4059" s="7" t="s">
        <v>29</v>
      </c>
      <c r="D4059" s="7" t="s">
        <v>9</v>
      </c>
      <c r="E4059" s="7" t="s">
        <v>10</v>
      </c>
      <c r="F4059" s="8">
        <v>1.0</v>
      </c>
      <c r="G4059" s="9">
        <v>1.0</v>
      </c>
    </row>
    <row r="4060" ht="14.25" hidden="1" customHeight="1">
      <c r="B4060" s="7" t="s">
        <v>22</v>
      </c>
      <c r="C4060" s="7" t="s">
        <v>29</v>
      </c>
      <c r="D4060" s="7" t="s">
        <v>9</v>
      </c>
      <c r="E4060" s="7" t="s">
        <v>32</v>
      </c>
      <c r="F4060" s="8">
        <v>1.0</v>
      </c>
      <c r="G4060" s="9">
        <v>1.0</v>
      </c>
    </row>
    <row r="4061" ht="14.25" hidden="1" customHeight="1">
      <c r="B4061" s="7" t="s">
        <v>22</v>
      </c>
      <c r="C4061" s="7" t="s">
        <v>36</v>
      </c>
      <c r="D4061" s="7" t="s">
        <v>9</v>
      </c>
      <c r="E4061" s="7" t="s">
        <v>31</v>
      </c>
      <c r="F4061" s="8">
        <v>1.0</v>
      </c>
      <c r="G4061" s="9">
        <v>1.0</v>
      </c>
    </row>
    <row r="4062" ht="14.25" hidden="1" customHeight="1">
      <c r="B4062" s="7" t="s">
        <v>22</v>
      </c>
      <c r="C4062" s="7" t="s">
        <v>29</v>
      </c>
      <c r="D4062" s="7" t="s">
        <v>24</v>
      </c>
      <c r="E4062" s="7" t="s">
        <v>10</v>
      </c>
      <c r="F4062" s="8">
        <v>1.0</v>
      </c>
      <c r="G4062" s="9">
        <v>1.0</v>
      </c>
    </row>
    <row r="4063" ht="14.25" hidden="1" customHeight="1">
      <c r="B4063" s="7" t="s">
        <v>22</v>
      </c>
      <c r="C4063" s="7" t="s">
        <v>29</v>
      </c>
      <c r="D4063" s="7" t="s">
        <v>24</v>
      </c>
      <c r="E4063" s="7" t="s">
        <v>10</v>
      </c>
      <c r="F4063" s="8">
        <v>1.0</v>
      </c>
      <c r="G4063" s="9">
        <v>1.0</v>
      </c>
    </row>
    <row r="4064" ht="14.25" hidden="1" customHeight="1">
      <c r="B4064" s="7" t="s">
        <v>22</v>
      </c>
      <c r="C4064" s="7" t="s">
        <v>29</v>
      </c>
      <c r="D4064" s="7" t="s">
        <v>24</v>
      </c>
      <c r="E4064" s="7" t="s">
        <v>8</v>
      </c>
      <c r="F4064" s="8">
        <v>1.0</v>
      </c>
      <c r="G4064" s="9">
        <v>1.0</v>
      </c>
    </row>
    <row r="4065" ht="14.25" hidden="1" customHeight="1">
      <c r="B4065" s="7" t="s">
        <v>22</v>
      </c>
      <c r="C4065" s="7" t="s">
        <v>29</v>
      </c>
      <c r="D4065" s="7" t="s">
        <v>10</v>
      </c>
      <c r="E4065" s="7" t="s">
        <v>33</v>
      </c>
      <c r="F4065" s="8">
        <v>1.0</v>
      </c>
      <c r="G4065" s="9">
        <v>1.0</v>
      </c>
    </row>
    <row r="4066" ht="14.25" hidden="1" customHeight="1">
      <c r="B4066" s="7" t="s">
        <v>22</v>
      </c>
      <c r="C4066" s="7" t="s">
        <v>36</v>
      </c>
      <c r="D4066" s="7" t="s">
        <v>32</v>
      </c>
      <c r="E4066" s="7" t="s">
        <v>28</v>
      </c>
      <c r="F4066" s="8">
        <v>1.0</v>
      </c>
      <c r="G4066" s="9">
        <v>1.0</v>
      </c>
    </row>
    <row r="4067" ht="14.25" hidden="1" customHeight="1">
      <c r="B4067" s="7" t="s">
        <v>22</v>
      </c>
      <c r="C4067" s="7" t="s">
        <v>29</v>
      </c>
      <c r="D4067" s="7" t="s">
        <v>32</v>
      </c>
      <c r="E4067" s="7" t="s">
        <v>8</v>
      </c>
      <c r="F4067" s="8">
        <v>1.0</v>
      </c>
      <c r="G4067" s="9">
        <v>1.0</v>
      </c>
    </row>
    <row r="4068" ht="14.25" hidden="1" customHeight="1">
      <c r="B4068" s="7" t="s">
        <v>22</v>
      </c>
      <c r="C4068" s="7" t="s">
        <v>29</v>
      </c>
      <c r="D4068" s="7" t="s">
        <v>31</v>
      </c>
      <c r="E4068" s="7" t="s">
        <v>28</v>
      </c>
      <c r="F4068" s="8">
        <v>1.0</v>
      </c>
      <c r="G4068" s="9">
        <v>1.0</v>
      </c>
    </row>
    <row r="4069" ht="14.25" hidden="1" customHeight="1">
      <c r="B4069" s="7" t="s">
        <v>22</v>
      </c>
      <c r="C4069" s="7" t="s">
        <v>29</v>
      </c>
      <c r="D4069" s="7" t="s">
        <v>31</v>
      </c>
      <c r="E4069" s="7" t="s">
        <v>9</v>
      </c>
      <c r="F4069" s="8">
        <v>1.0</v>
      </c>
      <c r="G4069" s="9">
        <v>1.0</v>
      </c>
    </row>
    <row r="4070" ht="14.25" hidden="1" customHeight="1">
      <c r="B4070" s="7" t="s">
        <v>22</v>
      </c>
      <c r="C4070" s="7" t="s">
        <v>36</v>
      </c>
      <c r="D4070" s="7" t="s">
        <v>8</v>
      </c>
      <c r="E4070" s="7" t="s">
        <v>28</v>
      </c>
      <c r="F4070" s="8">
        <v>1.0</v>
      </c>
      <c r="G4070" s="9">
        <v>1.0</v>
      </c>
    </row>
    <row r="4071" ht="14.25" hidden="1" customHeight="1">
      <c r="B4071" s="7" t="s">
        <v>22</v>
      </c>
      <c r="C4071" s="7" t="s">
        <v>29</v>
      </c>
      <c r="D4071" s="7" t="s">
        <v>8</v>
      </c>
      <c r="E4071" s="7" t="s">
        <v>10</v>
      </c>
      <c r="F4071" s="8">
        <v>1.0</v>
      </c>
      <c r="G4071" s="9">
        <v>1.0</v>
      </c>
    </row>
    <row r="4072" ht="14.25" customHeight="1">
      <c r="B4072" s="7" t="s">
        <v>22</v>
      </c>
      <c r="C4072" s="7" t="s">
        <v>29</v>
      </c>
      <c r="D4072" s="7" t="s">
        <v>8</v>
      </c>
      <c r="E4072" s="7" t="s">
        <v>31</v>
      </c>
      <c r="F4072" s="8">
        <v>1.0</v>
      </c>
      <c r="G4072" s="9">
        <v>1.0</v>
      </c>
    </row>
    <row r="4073" ht="14.25" hidden="1" customHeight="1">
      <c r="B4073" s="7" t="s">
        <v>21</v>
      </c>
      <c r="C4073" s="7" t="s">
        <v>7</v>
      </c>
      <c r="D4073" s="7" t="s">
        <v>25</v>
      </c>
      <c r="E4073" s="7" t="s">
        <v>8</v>
      </c>
      <c r="F4073" s="8">
        <v>6324.0</v>
      </c>
      <c r="G4073" s="9">
        <v>3162.0</v>
      </c>
    </row>
    <row r="4074" ht="14.25" hidden="1" customHeight="1">
      <c r="B4074" s="7" t="s">
        <v>21</v>
      </c>
      <c r="C4074" s="7" t="s">
        <v>7</v>
      </c>
      <c r="D4074" s="7" t="s">
        <v>8</v>
      </c>
      <c r="E4074" s="7" t="s">
        <v>9</v>
      </c>
      <c r="F4074" s="8">
        <v>5746.0</v>
      </c>
      <c r="G4074" s="9">
        <v>2873.0</v>
      </c>
    </row>
    <row r="4075" ht="14.25" hidden="1" customHeight="1">
      <c r="B4075" s="7" t="s">
        <v>21</v>
      </c>
      <c r="C4075" s="7" t="s">
        <v>7</v>
      </c>
      <c r="D4075" s="7" t="s">
        <v>25</v>
      </c>
      <c r="E4075" s="7" t="s">
        <v>8</v>
      </c>
      <c r="F4075" s="8">
        <v>4210.0</v>
      </c>
      <c r="G4075" s="9">
        <v>2105.0</v>
      </c>
    </row>
    <row r="4076" ht="14.25" hidden="1" customHeight="1">
      <c r="B4076" s="7" t="s">
        <v>21</v>
      </c>
      <c r="C4076" s="7" t="s">
        <v>7</v>
      </c>
      <c r="D4076" s="7" t="s">
        <v>10</v>
      </c>
      <c r="E4076" s="7" t="s">
        <v>11</v>
      </c>
      <c r="F4076" s="8">
        <v>3568.0</v>
      </c>
      <c r="G4076" s="9">
        <v>1784.0</v>
      </c>
    </row>
    <row r="4077" ht="14.25" hidden="1" customHeight="1">
      <c r="B4077" s="7" t="s">
        <v>21</v>
      </c>
      <c r="C4077" s="7" t="s">
        <v>29</v>
      </c>
      <c r="D4077" s="7" t="s">
        <v>11</v>
      </c>
      <c r="E4077" s="7" t="s">
        <v>10</v>
      </c>
      <c r="F4077" s="8">
        <v>3336.0</v>
      </c>
      <c r="G4077" s="9">
        <v>3336.0</v>
      </c>
    </row>
    <row r="4078" ht="14.25" hidden="1" customHeight="1">
      <c r="B4078" s="7" t="s">
        <v>21</v>
      </c>
      <c r="C4078" s="7" t="s">
        <v>7</v>
      </c>
      <c r="D4078" s="7" t="s">
        <v>8</v>
      </c>
      <c r="E4078" s="7" t="s">
        <v>28</v>
      </c>
      <c r="F4078" s="8">
        <v>3294.0</v>
      </c>
      <c r="G4078" s="9">
        <v>1647.0</v>
      </c>
    </row>
    <row r="4079" ht="14.25" hidden="1" customHeight="1">
      <c r="B4079" s="7" t="s">
        <v>21</v>
      </c>
      <c r="C4079" s="7" t="s">
        <v>7</v>
      </c>
      <c r="D4079" s="7" t="s">
        <v>8</v>
      </c>
      <c r="E4079" s="7" t="s">
        <v>24</v>
      </c>
      <c r="F4079" s="8">
        <v>3170.0</v>
      </c>
      <c r="G4079" s="9">
        <v>1585.0</v>
      </c>
    </row>
    <row r="4080" ht="14.25" hidden="1" customHeight="1">
      <c r="B4080" s="7" t="s">
        <v>21</v>
      </c>
      <c r="C4080" s="7" t="s">
        <v>7</v>
      </c>
      <c r="D4080" s="7" t="s">
        <v>8</v>
      </c>
      <c r="E4080" s="7" t="s">
        <v>25</v>
      </c>
      <c r="F4080" s="8">
        <v>2484.0</v>
      </c>
      <c r="G4080" s="9">
        <v>1242.0</v>
      </c>
    </row>
    <row r="4081" ht="14.25" hidden="1" customHeight="1">
      <c r="B4081" s="7" t="s">
        <v>21</v>
      </c>
      <c r="C4081" s="7" t="s">
        <v>7</v>
      </c>
      <c r="D4081" s="7" t="s">
        <v>25</v>
      </c>
      <c r="E4081" s="7" t="s">
        <v>9</v>
      </c>
      <c r="F4081" s="8">
        <v>2456.0</v>
      </c>
      <c r="G4081" s="9">
        <v>1228.0</v>
      </c>
    </row>
    <row r="4082" ht="14.25" hidden="1" customHeight="1">
      <c r="B4082" s="7" t="s">
        <v>21</v>
      </c>
      <c r="C4082" s="7" t="s">
        <v>7</v>
      </c>
      <c r="D4082" s="7" t="s">
        <v>31</v>
      </c>
      <c r="E4082" s="7" t="s">
        <v>28</v>
      </c>
      <c r="F4082" s="8">
        <v>1928.0</v>
      </c>
      <c r="G4082" s="9">
        <v>964.0</v>
      </c>
    </row>
    <row r="4083" ht="14.25" hidden="1" customHeight="1">
      <c r="B4083" s="7" t="s">
        <v>21</v>
      </c>
      <c r="C4083" s="7" t="s">
        <v>7</v>
      </c>
      <c r="D4083" s="7" t="s">
        <v>31</v>
      </c>
      <c r="E4083" s="7" t="s">
        <v>9</v>
      </c>
      <c r="F4083" s="8">
        <v>1912.0</v>
      </c>
      <c r="G4083" s="9">
        <v>956.0</v>
      </c>
    </row>
    <row r="4084" ht="14.25" hidden="1" customHeight="1">
      <c r="B4084" s="7" t="s">
        <v>21</v>
      </c>
      <c r="C4084" s="7" t="s">
        <v>7</v>
      </c>
      <c r="D4084" s="7" t="s">
        <v>31</v>
      </c>
      <c r="E4084" s="7" t="s">
        <v>9</v>
      </c>
      <c r="F4084" s="8">
        <v>1648.0</v>
      </c>
      <c r="G4084" s="9">
        <v>824.0</v>
      </c>
    </row>
    <row r="4085" ht="14.25" hidden="1" customHeight="1">
      <c r="B4085" s="7" t="s">
        <v>21</v>
      </c>
      <c r="C4085" s="7" t="s">
        <v>7</v>
      </c>
      <c r="D4085" s="7" t="s">
        <v>8</v>
      </c>
      <c r="E4085" s="7" t="s">
        <v>11</v>
      </c>
      <c r="F4085" s="8">
        <v>1530.0</v>
      </c>
      <c r="G4085" s="9">
        <v>765.0</v>
      </c>
    </row>
    <row r="4086" ht="14.25" hidden="1" customHeight="1">
      <c r="B4086" s="7" t="s">
        <v>21</v>
      </c>
      <c r="C4086" s="7" t="s">
        <v>7</v>
      </c>
      <c r="D4086" s="7" t="s">
        <v>9</v>
      </c>
      <c r="E4086" s="7" t="s">
        <v>25</v>
      </c>
      <c r="F4086" s="8">
        <v>1464.0</v>
      </c>
      <c r="G4086" s="9">
        <v>732.0</v>
      </c>
    </row>
    <row r="4087" ht="14.25" hidden="1" customHeight="1">
      <c r="B4087" s="7" t="s">
        <v>21</v>
      </c>
      <c r="C4087" s="7" t="s">
        <v>30</v>
      </c>
      <c r="D4087" s="7" t="s">
        <v>31</v>
      </c>
      <c r="E4087" s="7" t="s">
        <v>25</v>
      </c>
      <c r="F4087" s="8">
        <v>1252.0</v>
      </c>
      <c r="G4087" s="9">
        <v>626.0</v>
      </c>
    </row>
    <row r="4088" ht="14.25" customHeight="1">
      <c r="B4088" s="7" t="s">
        <v>21</v>
      </c>
      <c r="C4088" s="7" t="s">
        <v>7</v>
      </c>
      <c r="D4088" s="7" t="s">
        <v>8</v>
      </c>
      <c r="E4088" s="7" t="s">
        <v>31</v>
      </c>
      <c r="F4088" s="8">
        <v>1238.0</v>
      </c>
      <c r="G4088" s="9">
        <v>619.0</v>
      </c>
    </row>
    <row r="4089" ht="14.25" hidden="1" customHeight="1">
      <c r="B4089" s="7" t="s">
        <v>21</v>
      </c>
      <c r="C4089" s="7" t="s">
        <v>7</v>
      </c>
      <c r="D4089" s="7" t="s">
        <v>25</v>
      </c>
      <c r="E4089" s="7" t="s">
        <v>10</v>
      </c>
      <c r="F4089" s="8">
        <v>1184.0</v>
      </c>
      <c r="G4089" s="9">
        <v>592.0</v>
      </c>
    </row>
    <row r="4090" ht="14.25" customHeight="1">
      <c r="B4090" s="7" t="s">
        <v>21</v>
      </c>
      <c r="C4090" s="7" t="s">
        <v>30</v>
      </c>
      <c r="D4090" s="7" t="s">
        <v>8</v>
      </c>
      <c r="E4090" s="7" t="s">
        <v>31</v>
      </c>
      <c r="F4090" s="8">
        <v>1114.0</v>
      </c>
      <c r="G4090" s="9">
        <v>557.0</v>
      </c>
    </row>
    <row r="4091" ht="14.25" hidden="1" customHeight="1">
      <c r="B4091" s="7" t="s">
        <v>21</v>
      </c>
      <c r="C4091" s="7" t="s">
        <v>7</v>
      </c>
      <c r="D4091" s="7" t="s">
        <v>31</v>
      </c>
      <c r="E4091" s="7" t="s">
        <v>25</v>
      </c>
      <c r="F4091" s="8">
        <v>1026.0</v>
      </c>
      <c r="G4091" s="9">
        <v>513.0</v>
      </c>
    </row>
    <row r="4092" ht="14.25" hidden="1" customHeight="1">
      <c r="B4092" s="7" t="s">
        <v>21</v>
      </c>
      <c r="C4092" s="7" t="s">
        <v>7</v>
      </c>
      <c r="D4092" s="7" t="s">
        <v>10</v>
      </c>
      <c r="E4092" s="7" t="s">
        <v>9</v>
      </c>
      <c r="F4092" s="8">
        <v>1012.0</v>
      </c>
      <c r="G4092" s="9">
        <v>506.0</v>
      </c>
    </row>
    <row r="4093" ht="14.25" hidden="1" customHeight="1">
      <c r="B4093" s="7" t="s">
        <v>21</v>
      </c>
      <c r="C4093" s="7" t="s">
        <v>7</v>
      </c>
      <c r="D4093" s="7" t="s">
        <v>33</v>
      </c>
      <c r="E4093" s="7" t="s">
        <v>8</v>
      </c>
      <c r="F4093" s="8">
        <v>974.0</v>
      </c>
      <c r="G4093" s="9">
        <v>487.0</v>
      </c>
    </row>
    <row r="4094" ht="14.25" hidden="1" customHeight="1">
      <c r="B4094" s="7" t="s">
        <v>21</v>
      </c>
      <c r="C4094" s="7" t="s">
        <v>7</v>
      </c>
      <c r="D4094" s="7" t="s">
        <v>28</v>
      </c>
      <c r="E4094" s="7" t="s">
        <v>25</v>
      </c>
      <c r="F4094" s="8">
        <v>906.0</v>
      </c>
      <c r="G4094" s="9">
        <v>453.0</v>
      </c>
    </row>
    <row r="4095" ht="14.25" hidden="1" customHeight="1">
      <c r="B4095" s="7" t="s">
        <v>21</v>
      </c>
      <c r="C4095" s="7" t="s">
        <v>7</v>
      </c>
      <c r="D4095" s="7" t="s">
        <v>9</v>
      </c>
      <c r="E4095" s="7" t="s">
        <v>25</v>
      </c>
      <c r="F4095" s="8">
        <v>898.0</v>
      </c>
      <c r="G4095" s="9">
        <v>449.0</v>
      </c>
    </row>
    <row r="4096" ht="14.25" customHeight="1">
      <c r="B4096" s="7" t="s">
        <v>21</v>
      </c>
      <c r="C4096" s="7" t="s">
        <v>7</v>
      </c>
      <c r="D4096" s="7" t="s">
        <v>8</v>
      </c>
      <c r="E4096" s="7" t="s">
        <v>31</v>
      </c>
      <c r="F4096" s="8">
        <v>880.0</v>
      </c>
      <c r="G4096" s="9">
        <v>440.0</v>
      </c>
    </row>
    <row r="4097" ht="14.25" hidden="1" customHeight="1">
      <c r="B4097" s="7" t="s">
        <v>21</v>
      </c>
      <c r="C4097" s="7" t="s">
        <v>7</v>
      </c>
      <c r="D4097" s="7" t="s">
        <v>31</v>
      </c>
      <c r="E4097" s="7" t="s">
        <v>24</v>
      </c>
      <c r="F4097" s="8">
        <v>870.0</v>
      </c>
      <c r="G4097" s="9">
        <v>435.0</v>
      </c>
    </row>
    <row r="4098" ht="14.25" hidden="1" customHeight="1">
      <c r="B4098" s="7" t="s">
        <v>21</v>
      </c>
      <c r="C4098" s="7" t="s">
        <v>7</v>
      </c>
      <c r="D4098" s="7" t="s">
        <v>8</v>
      </c>
      <c r="E4098" s="7" t="s">
        <v>25</v>
      </c>
      <c r="F4098" s="8">
        <v>870.0</v>
      </c>
      <c r="G4098" s="9">
        <v>435.0</v>
      </c>
    </row>
    <row r="4099" ht="14.25" hidden="1" customHeight="1">
      <c r="B4099" s="7" t="s">
        <v>21</v>
      </c>
      <c r="C4099" s="7" t="s">
        <v>29</v>
      </c>
      <c r="D4099" s="7" t="s">
        <v>31</v>
      </c>
      <c r="E4099" s="7" t="s">
        <v>9</v>
      </c>
      <c r="F4099" s="8">
        <v>857.0</v>
      </c>
      <c r="G4099" s="9">
        <v>857.0</v>
      </c>
    </row>
    <row r="4100" ht="14.25" hidden="1" customHeight="1">
      <c r="B4100" s="7" t="s">
        <v>21</v>
      </c>
      <c r="C4100" s="7" t="s">
        <v>29</v>
      </c>
      <c r="D4100" s="7" t="s">
        <v>31</v>
      </c>
      <c r="E4100" s="7" t="s">
        <v>28</v>
      </c>
      <c r="F4100" s="8">
        <v>845.0</v>
      </c>
      <c r="G4100" s="9">
        <v>845.0</v>
      </c>
    </row>
    <row r="4101" ht="14.25" hidden="1" customHeight="1">
      <c r="B4101" s="7" t="s">
        <v>21</v>
      </c>
      <c r="C4101" s="7" t="s">
        <v>30</v>
      </c>
      <c r="D4101" s="7" t="s">
        <v>31</v>
      </c>
      <c r="E4101" s="7" t="s">
        <v>9</v>
      </c>
      <c r="F4101" s="8">
        <v>838.0</v>
      </c>
      <c r="G4101" s="9">
        <v>419.0</v>
      </c>
    </row>
    <row r="4102" ht="14.25" hidden="1" customHeight="1">
      <c r="B4102" s="7" t="s">
        <v>21</v>
      </c>
      <c r="C4102" s="7" t="s">
        <v>7</v>
      </c>
      <c r="D4102" s="7" t="s">
        <v>8</v>
      </c>
      <c r="E4102" s="7" t="s">
        <v>33</v>
      </c>
      <c r="F4102" s="8">
        <v>830.0</v>
      </c>
      <c r="G4102" s="9">
        <v>415.0</v>
      </c>
    </row>
    <row r="4103" ht="14.25" hidden="1" customHeight="1">
      <c r="B4103" s="7" t="s">
        <v>21</v>
      </c>
      <c r="C4103" s="7" t="s">
        <v>7</v>
      </c>
      <c r="D4103" s="7" t="s">
        <v>8</v>
      </c>
      <c r="E4103" s="7" t="s">
        <v>28</v>
      </c>
      <c r="F4103" s="8">
        <v>798.0</v>
      </c>
      <c r="G4103" s="9">
        <v>399.0</v>
      </c>
    </row>
    <row r="4104" ht="14.25" hidden="1" customHeight="1">
      <c r="B4104" s="7" t="s">
        <v>21</v>
      </c>
      <c r="C4104" s="7" t="s">
        <v>7</v>
      </c>
      <c r="D4104" s="7" t="s">
        <v>9</v>
      </c>
      <c r="E4104" s="7" t="s">
        <v>8</v>
      </c>
      <c r="F4104" s="8">
        <v>746.0</v>
      </c>
      <c r="G4104" s="9">
        <v>373.0</v>
      </c>
    </row>
    <row r="4105" ht="14.25" hidden="1" customHeight="1">
      <c r="B4105" s="7" t="s">
        <v>21</v>
      </c>
      <c r="C4105" s="7" t="s">
        <v>7</v>
      </c>
      <c r="D4105" s="7" t="s">
        <v>9</v>
      </c>
      <c r="E4105" s="7" t="s">
        <v>28</v>
      </c>
      <c r="F4105" s="8">
        <v>704.0</v>
      </c>
      <c r="G4105" s="9">
        <v>352.0</v>
      </c>
    </row>
    <row r="4106" ht="14.25" hidden="1" customHeight="1">
      <c r="B4106" s="7" t="s">
        <v>21</v>
      </c>
      <c r="C4106" s="7" t="s">
        <v>7</v>
      </c>
      <c r="D4106" s="7" t="s">
        <v>32</v>
      </c>
      <c r="E4106" s="7" t="s">
        <v>31</v>
      </c>
      <c r="F4106" s="8">
        <v>672.0</v>
      </c>
      <c r="G4106" s="9">
        <v>336.0</v>
      </c>
    </row>
    <row r="4107" ht="14.25" hidden="1" customHeight="1">
      <c r="B4107" s="7" t="s">
        <v>21</v>
      </c>
      <c r="C4107" s="7" t="s">
        <v>29</v>
      </c>
      <c r="D4107" s="7" t="s">
        <v>9</v>
      </c>
      <c r="E4107" s="7" t="s">
        <v>8</v>
      </c>
      <c r="F4107" s="8">
        <v>652.0</v>
      </c>
      <c r="G4107" s="9">
        <v>652.0</v>
      </c>
    </row>
    <row r="4108" ht="14.25" hidden="1" customHeight="1">
      <c r="B4108" s="7" t="s">
        <v>21</v>
      </c>
      <c r="C4108" s="7" t="s">
        <v>7</v>
      </c>
      <c r="D4108" s="7" t="s">
        <v>11</v>
      </c>
      <c r="E4108" s="7" t="s">
        <v>10</v>
      </c>
      <c r="F4108" s="8">
        <v>636.0</v>
      </c>
      <c r="G4108" s="9">
        <v>318.0</v>
      </c>
    </row>
    <row r="4109" ht="14.25" hidden="1" customHeight="1">
      <c r="B4109" s="7" t="s">
        <v>21</v>
      </c>
      <c r="C4109" s="7" t="s">
        <v>7</v>
      </c>
      <c r="D4109" s="7" t="s">
        <v>28</v>
      </c>
      <c r="E4109" s="7" t="s">
        <v>8</v>
      </c>
      <c r="F4109" s="8">
        <v>622.0</v>
      </c>
      <c r="G4109" s="9">
        <v>311.0</v>
      </c>
    </row>
    <row r="4110" ht="14.25" hidden="1" customHeight="1">
      <c r="B4110" s="7" t="s">
        <v>21</v>
      </c>
      <c r="C4110" s="7" t="s">
        <v>7</v>
      </c>
      <c r="D4110" s="7" t="s">
        <v>31</v>
      </c>
      <c r="E4110" s="7" t="s">
        <v>25</v>
      </c>
      <c r="F4110" s="8">
        <v>622.0</v>
      </c>
      <c r="G4110" s="9">
        <v>311.0</v>
      </c>
    </row>
    <row r="4111" ht="14.25" hidden="1" customHeight="1">
      <c r="B4111" s="7" t="s">
        <v>21</v>
      </c>
      <c r="C4111" s="7" t="s">
        <v>30</v>
      </c>
      <c r="D4111" s="7" t="s">
        <v>31</v>
      </c>
      <c r="E4111" s="7" t="s">
        <v>28</v>
      </c>
      <c r="F4111" s="8">
        <v>618.0</v>
      </c>
      <c r="G4111" s="9">
        <v>309.0</v>
      </c>
    </row>
    <row r="4112" ht="14.25" hidden="1" customHeight="1">
      <c r="B4112" s="7" t="s">
        <v>21</v>
      </c>
      <c r="C4112" s="7" t="s">
        <v>7</v>
      </c>
      <c r="D4112" s="7" t="s">
        <v>25</v>
      </c>
      <c r="E4112" s="7" t="s">
        <v>28</v>
      </c>
      <c r="F4112" s="8">
        <v>602.0</v>
      </c>
      <c r="G4112" s="9">
        <v>301.0</v>
      </c>
    </row>
    <row r="4113" ht="14.25" hidden="1" customHeight="1">
      <c r="B4113" s="7" t="s">
        <v>21</v>
      </c>
      <c r="C4113" s="7" t="s">
        <v>29</v>
      </c>
      <c r="D4113" s="7" t="s">
        <v>28</v>
      </c>
      <c r="E4113" s="7" t="s">
        <v>8</v>
      </c>
      <c r="F4113" s="8">
        <v>594.0</v>
      </c>
      <c r="G4113" s="9">
        <v>594.0</v>
      </c>
    </row>
    <row r="4114" ht="14.25" hidden="1" customHeight="1">
      <c r="B4114" s="7" t="s">
        <v>21</v>
      </c>
      <c r="C4114" s="7" t="s">
        <v>29</v>
      </c>
      <c r="D4114" s="7" t="s">
        <v>10</v>
      </c>
      <c r="E4114" s="7" t="s">
        <v>11</v>
      </c>
      <c r="F4114" s="8">
        <v>593.0</v>
      </c>
      <c r="G4114" s="9">
        <v>593.0</v>
      </c>
    </row>
    <row r="4115" ht="14.25" hidden="1" customHeight="1">
      <c r="B4115" s="7" t="s">
        <v>21</v>
      </c>
      <c r="C4115" s="7" t="s">
        <v>7</v>
      </c>
      <c r="D4115" s="7" t="s">
        <v>9</v>
      </c>
      <c r="E4115" s="7" t="s">
        <v>28</v>
      </c>
      <c r="F4115" s="8">
        <v>562.0</v>
      </c>
      <c r="G4115" s="9">
        <v>281.0</v>
      </c>
    </row>
    <row r="4116" ht="14.25" hidden="1" customHeight="1">
      <c r="B4116" s="7" t="s">
        <v>21</v>
      </c>
      <c r="C4116" s="7" t="s">
        <v>29</v>
      </c>
      <c r="D4116" s="7" t="s">
        <v>8</v>
      </c>
      <c r="E4116" s="7" t="s">
        <v>24</v>
      </c>
      <c r="F4116" s="8">
        <v>559.0</v>
      </c>
      <c r="G4116" s="9">
        <v>559.0</v>
      </c>
    </row>
    <row r="4117" ht="14.25" hidden="1" customHeight="1">
      <c r="B4117" s="7" t="s">
        <v>21</v>
      </c>
      <c r="C4117" s="7" t="s">
        <v>7</v>
      </c>
      <c r="D4117" s="7" t="s">
        <v>25</v>
      </c>
      <c r="E4117" s="7" t="s">
        <v>33</v>
      </c>
      <c r="F4117" s="8">
        <v>556.0</v>
      </c>
      <c r="G4117" s="9">
        <v>278.0</v>
      </c>
    </row>
    <row r="4118" ht="14.25" hidden="1" customHeight="1">
      <c r="B4118" s="7" t="s">
        <v>21</v>
      </c>
      <c r="C4118" s="7" t="s">
        <v>29</v>
      </c>
      <c r="D4118" s="7" t="s">
        <v>32</v>
      </c>
      <c r="E4118" s="7" t="s">
        <v>9</v>
      </c>
      <c r="F4118" s="8">
        <v>552.0</v>
      </c>
      <c r="G4118" s="9">
        <v>552.0</v>
      </c>
    </row>
    <row r="4119" ht="14.25" hidden="1" customHeight="1">
      <c r="B4119" s="7" t="s">
        <v>21</v>
      </c>
      <c r="C4119" s="7" t="s">
        <v>7</v>
      </c>
      <c r="D4119" s="7" t="s">
        <v>8</v>
      </c>
      <c r="E4119" s="7" t="s">
        <v>10</v>
      </c>
      <c r="F4119" s="8">
        <v>544.0</v>
      </c>
      <c r="G4119" s="9">
        <v>272.0</v>
      </c>
    </row>
    <row r="4120" ht="14.25" hidden="1" customHeight="1">
      <c r="B4120" s="7" t="s">
        <v>21</v>
      </c>
      <c r="C4120" s="7" t="s">
        <v>7</v>
      </c>
      <c r="D4120" s="7" t="s">
        <v>25</v>
      </c>
      <c r="E4120" s="7" t="s">
        <v>31</v>
      </c>
      <c r="F4120" s="8">
        <v>516.0</v>
      </c>
      <c r="G4120" s="9">
        <v>258.0</v>
      </c>
    </row>
    <row r="4121" ht="14.25" hidden="1" customHeight="1">
      <c r="B4121" s="7" t="s">
        <v>21</v>
      </c>
      <c r="C4121" s="7" t="s">
        <v>30</v>
      </c>
      <c r="D4121" s="7" t="s">
        <v>8</v>
      </c>
      <c r="E4121" s="7" t="s">
        <v>24</v>
      </c>
      <c r="F4121" s="8">
        <v>512.0</v>
      </c>
      <c r="G4121" s="9">
        <v>256.0</v>
      </c>
    </row>
    <row r="4122" ht="14.25" hidden="1" customHeight="1">
      <c r="B4122" s="7" t="s">
        <v>21</v>
      </c>
      <c r="C4122" s="7" t="s">
        <v>29</v>
      </c>
      <c r="D4122" s="7" t="s">
        <v>8</v>
      </c>
      <c r="E4122" s="7" t="s">
        <v>9</v>
      </c>
      <c r="F4122" s="8">
        <v>507.0</v>
      </c>
      <c r="G4122" s="9">
        <v>507.0</v>
      </c>
    </row>
    <row r="4123" ht="14.25" hidden="1" customHeight="1">
      <c r="B4123" s="7" t="s">
        <v>21</v>
      </c>
      <c r="C4123" s="7" t="s">
        <v>30</v>
      </c>
      <c r="D4123" s="7" t="s">
        <v>8</v>
      </c>
      <c r="E4123" s="7" t="s">
        <v>9</v>
      </c>
      <c r="F4123" s="8">
        <v>506.0</v>
      </c>
      <c r="G4123" s="9">
        <v>253.0</v>
      </c>
    </row>
    <row r="4124" ht="14.25" hidden="1" customHeight="1">
      <c r="B4124" s="7" t="s">
        <v>21</v>
      </c>
      <c r="C4124" s="7" t="s">
        <v>7</v>
      </c>
      <c r="D4124" s="7" t="s">
        <v>9</v>
      </c>
      <c r="E4124" s="7" t="s">
        <v>31</v>
      </c>
      <c r="F4124" s="8">
        <v>504.0</v>
      </c>
      <c r="G4124" s="9">
        <v>252.0</v>
      </c>
    </row>
    <row r="4125" ht="14.25" hidden="1" customHeight="1">
      <c r="B4125" s="7" t="s">
        <v>21</v>
      </c>
      <c r="C4125" s="7" t="s">
        <v>7</v>
      </c>
      <c r="D4125" s="7" t="s">
        <v>31</v>
      </c>
      <c r="E4125" s="7" t="s">
        <v>28</v>
      </c>
      <c r="F4125" s="8">
        <v>484.0</v>
      </c>
      <c r="G4125" s="9">
        <v>242.0</v>
      </c>
    </row>
    <row r="4126" ht="14.25" hidden="1" customHeight="1">
      <c r="B4126" s="7" t="s">
        <v>21</v>
      </c>
      <c r="C4126" s="7" t="s">
        <v>7</v>
      </c>
      <c r="D4126" s="7" t="s">
        <v>28</v>
      </c>
      <c r="E4126" s="7" t="s">
        <v>8</v>
      </c>
      <c r="F4126" s="8">
        <v>474.0</v>
      </c>
      <c r="G4126" s="9">
        <v>237.0</v>
      </c>
    </row>
    <row r="4127" ht="14.25" hidden="1" customHeight="1">
      <c r="B4127" s="7" t="s">
        <v>21</v>
      </c>
      <c r="C4127" s="7" t="s">
        <v>7</v>
      </c>
      <c r="D4127" s="7" t="s">
        <v>33</v>
      </c>
      <c r="E4127" s="7" t="s">
        <v>8</v>
      </c>
      <c r="F4127" s="8">
        <v>470.0</v>
      </c>
      <c r="G4127" s="9">
        <v>235.0</v>
      </c>
    </row>
    <row r="4128" ht="14.25" hidden="1" customHeight="1">
      <c r="B4128" s="7" t="s">
        <v>21</v>
      </c>
      <c r="C4128" s="7" t="s">
        <v>29</v>
      </c>
      <c r="D4128" s="7" t="s">
        <v>8</v>
      </c>
      <c r="E4128" s="7" t="s">
        <v>11</v>
      </c>
      <c r="F4128" s="8">
        <v>462.0</v>
      </c>
      <c r="G4128" s="9">
        <v>462.0</v>
      </c>
    </row>
    <row r="4129" ht="14.25" hidden="1" customHeight="1">
      <c r="B4129" s="7" t="s">
        <v>21</v>
      </c>
      <c r="C4129" s="7" t="s">
        <v>30</v>
      </c>
      <c r="D4129" s="7" t="s">
        <v>8</v>
      </c>
      <c r="E4129" s="7" t="s">
        <v>28</v>
      </c>
      <c r="F4129" s="8">
        <v>458.0</v>
      </c>
      <c r="G4129" s="9">
        <v>229.0</v>
      </c>
    </row>
    <row r="4130" ht="14.25" hidden="1" customHeight="1">
      <c r="B4130" s="7" t="s">
        <v>21</v>
      </c>
      <c r="C4130" s="7" t="s">
        <v>30</v>
      </c>
      <c r="D4130" s="7" t="s">
        <v>8</v>
      </c>
      <c r="E4130" s="7" t="s">
        <v>25</v>
      </c>
      <c r="F4130" s="8">
        <v>446.0</v>
      </c>
      <c r="G4130" s="9">
        <v>223.0</v>
      </c>
    </row>
    <row r="4131" ht="14.25" hidden="1" customHeight="1">
      <c r="B4131" s="7" t="s">
        <v>21</v>
      </c>
      <c r="C4131" s="7" t="s">
        <v>7</v>
      </c>
      <c r="D4131" s="7" t="s">
        <v>32</v>
      </c>
      <c r="E4131" s="7" t="s">
        <v>9</v>
      </c>
      <c r="F4131" s="8">
        <v>444.0</v>
      </c>
      <c r="G4131" s="9">
        <v>222.0</v>
      </c>
    </row>
    <row r="4132" ht="14.25" hidden="1" customHeight="1">
      <c r="B4132" s="7" t="s">
        <v>21</v>
      </c>
      <c r="C4132" s="7" t="s">
        <v>7</v>
      </c>
      <c r="D4132" s="7" t="s">
        <v>31</v>
      </c>
      <c r="E4132" s="7" t="s">
        <v>33</v>
      </c>
      <c r="F4132" s="8">
        <v>442.0</v>
      </c>
      <c r="G4132" s="9">
        <v>221.0</v>
      </c>
    </row>
    <row r="4133" ht="14.25" hidden="1" customHeight="1">
      <c r="B4133" s="7" t="s">
        <v>21</v>
      </c>
      <c r="C4133" s="7" t="s">
        <v>7</v>
      </c>
      <c r="D4133" s="7" t="s">
        <v>25</v>
      </c>
      <c r="E4133" s="7" t="s">
        <v>10</v>
      </c>
      <c r="F4133" s="8">
        <v>438.0</v>
      </c>
      <c r="G4133" s="9">
        <v>219.0</v>
      </c>
    </row>
    <row r="4134" ht="14.25" hidden="1" customHeight="1">
      <c r="B4134" s="7" t="s">
        <v>21</v>
      </c>
      <c r="C4134" s="7" t="s">
        <v>7</v>
      </c>
      <c r="D4134" s="7" t="s">
        <v>32</v>
      </c>
      <c r="E4134" s="7" t="s">
        <v>28</v>
      </c>
      <c r="F4134" s="8">
        <v>426.0</v>
      </c>
      <c r="G4134" s="9">
        <v>213.0</v>
      </c>
    </row>
    <row r="4135" ht="14.25" hidden="1" customHeight="1">
      <c r="B4135" s="7" t="s">
        <v>21</v>
      </c>
      <c r="C4135" s="7" t="s">
        <v>7</v>
      </c>
      <c r="D4135" s="7" t="s">
        <v>10</v>
      </c>
      <c r="E4135" s="7" t="s">
        <v>33</v>
      </c>
      <c r="F4135" s="8">
        <v>424.0</v>
      </c>
      <c r="G4135" s="9">
        <v>212.0</v>
      </c>
    </row>
    <row r="4136" ht="14.25" hidden="1" customHeight="1">
      <c r="B4136" s="7" t="s">
        <v>21</v>
      </c>
      <c r="C4136" s="7" t="s">
        <v>29</v>
      </c>
      <c r="D4136" s="7" t="s">
        <v>32</v>
      </c>
      <c r="E4136" s="7" t="s">
        <v>28</v>
      </c>
      <c r="F4136" s="8">
        <v>414.0</v>
      </c>
      <c r="G4136" s="9">
        <v>414.0</v>
      </c>
    </row>
    <row r="4137" ht="14.25" hidden="1" customHeight="1">
      <c r="B4137" s="7" t="s">
        <v>21</v>
      </c>
      <c r="C4137" s="7" t="s">
        <v>7</v>
      </c>
      <c r="D4137" s="7" t="s">
        <v>10</v>
      </c>
      <c r="E4137" s="7" t="s">
        <v>28</v>
      </c>
      <c r="F4137" s="8">
        <v>386.0</v>
      </c>
      <c r="G4137" s="9">
        <v>193.0</v>
      </c>
    </row>
    <row r="4138" ht="14.25" hidden="1" customHeight="1">
      <c r="B4138" s="7" t="s">
        <v>21</v>
      </c>
      <c r="C4138" s="7" t="s">
        <v>7</v>
      </c>
      <c r="D4138" s="7" t="s">
        <v>9</v>
      </c>
      <c r="E4138" s="7" t="s">
        <v>8</v>
      </c>
      <c r="F4138" s="8">
        <v>378.0</v>
      </c>
      <c r="G4138" s="9">
        <v>189.0</v>
      </c>
    </row>
    <row r="4139" ht="14.25" hidden="1" customHeight="1">
      <c r="B4139" s="7" t="s">
        <v>21</v>
      </c>
      <c r="C4139" s="7" t="s">
        <v>29</v>
      </c>
      <c r="D4139" s="7" t="s">
        <v>31</v>
      </c>
      <c r="E4139" s="7" t="s">
        <v>33</v>
      </c>
      <c r="F4139" s="8">
        <v>378.0</v>
      </c>
      <c r="G4139" s="9">
        <v>378.0</v>
      </c>
    </row>
    <row r="4140" ht="14.25" hidden="1" customHeight="1">
      <c r="B4140" s="7" t="s">
        <v>21</v>
      </c>
      <c r="C4140" s="7" t="s">
        <v>7</v>
      </c>
      <c r="D4140" s="7" t="s">
        <v>10</v>
      </c>
      <c r="E4140" s="7" t="s">
        <v>25</v>
      </c>
      <c r="F4140" s="8">
        <v>372.0</v>
      </c>
      <c r="G4140" s="9">
        <v>186.0</v>
      </c>
    </row>
    <row r="4141" ht="14.25" hidden="1" customHeight="1">
      <c r="B4141" s="7" t="s">
        <v>21</v>
      </c>
      <c r="C4141" s="7" t="s">
        <v>29</v>
      </c>
      <c r="D4141" s="7" t="s">
        <v>8</v>
      </c>
      <c r="E4141" s="7" t="s">
        <v>10</v>
      </c>
      <c r="F4141" s="8">
        <v>358.0</v>
      </c>
      <c r="G4141" s="9">
        <v>358.0</v>
      </c>
    </row>
    <row r="4142" ht="14.25" hidden="1" customHeight="1">
      <c r="B4142" s="7" t="s">
        <v>21</v>
      </c>
      <c r="C4142" s="7" t="s">
        <v>7</v>
      </c>
      <c r="D4142" s="7" t="s">
        <v>28</v>
      </c>
      <c r="E4142" s="7" t="s">
        <v>25</v>
      </c>
      <c r="F4142" s="8">
        <v>328.0</v>
      </c>
      <c r="G4142" s="9">
        <v>164.0</v>
      </c>
    </row>
    <row r="4143" ht="14.25" hidden="1" customHeight="1">
      <c r="B4143" s="7" t="s">
        <v>21</v>
      </c>
      <c r="C4143" s="7" t="s">
        <v>29</v>
      </c>
      <c r="D4143" s="7" t="s">
        <v>34</v>
      </c>
      <c r="E4143" s="7" t="s">
        <v>8</v>
      </c>
      <c r="F4143" s="8">
        <v>324.0</v>
      </c>
      <c r="G4143" s="9">
        <v>324.0</v>
      </c>
    </row>
    <row r="4144" ht="14.25" hidden="1" customHeight="1">
      <c r="B4144" s="7" t="s">
        <v>21</v>
      </c>
      <c r="C4144" s="7" t="s">
        <v>29</v>
      </c>
      <c r="D4144" s="7" t="s">
        <v>28</v>
      </c>
      <c r="E4144" s="7" t="s">
        <v>31</v>
      </c>
      <c r="F4144" s="8">
        <v>321.0</v>
      </c>
      <c r="G4144" s="9">
        <v>321.0</v>
      </c>
    </row>
    <row r="4145" ht="14.25" hidden="1" customHeight="1">
      <c r="B4145" s="7" t="s">
        <v>21</v>
      </c>
      <c r="C4145" s="7" t="s">
        <v>29</v>
      </c>
      <c r="D4145" s="7" t="s">
        <v>32</v>
      </c>
      <c r="E4145" s="7" t="s">
        <v>33</v>
      </c>
      <c r="F4145" s="8">
        <v>321.0</v>
      </c>
      <c r="G4145" s="9">
        <v>321.0</v>
      </c>
    </row>
    <row r="4146" ht="14.25" hidden="1" customHeight="1">
      <c r="B4146" s="7" t="s">
        <v>21</v>
      </c>
      <c r="C4146" s="7" t="s">
        <v>30</v>
      </c>
      <c r="D4146" s="7" t="s">
        <v>32</v>
      </c>
      <c r="E4146" s="7" t="s">
        <v>31</v>
      </c>
      <c r="F4146" s="8">
        <v>320.0</v>
      </c>
      <c r="G4146" s="9">
        <v>160.0</v>
      </c>
    </row>
    <row r="4147" ht="14.25" hidden="1" customHeight="1">
      <c r="B4147" s="7" t="s">
        <v>21</v>
      </c>
      <c r="C4147" s="7" t="s">
        <v>7</v>
      </c>
      <c r="D4147" s="7" t="s">
        <v>11</v>
      </c>
      <c r="E4147" s="7" t="s">
        <v>8</v>
      </c>
      <c r="F4147" s="8">
        <v>318.0</v>
      </c>
      <c r="G4147" s="9">
        <v>159.0</v>
      </c>
    </row>
    <row r="4148" ht="14.25" customHeight="1">
      <c r="B4148" s="7" t="s">
        <v>21</v>
      </c>
      <c r="C4148" s="7" t="s">
        <v>7</v>
      </c>
      <c r="D4148" s="7" t="s">
        <v>8</v>
      </c>
      <c r="E4148" s="7" t="s">
        <v>31</v>
      </c>
      <c r="F4148" s="8">
        <v>316.0</v>
      </c>
      <c r="G4148" s="9">
        <v>158.0</v>
      </c>
    </row>
    <row r="4149" ht="14.25" hidden="1" customHeight="1">
      <c r="B4149" s="7" t="s">
        <v>21</v>
      </c>
      <c r="C4149" s="7" t="s">
        <v>30</v>
      </c>
      <c r="D4149" s="7" t="s">
        <v>9</v>
      </c>
      <c r="E4149" s="7" t="s">
        <v>25</v>
      </c>
      <c r="F4149" s="8">
        <v>312.0</v>
      </c>
      <c r="G4149" s="9">
        <v>156.0</v>
      </c>
    </row>
    <row r="4150" ht="14.25" hidden="1" customHeight="1">
      <c r="B4150" s="7" t="s">
        <v>21</v>
      </c>
      <c r="C4150" s="7" t="s">
        <v>29</v>
      </c>
      <c r="D4150" s="7" t="s">
        <v>33</v>
      </c>
      <c r="E4150" s="7" t="s">
        <v>8</v>
      </c>
      <c r="F4150" s="8">
        <v>309.0</v>
      </c>
      <c r="G4150" s="9">
        <v>309.0</v>
      </c>
    </row>
    <row r="4151" ht="14.25" hidden="1" customHeight="1">
      <c r="B4151" s="7" t="s">
        <v>21</v>
      </c>
      <c r="C4151" s="7" t="s">
        <v>7</v>
      </c>
      <c r="D4151" s="7" t="s">
        <v>33</v>
      </c>
      <c r="E4151" s="7" t="s">
        <v>25</v>
      </c>
      <c r="F4151" s="8">
        <v>306.0</v>
      </c>
      <c r="G4151" s="9">
        <v>153.0</v>
      </c>
    </row>
    <row r="4152" ht="14.25" hidden="1" customHeight="1">
      <c r="B4152" s="7" t="s">
        <v>21</v>
      </c>
      <c r="C4152" s="7" t="s">
        <v>7</v>
      </c>
      <c r="D4152" s="7" t="s">
        <v>8</v>
      </c>
      <c r="E4152" s="7" t="s">
        <v>35</v>
      </c>
      <c r="F4152" s="8">
        <v>298.0</v>
      </c>
      <c r="G4152" s="9">
        <v>149.0</v>
      </c>
    </row>
    <row r="4153" ht="14.25" hidden="1" customHeight="1">
      <c r="B4153" s="7" t="s">
        <v>21</v>
      </c>
      <c r="C4153" s="7" t="s">
        <v>7</v>
      </c>
      <c r="D4153" s="7" t="s">
        <v>28</v>
      </c>
      <c r="E4153" s="7" t="s">
        <v>8</v>
      </c>
      <c r="F4153" s="8">
        <v>282.0</v>
      </c>
      <c r="G4153" s="9">
        <v>141.0</v>
      </c>
    </row>
    <row r="4154" ht="14.25" hidden="1" customHeight="1">
      <c r="B4154" s="7" t="s">
        <v>21</v>
      </c>
      <c r="C4154" s="7" t="s">
        <v>7</v>
      </c>
      <c r="D4154" s="7" t="s">
        <v>9</v>
      </c>
      <c r="E4154" s="7" t="s">
        <v>31</v>
      </c>
      <c r="F4154" s="8">
        <v>272.0</v>
      </c>
      <c r="G4154" s="9">
        <v>136.0</v>
      </c>
    </row>
    <row r="4155" ht="14.25" hidden="1" customHeight="1">
      <c r="B4155" s="7" t="s">
        <v>21</v>
      </c>
      <c r="C4155" s="7" t="s">
        <v>7</v>
      </c>
      <c r="D4155" s="7" t="s">
        <v>8</v>
      </c>
      <c r="E4155" s="7" t="s">
        <v>9</v>
      </c>
      <c r="F4155" s="8">
        <v>268.0</v>
      </c>
      <c r="G4155" s="9">
        <v>134.0</v>
      </c>
    </row>
    <row r="4156" ht="14.25" hidden="1" customHeight="1">
      <c r="B4156" s="7" t="s">
        <v>21</v>
      </c>
      <c r="C4156" s="7" t="s">
        <v>29</v>
      </c>
      <c r="D4156" s="7" t="s">
        <v>9</v>
      </c>
      <c r="E4156" s="7" t="s">
        <v>28</v>
      </c>
      <c r="F4156" s="8">
        <v>259.0</v>
      </c>
      <c r="G4156" s="9">
        <v>259.0</v>
      </c>
    </row>
    <row r="4157" ht="14.25" hidden="1" customHeight="1">
      <c r="B4157" s="7" t="s">
        <v>21</v>
      </c>
      <c r="C4157" s="7" t="s">
        <v>7</v>
      </c>
      <c r="D4157" s="7" t="s">
        <v>33</v>
      </c>
      <c r="E4157" s="7" t="s">
        <v>31</v>
      </c>
      <c r="F4157" s="8">
        <v>246.0</v>
      </c>
      <c r="G4157" s="9">
        <v>123.0</v>
      </c>
    </row>
    <row r="4158" ht="14.25" hidden="1" customHeight="1">
      <c r="B4158" s="7" t="s">
        <v>21</v>
      </c>
      <c r="C4158" s="7" t="s">
        <v>7</v>
      </c>
      <c r="D4158" s="7" t="s">
        <v>28</v>
      </c>
      <c r="E4158" s="7" t="s">
        <v>9</v>
      </c>
      <c r="F4158" s="8">
        <v>246.0</v>
      </c>
      <c r="G4158" s="9">
        <v>123.0</v>
      </c>
    </row>
    <row r="4159" ht="14.25" hidden="1" customHeight="1">
      <c r="B4159" s="7" t="s">
        <v>21</v>
      </c>
      <c r="C4159" s="7" t="s">
        <v>7</v>
      </c>
      <c r="D4159" s="7" t="s">
        <v>10</v>
      </c>
      <c r="E4159" s="7" t="s">
        <v>31</v>
      </c>
      <c r="F4159" s="8">
        <v>244.0</v>
      </c>
      <c r="G4159" s="9">
        <v>122.0</v>
      </c>
    </row>
    <row r="4160" ht="14.25" hidden="1" customHeight="1">
      <c r="B4160" s="7" t="s">
        <v>21</v>
      </c>
      <c r="C4160" s="7" t="s">
        <v>29</v>
      </c>
      <c r="D4160" s="7" t="s">
        <v>33</v>
      </c>
      <c r="E4160" s="7" t="s">
        <v>8</v>
      </c>
      <c r="F4160" s="8">
        <v>238.0</v>
      </c>
      <c r="G4160" s="9">
        <v>238.0</v>
      </c>
    </row>
    <row r="4161" ht="14.25" hidden="1" customHeight="1">
      <c r="B4161" s="7" t="s">
        <v>21</v>
      </c>
      <c r="C4161" s="7" t="s">
        <v>7</v>
      </c>
      <c r="D4161" s="7" t="s">
        <v>28</v>
      </c>
      <c r="E4161" s="7" t="s">
        <v>31</v>
      </c>
      <c r="F4161" s="8">
        <v>238.0</v>
      </c>
      <c r="G4161" s="9">
        <v>119.0</v>
      </c>
    </row>
    <row r="4162" ht="14.25" hidden="1" customHeight="1">
      <c r="B4162" s="7" t="s">
        <v>21</v>
      </c>
      <c r="C4162" s="7" t="s">
        <v>29</v>
      </c>
      <c r="D4162" s="7" t="s">
        <v>8</v>
      </c>
      <c r="E4162" s="7" t="s">
        <v>25</v>
      </c>
      <c r="F4162" s="8">
        <v>238.0</v>
      </c>
      <c r="G4162" s="9">
        <v>238.0</v>
      </c>
    </row>
    <row r="4163" ht="14.25" hidden="1" customHeight="1">
      <c r="B4163" s="7" t="s">
        <v>21</v>
      </c>
      <c r="C4163" s="7" t="s">
        <v>29</v>
      </c>
      <c r="D4163" s="7" t="s">
        <v>9</v>
      </c>
      <c r="E4163" s="7" t="s">
        <v>33</v>
      </c>
      <c r="F4163" s="8">
        <v>234.0</v>
      </c>
      <c r="G4163" s="9">
        <v>234.0</v>
      </c>
    </row>
    <row r="4164" ht="14.25" hidden="1" customHeight="1">
      <c r="B4164" s="7" t="s">
        <v>21</v>
      </c>
      <c r="C4164" s="7" t="s">
        <v>29</v>
      </c>
      <c r="D4164" s="7" t="s">
        <v>31</v>
      </c>
      <c r="E4164" s="7" t="s">
        <v>24</v>
      </c>
      <c r="F4164" s="8">
        <v>234.0</v>
      </c>
      <c r="G4164" s="9">
        <v>234.0</v>
      </c>
    </row>
    <row r="4165" ht="14.25" hidden="1" customHeight="1">
      <c r="B4165" s="7" t="s">
        <v>21</v>
      </c>
      <c r="C4165" s="7" t="s">
        <v>29</v>
      </c>
      <c r="D4165" s="7" t="s">
        <v>33</v>
      </c>
      <c r="E4165" s="7" t="s">
        <v>8</v>
      </c>
      <c r="F4165" s="8">
        <v>229.0</v>
      </c>
      <c r="G4165" s="9">
        <v>229.0</v>
      </c>
    </row>
    <row r="4166" ht="14.25" hidden="1" customHeight="1">
      <c r="B4166" s="7" t="s">
        <v>21</v>
      </c>
      <c r="C4166" s="7" t="s">
        <v>29</v>
      </c>
      <c r="D4166" s="7" t="s">
        <v>8</v>
      </c>
      <c r="E4166" s="7" t="s">
        <v>28</v>
      </c>
      <c r="F4166" s="8">
        <v>217.0</v>
      </c>
      <c r="G4166" s="9">
        <v>217.0</v>
      </c>
    </row>
    <row r="4167" ht="14.25" hidden="1" customHeight="1">
      <c r="B4167" s="7" t="s">
        <v>21</v>
      </c>
      <c r="C4167" s="7" t="s">
        <v>29</v>
      </c>
      <c r="D4167" s="7" t="s">
        <v>28</v>
      </c>
      <c r="E4167" s="7" t="s">
        <v>8</v>
      </c>
      <c r="F4167" s="8">
        <v>215.0</v>
      </c>
      <c r="G4167" s="9">
        <v>215.0</v>
      </c>
    </row>
    <row r="4168" ht="14.25" hidden="1" customHeight="1">
      <c r="B4168" s="7" t="s">
        <v>21</v>
      </c>
      <c r="C4168" s="7" t="s">
        <v>7</v>
      </c>
      <c r="D4168" s="7" t="s">
        <v>25</v>
      </c>
      <c r="E4168" s="7" t="s">
        <v>31</v>
      </c>
      <c r="F4168" s="8">
        <v>212.0</v>
      </c>
      <c r="G4168" s="9">
        <v>106.0</v>
      </c>
    </row>
    <row r="4169" ht="14.25" hidden="1" customHeight="1">
      <c r="B4169" s="7" t="s">
        <v>21</v>
      </c>
      <c r="C4169" s="7" t="s">
        <v>7</v>
      </c>
      <c r="D4169" s="7" t="s">
        <v>8</v>
      </c>
      <c r="E4169" s="7" t="s">
        <v>10</v>
      </c>
      <c r="F4169" s="8">
        <v>212.0</v>
      </c>
      <c r="G4169" s="9">
        <v>106.0</v>
      </c>
    </row>
    <row r="4170" ht="14.25" hidden="1" customHeight="1">
      <c r="B4170" s="7" t="s">
        <v>21</v>
      </c>
      <c r="C4170" s="7" t="s">
        <v>30</v>
      </c>
      <c r="D4170" s="7" t="s">
        <v>8</v>
      </c>
      <c r="E4170" s="7" t="s">
        <v>10</v>
      </c>
      <c r="F4170" s="8">
        <v>210.0</v>
      </c>
      <c r="G4170" s="9">
        <v>105.0</v>
      </c>
    </row>
    <row r="4171" ht="14.25" hidden="1" customHeight="1">
      <c r="B4171" s="7" t="s">
        <v>21</v>
      </c>
      <c r="C4171" s="7" t="s">
        <v>29</v>
      </c>
      <c r="D4171" s="7" t="s">
        <v>33</v>
      </c>
      <c r="E4171" s="7" t="s">
        <v>8</v>
      </c>
      <c r="F4171" s="8">
        <v>206.0</v>
      </c>
      <c r="G4171" s="9">
        <v>206.0</v>
      </c>
    </row>
    <row r="4172" ht="14.25" hidden="1" customHeight="1">
      <c r="B4172" s="7" t="s">
        <v>21</v>
      </c>
      <c r="C4172" s="7" t="s">
        <v>7</v>
      </c>
      <c r="D4172" s="7" t="s">
        <v>28</v>
      </c>
      <c r="E4172" s="7" t="s">
        <v>31</v>
      </c>
      <c r="F4172" s="8">
        <v>206.0</v>
      </c>
      <c r="G4172" s="9">
        <v>103.0</v>
      </c>
    </row>
    <row r="4173" ht="14.25" hidden="1" customHeight="1">
      <c r="B4173" s="7" t="s">
        <v>21</v>
      </c>
      <c r="C4173" s="7" t="s">
        <v>29</v>
      </c>
      <c r="D4173" s="7" t="s">
        <v>8</v>
      </c>
      <c r="E4173" s="7" t="s">
        <v>25</v>
      </c>
      <c r="F4173" s="8">
        <v>198.0</v>
      </c>
      <c r="G4173" s="9">
        <v>198.0</v>
      </c>
    </row>
    <row r="4174" ht="14.25" hidden="1" customHeight="1">
      <c r="B4174" s="7" t="s">
        <v>21</v>
      </c>
      <c r="C4174" s="7" t="s">
        <v>7</v>
      </c>
      <c r="D4174" s="7" t="s">
        <v>32</v>
      </c>
      <c r="E4174" s="7" t="s">
        <v>33</v>
      </c>
      <c r="F4174" s="8">
        <v>194.0</v>
      </c>
      <c r="G4174" s="9">
        <v>97.0</v>
      </c>
    </row>
    <row r="4175" ht="14.25" hidden="1" customHeight="1">
      <c r="B4175" s="7" t="s">
        <v>21</v>
      </c>
      <c r="C4175" s="7" t="s">
        <v>29</v>
      </c>
      <c r="D4175" s="7" t="s">
        <v>25</v>
      </c>
      <c r="E4175" s="7" t="s">
        <v>8</v>
      </c>
      <c r="F4175" s="8">
        <v>191.0</v>
      </c>
      <c r="G4175" s="9">
        <v>191.0</v>
      </c>
    </row>
    <row r="4176" ht="14.25" hidden="1" customHeight="1">
      <c r="B4176" s="7" t="s">
        <v>21</v>
      </c>
      <c r="C4176" s="7" t="s">
        <v>7</v>
      </c>
      <c r="D4176" s="7" t="s">
        <v>32</v>
      </c>
      <c r="E4176" s="7" t="s">
        <v>25</v>
      </c>
      <c r="F4176" s="8">
        <v>188.0</v>
      </c>
      <c r="G4176" s="9">
        <v>94.0</v>
      </c>
    </row>
    <row r="4177" ht="14.25" hidden="1" customHeight="1">
      <c r="B4177" s="7" t="s">
        <v>21</v>
      </c>
      <c r="C4177" s="7" t="s">
        <v>7</v>
      </c>
      <c r="D4177" s="7" t="s">
        <v>10</v>
      </c>
      <c r="E4177" s="7" t="s">
        <v>33</v>
      </c>
      <c r="F4177" s="8">
        <v>186.0</v>
      </c>
      <c r="G4177" s="9">
        <v>93.0</v>
      </c>
    </row>
    <row r="4178" ht="14.25" hidden="1" customHeight="1">
      <c r="B4178" s="7" t="s">
        <v>21</v>
      </c>
      <c r="C4178" s="7" t="s">
        <v>7</v>
      </c>
      <c r="D4178" s="7" t="s">
        <v>28</v>
      </c>
      <c r="E4178" s="7" t="s">
        <v>31</v>
      </c>
      <c r="F4178" s="8">
        <v>184.0</v>
      </c>
      <c r="G4178" s="9">
        <v>92.0</v>
      </c>
    </row>
    <row r="4179" ht="14.25" hidden="1" customHeight="1">
      <c r="B4179" s="7" t="s">
        <v>21</v>
      </c>
      <c r="C4179" s="7" t="s">
        <v>29</v>
      </c>
      <c r="D4179" s="7" t="s">
        <v>11</v>
      </c>
      <c r="E4179" s="7" t="s">
        <v>8</v>
      </c>
      <c r="F4179" s="8">
        <v>177.0</v>
      </c>
      <c r="G4179" s="9">
        <v>177.0</v>
      </c>
    </row>
    <row r="4180" ht="14.25" hidden="1" customHeight="1">
      <c r="B4180" s="7" t="s">
        <v>21</v>
      </c>
      <c r="C4180" s="7" t="s">
        <v>7</v>
      </c>
      <c r="D4180" s="7" t="s">
        <v>11</v>
      </c>
      <c r="E4180" s="7" t="s">
        <v>10</v>
      </c>
      <c r="F4180" s="8">
        <v>176.0</v>
      </c>
      <c r="G4180" s="9">
        <v>88.0</v>
      </c>
    </row>
    <row r="4181" ht="14.25" hidden="1" customHeight="1">
      <c r="B4181" s="7" t="s">
        <v>21</v>
      </c>
      <c r="C4181" s="7" t="s">
        <v>7</v>
      </c>
      <c r="D4181" s="7" t="s">
        <v>33</v>
      </c>
      <c r="E4181" s="7" t="s">
        <v>28</v>
      </c>
      <c r="F4181" s="8">
        <v>174.0</v>
      </c>
      <c r="G4181" s="9">
        <v>87.0</v>
      </c>
    </row>
    <row r="4182" ht="14.25" hidden="1" customHeight="1">
      <c r="B4182" s="7" t="s">
        <v>21</v>
      </c>
      <c r="C4182" s="7" t="s">
        <v>29</v>
      </c>
      <c r="D4182" s="7" t="s">
        <v>34</v>
      </c>
      <c r="E4182" s="7" t="s">
        <v>28</v>
      </c>
      <c r="F4182" s="8">
        <v>174.0</v>
      </c>
      <c r="G4182" s="9">
        <v>174.0</v>
      </c>
    </row>
    <row r="4183" ht="14.25" hidden="1" customHeight="1">
      <c r="B4183" s="7" t="s">
        <v>21</v>
      </c>
      <c r="C4183" s="7" t="s">
        <v>7</v>
      </c>
      <c r="D4183" s="7" t="s">
        <v>11</v>
      </c>
      <c r="E4183" s="7" t="s">
        <v>8</v>
      </c>
      <c r="F4183" s="8">
        <v>172.0</v>
      </c>
      <c r="G4183" s="9">
        <v>86.0</v>
      </c>
    </row>
    <row r="4184" ht="14.25" hidden="1" customHeight="1">
      <c r="B4184" s="7" t="s">
        <v>21</v>
      </c>
      <c r="C4184" s="7" t="s">
        <v>7</v>
      </c>
      <c r="D4184" s="7" t="s">
        <v>34</v>
      </c>
      <c r="E4184" s="7" t="s">
        <v>8</v>
      </c>
      <c r="F4184" s="8">
        <v>172.0</v>
      </c>
      <c r="G4184" s="9">
        <v>86.0</v>
      </c>
    </row>
    <row r="4185" ht="14.25" hidden="1" customHeight="1">
      <c r="B4185" s="7" t="s">
        <v>21</v>
      </c>
      <c r="C4185" s="7" t="s">
        <v>7</v>
      </c>
      <c r="D4185" s="7" t="s">
        <v>24</v>
      </c>
      <c r="E4185" s="7" t="s">
        <v>31</v>
      </c>
      <c r="F4185" s="8">
        <v>166.0</v>
      </c>
      <c r="G4185" s="9">
        <v>83.0</v>
      </c>
    </row>
    <row r="4186" ht="14.25" hidden="1" customHeight="1">
      <c r="B4186" s="7" t="s">
        <v>21</v>
      </c>
      <c r="C4186" s="7" t="s">
        <v>7</v>
      </c>
      <c r="D4186" s="7" t="s">
        <v>33</v>
      </c>
      <c r="E4186" s="7" t="s">
        <v>28</v>
      </c>
      <c r="F4186" s="8">
        <v>164.0</v>
      </c>
      <c r="G4186" s="9">
        <v>82.0</v>
      </c>
    </row>
    <row r="4187" ht="14.25" customHeight="1">
      <c r="B4187" s="7" t="s">
        <v>21</v>
      </c>
      <c r="C4187" s="7" t="s">
        <v>7</v>
      </c>
      <c r="D4187" s="7" t="s">
        <v>8</v>
      </c>
      <c r="E4187" s="7" t="s">
        <v>31</v>
      </c>
      <c r="F4187" s="8">
        <v>164.0</v>
      </c>
      <c r="G4187" s="9">
        <v>82.0</v>
      </c>
    </row>
    <row r="4188" ht="14.25" hidden="1" customHeight="1">
      <c r="B4188" s="7" t="s">
        <v>21</v>
      </c>
      <c r="C4188" s="7" t="s">
        <v>7</v>
      </c>
      <c r="D4188" s="7" t="s">
        <v>10</v>
      </c>
      <c r="E4188" s="7" t="s">
        <v>25</v>
      </c>
      <c r="F4188" s="8">
        <v>162.0</v>
      </c>
      <c r="G4188" s="9">
        <v>81.0</v>
      </c>
    </row>
    <row r="4189" ht="14.25" hidden="1" customHeight="1">
      <c r="B4189" s="7" t="s">
        <v>21</v>
      </c>
      <c r="C4189" s="7" t="s">
        <v>7</v>
      </c>
      <c r="D4189" s="7" t="s">
        <v>32</v>
      </c>
      <c r="E4189" s="7" t="s">
        <v>31</v>
      </c>
      <c r="F4189" s="8">
        <v>162.0</v>
      </c>
      <c r="G4189" s="9">
        <v>81.0</v>
      </c>
    </row>
    <row r="4190" ht="14.25" hidden="1" customHeight="1">
      <c r="B4190" s="7" t="s">
        <v>21</v>
      </c>
      <c r="C4190" s="7" t="s">
        <v>7</v>
      </c>
      <c r="D4190" s="7" t="s">
        <v>28</v>
      </c>
      <c r="E4190" s="7" t="s">
        <v>10</v>
      </c>
      <c r="F4190" s="8">
        <v>160.0</v>
      </c>
      <c r="G4190" s="9">
        <v>80.0</v>
      </c>
    </row>
    <row r="4191" ht="14.25" hidden="1" customHeight="1">
      <c r="B4191" s="7" t="s">
        <v>21</v>
      </c>
      <c r="C4191" s="7" t="s">
        <v>29</v>
      </c>
      <c r="D4191" s="7" t="s">
        <v>9</v>
      </c>
      <c r="E4191" s="7" t="s">
        <v>10</v>
      </c>
      <c r="F4191" s="8">
        <v>160.0</v>
      </c>
      <c r="G4191" s="9">
        <v>160.0</v>
      </c>
    </row>
    <row r="4192" ht="14.25" customHeight="1">
      <c r="B4192" s="7" t="s">
        <v>21</v>
      </c>
      <c r="C4192" s="7" t="s">
        <v>29</v>
      </c>
      <c r="D4192" s="7" t="s">
        <v>8</v>
      </c>
      <c r="E4192" s="7" t="s">
        <v>31</v>
      </c>
      <c r="F4192" s="8">
        <v>160.0</v>
      </c>
      <c r="G4192" s="9">
        <v>160.0</v>
      </c>
    </row>
    <row r="4193" ht="14.25" hidden="1" customHeight="1">
      <c r="B4193" s="7" t="s">
        <v>21</v>
      </c>
      <c r="C4193" s="7" t="s">
        <v>29</v>
      </c>
      <c r="D4193" s="7" t="s">
        <v>28</v>
      </c>
      <c r="E4193" s="7" t="s">
        <v>10</v>
      </c>
      <c r="F4193" s="8">
        <v>145.0</v>
      </c>
      <c r="G4193" s="9">
        <v>145.0</v>
      </c>
    </row>
    <row r="4194" ht="14.25" hidden="1" customHeight="1">
      <c r="B4194" s="7" t="s">
        <v>21</v>
      </c>
      <c r="C4194" s="7" t="s">
        <v>7</v>
      </c>
      <c r="D4194" s="7" t="s">
        <v>32</v>
      </c>
      <c r="E4194" s="7" t="s">
        <v>28</v>
      </c>
      <c r="F4194" s="8">
        <v>142.0</v>
      </c>
      <c r="G4194" s="9">
        <v>71.0</v>
      </c>
    </row>
    <row r="4195" ht="14.25" hidden="1" customHeight="1">
      <c r="B4195" s="7" t="s">
        <v>21</v>
      </c>
      <c r="C4195" s="7" t="s">
        <v>7</v>
      </c>
      <c r="D4195" s="7" t="s">
        <v>33</v>
      </c>
      <c r="E4195" s="7" t="s">
        <v>9</v>
      </c>
      <c r="F4195" s="8">
        <v>138.0</v>
      </c>
      <c r="G4195" s="9">
        <v>69.0</v>
      </c>
    </row>
    <row r="4196" ht="14.25" hidden="1" customHeight="1">
      <c r="B4196" s="7" t="s">
        <v>21</v>
      </c>
      <c r="C4196" s="7" t="s">
        <v>7</v>
      </c>
      <c r="D4196" s="7" t="s">
        <v>9</v>
      </c>
      <c r="E4196" s="7" t="s">
        <v>32</v>
      </c>
      <c r="F4196" s="8">
        <v>136.0</v>
      </c>
      <c r="G4196" s="9">
        <v>68.0</v>
      </c>
    </row>
    <row r="4197" ht="14.25" customHeight="1">
      <c r="B4197" s="7" t="s">
        <v>21</v>
      </c>
      <c r="C4197" s="7" t="s">
        <v>29</v>
      </c>
      <c r="D4197" s="7" t="s">
        <v>8</v>
      </c>
      <c r="E4197" s="7" t="s">
        <v>31</v>
      </c>
      <c r="F4197" s="8">
        <v>136.0</v>
      </c>
      <c r="G4197" s="9">
        <v>136.0</v>
      </c>
    </row>
    <row r="4198" ht="14.25" hidden="1" customHeight="1">
      <c r="B4198" s="7" t="s">
        <v>21</v>
      </c>
      <c r="C4198" s="7" t="s">
        <v>30</v>
      </c>
      <c r="D4198" s="7" t="s">
        <v>31</v>
      </c>
      <c r="E4198" s="7" t="s">
        <v>33</v>
      </c>
      <c r="F4198" s="8">
        <v>132.0</v>
      </c>
      <c r="G4198" s="9">
        <v>66.0</v>
      </c>
    </row>
    <row r="4199" ht="14.25" hidden="1" customHeight="1">
      <c r="B4199" s="7" t="s">
        <v>21</v>
      </c>
      <c r="C4199" s="7" t="s">
        <v>29</v>
      </c>
      <c r="D4199" s="7" t="s">
        <v>11</v>
      </c>
      <c r="E4199" s="7" t="s">
        <v>8</v>
      </c>
      <c r="F4199" s="8">
        <v>129.0</v>
      </c>
      <c r="G4199" s="9">
        <v>129.0</v>
      </c>
    </row>
    <row r="4200" ht="14.25" hidden="1" customHeight="1">
      <c r="B4200" s="7" t="s">
        <v>21</v>
      </c>
      <c r="C4200" s="7" t="s">
        <v>7</v>
      </c>
      <c r="D4200" s="7" t="s">
        <v>9</v>
      </c>
      <c r="E4200" s="7" t="s">
        <v>35</v>
      </c>
      <c r="F4200" s="8">
        <v>126.0</v>
      </c>
      <c r="G4200" s="9">
        <v>63.0</v>
      </c>
    </row>
    <row r="4201" ht="14.25" hidden="1" customHeight="1">
      <c r="B4201" s="7" t="s">
        <v>21</v>
      </c>
      <c r="C4201" s="7" t="s">
        <v>7</v>
      </c>
      <c r="D4201" s="7" t="s">
        <v>33</v>
      </c>
      <c r="E4201" s="7" t="s">
        <v>25</v>
      </c>
      <c r="F4201" s="8">
        <v>124.0</v>
      </c>
      <c r="G4201" s="9">
        <v>62.0</v>
      </c>
    </row>
    <row r="4202" ht="14.25" hidden="1" customHeight="1">
      <c r="B4202" s="7" t="s">
        <v>21</v>
      </c>
      <c r="C4202" s="7" t="s">
        <v>7</v>
      </c>
      <c r="D4202" s="7" t="s">
        <v>11</v>
      </c>
      <c r="E4202" s="7" t="s">
        <v>25</v>
      </c>
      <c r="F4202" s="8">
        <v>122.0</v>
      </c>
      <c r="G4202" s="9">
        <v>61.0</v>
      </c>
    </row>
    <row r="4203" ht="14.25" hidden="1" customHeight="1">
      <c r="B4203" s="7" t="s">
        <v>21</v>
      </c>
      <c r="C4203" s="7" t="s">
        <v>30</v>
      </c>
      <c r="D4203" s="7" t="s">
        <v>9</v>
      </c>
      <c r="E4203" s="7" t="s">
        <v>28</v>
      </c>
      <c r="F4203" s="8">
        <v>122.0</v>
      </c>
      <c r="G4203" s="9">
        <v>61.0</v>
      </c>
    </row>
    <row r="4204" ht="14.25" hidden="1" customHeight="1">
      <c r="B4204" s="7" t="s">
        <v>21</v>
      </c>
      <c r="C4204" s="7" t="s">
        <v>7</v>
      </c>
      <c r="D4204" s="7" t="s">
        <v>34</v>
      </c>
      <c r="E4204" s="7" t="s">
        <v>28</v>
      </c>
      <c r="F4204" s="8">
        <v>120.0</v>
      </c>
      <c r="G4204" s="9">
        <v>60.0</v>
      </c>
    </row>
    <row r="4205" ht="14.25" hidden="1" customHeight="1">
      <c r="B4205" s="7" t="s">
        <v>21</v>
      </c>
      <c r="C4205" s="7" t="s">
        <v>7</v>
      </c>
      <c r="D4205" s="7" t="s">
        <v>9</v>
      </c>
      <c r="E4205" s="7" t="s">
        <v>10</v>
      </c>
      <c r="F4205" s="8">
        <v>120.0</v>
      </c>
      <c r="G4205" s="9">
        <v>60.0</v>
      </c>
    </row>
    <row r="4206" ht="14.25" hidden="1" customHeight="1">
      <c r="B4206" s="7" t="s">
        <v>21</v>
      </c>
      <c r="C4206" s="7" t="s">
        <v>7</v>
      </c>
      <c r="D4206" s="7" t="s">
        <v>32</v>
      </c>
      <c r="E4206" s="7" t="s">
        <v>25</v>
      </c>
      <c r="F4206" s="8">
        <v>120.0</v>
      </c>
      <c r="G4206" s="9">
        <v>60.0</v>
      </c>
    </row>
    <row r="4207" ht="14.25" hidden="1" customHeight="1">
      <c r="B4207" s="7" t="s">
        <v>21</v>
      </c>
      <c r="C4207" s="7" t="s">
        <v>29</v>
      </c>
      <c r="D4207" s="7" t="s">
        <v>8</v>
      </c>
      <c r="E4207" s="7" t="s">
        <v>33</v>
      </c>
      <c r="F4207" s="8">
        <v>113.0</v>
      </c>
      <c r="G4207" s="9">
        <v>113.0</v>
      </c>
    </row>
    <row r="4208" ht="14.25" hidden="1" customHeight="1">
      <c r="B4208" s="7" t="s">
        <v>21</v>
      </c>
      <c r="C4208" s="7" t="s">
        <v>7</v>
      </c>
      <c r="D4208" s="7" t="s">
        <v>33</v>
      </c>
      <c r="E4208" s="7" t="s">
        <v>31</v>
      </c>
      <c r="F4208" s="8">
        <v>110.0</v>
      </c>
      <c r="G4208" s="9">
        <v>55.0</v>
      </c>
    </row>
    <row r="4209" ht="14.25" hidden="1" customHeight="1">
      <c r="B4209" s="7" t="s">
        <v>21</v>
      </c>
      <c r="C4209" s="7" t="s">
        <v>7</v>
      </c>
      <c r="D4209" s="7" t="s">
        <v>32</v>
      </c>
      <c r="E4209" s="7" t="s">
        <v>8</v>
      </c>
      <c r="F4209" s="8">
        <v>110.0</v>
      </c>
      <c r="G4209" s="9">
        <v>55.0</v>
      </c>
    </row>
    <row r="4210" ht="14.25" hidden="1" customHeight="1">
      <c r="B4210" s="7" t="s">
        <v>21</v>
      </c>
      <c r="C4210" s="7" t="s">
        <v>30</v>
      </c>
      <c r="D4210" s="7" t="s">
        <v>31</v>
      </c>
      <c r="E4210" s="7" t="s">
        <v>24</v>
      </c>
      <c r="F4210" s="8">
        <v>108.0</v>
      </c>
      <c r="G4210" s="9">
        <v>54.0</v>
      </c>
    </row>
    <row r="4211" ht="14.25" hidden="1" customHeight="1">
      <c r="B4211" s="7" t="s">
        <v>21</v>
      </c>
      <c r="C4211" s="7" t="s">
        <v>29</v>
      </c>
      <c r="D4211" s="7" t="s">
        <v>25</v>
      </c>
      <c r="E4211" s="7" t="s">
        <v>9</v>
      </c>
      <c r="F4211" s="8">
        <v>100.0</v>
      </c>
      <c r="G4211" s="9">
        <v>100.0</v>
      </c>
    </row>
    <row r="4212" ht="14.25" hidden="1" customHeight="1">
      <c r="B4212" s="7" t="s">
        <v>21</v>
      </c>
      <c r="C4212" s="7" t="s">
        <v>7</v>
      </c>
      <c r="D4212" s="7" t="s">
        <v>31</v>
      </c>
      <c r="E4212" s="7" t="s">
        <v>35</v>
      </c>
      <c r="F4212" s="8">
        <v>100.0</v>
      </c>
      <c r="G4212" s="9">
        <v>50.0</v>
      </c>
    </row>
    <row r="4213" ht="14.25" hidden="1" customHeight="1">
      <c r="B4213" s="7" t="s">
        <v>21</v>
      </c>
      <c r="C4213" s="7" t="s">
        <v>29</v>
      </c>
      <c r="D4213" s="7" t="s">
        <v>31</v>
      </c>
      <c r="E4213" s="7" t="s">
        <v>9</v>
      </c>
      <c r="F4213" s="8">
        <v>99.0</v>
      </c>
      <c r="G4213" s="9">
        <v>99.0</v>
      </c>
    </row>
    <row r="4214" ht="14.25" hidden="1" customHeight="1">
      <c r="B4214" s="7" t="s">
        <v>21</v>
      </c>
      <c r="C4214" s="7" t="s">
        <v>29</v>
      </c>
      <c r="D4214" s="7" t="s">
        <v>31</v>
      </c>
      <c r="E4214" s="7" t="s">
        <v>35</v>
      </c>
      <c r="F4214" s="8">
        <v>97.0</v>
      </c>
      <c r="G4214" s="9">
        <v>97.0</v>
      </c>
    </row>
    <row r="4215" ht="14.25" hidden="1" customHeight="1">
      <c r="B4215" s="7" t="s">
        <v>21</v>
      </c>
      <c r="C4215" s="7" t="s">
        <v>30</v>
      </c>
      <c r="D4215" s="7" t="s">
        <v>33</v>
      </c>
      <c r="E4215" s="7" t="s">
        <v>8</v>
      </c>
      <c r="F4215" s="8">
        <v>96.0</v>
      </c>
      <c r="G4215" s="9">
        <v>48.0</v>
      </c>
    </row>
    <row r="4216" ht="14.25" hidden="1" customHeight="1">
      <c r="B4216" s="7" t="s">
        <v>21</v>
      </c>
      <c r="C4216" s="7" t="s">
        <v>29</v>
      </c>
      <c r="D4216" s="7" t="s">
        <v>31</v>
      </c>
      <c r="E4216" s="7" t="s">
        <v>25</v>
      </c>
      <c r="F4216" s="8">
        <v>96.0</v>
      </c>
      <c r="G4216" s="9">
        <v>96.0</v>
      </c>
    </row>
    <row r="4217" ht="14.25" hidden="1" customHeight="1">
      <c r="B4217" s="7" t="s">
        <v>21</v>
      </c>
      <c r="C4217" s="7" t="s">
        <v>29</v>
      </c>
      <c r="D4217" s="7" t="s">
        <v>28</v>
      </c>
      <c r="E4217" s="7" t="s">
        <v>25</v>
      </c>
      <c r="F4217" s="8">
        <v>94.0</v>
      </c>
      <c r="G4217" s="9">
        <v>94.0</v>
      </c>
    </row>
    <row r="4218" ht="14.25" hidden="1" customHeight="1">
      <c r="B4218" s="7" t="s">
        <v>21</v>
      </c>
      <c r="C4218" s="7" t="s">
        <v>30</v>
      </c>
      <c r="D4218" s="7" t="s">
        <v>34</v>
      </c>
      <c r="E4218" s="7" t="s">
        <v>28</v>
      </c>
      <c r="F4218" s="8">
        <v>94.0</v>
      </c>
      <c r="G4218" s="9">
        <v>47.0</v>
      </c>
    </row>
    <row r="4219" ht="14.25" hidden="1" customHeight="1">
      <c r="B4219" s="7" t="s">
        <v>21</v>
      </c>
      <c r="C4219" s="7" t="s">
        <v>29</v>
      </c>
      <c r="D4219" s="7" t="s">
        <v>10</v>
      </c>
      <c r="E4219" s="7" t="s">
        <v>25</v>
      </c>
      <c r="F4219" s="8">
        <v>93.0</v>
      </c>
      <c r="G4219" s="9">
        <v>93.0</v>
      </c>
    </row>
    <row r="4220" ht="14.25" hidden="1" customHeight="1">
      <c r="B4220" s="7" t="s">
        <v>21</v>
      </c>
      <c r="C4220" s="7" t="s">
        <v>7</v>
      </c>
      <c r="D4220" s="7" t="s">
        <v>25</v>
      </c>
      <c r="E4220" s="7" t="s">
        <v>32</v>
      </c>
      <c r="F4220" s="8">
        <v>92.0</v>
      </c>
      <c r="G4220" s="9">
        <v>46.0</v>
      </c>
    </row>
    <row r="4221" ht="14.25" hidden="1" customHeight="1">
      <c r="B4221" s="7" t="s">
        <v>21</v>
      </c>
      <c r="C4221" s="7" t="s">
        <v>7</v>
      </c>
      <c r="D4221" s="7" t="s">
        <v>8</v>
      </c>
      <c r="E4221" s="7" t="s">
        <v>25</v>
      </c>
      <c r="F4221" s="8">
        <v>92.0</v>
      </c>
      <c r="G4221" s="9">
        <v>92.0</v>
      </c>
    </row>
    <row r="4222" ht="14.25" hidden="1" customHeight="1">
      <c r="B4222" s="7" t="s">
        <v>21</v>
      </c>
      <c r="C4222" s="7" t="s">
        <v>29</v>
      </c>
      <c r="D4222" s="7" t="s">
        <v>8</v>
      </c>
      <c r="E4222" s="7" t="s">
        <v>33</v>
      </c>
      <c r="F4222" s="8">
        <v>92.0</v>
      </c>
      <c r="G4222" s="9">
        <v>92.0</v>
      </c>
    </row>
    <row r="4223" ht="14.25" hidden="1" customHeight="1">
      <c r="B4223" s="7" t="s">
        <v>21</v>
      </c>
      <c r="C4223" s="7" t="s">
        <v>7</v>
      </c>
      <c r="D4223" s="7" t="s">
        <v>28</v>
      </c>
      <c r="E4223" s="7" t="s">
        <v>32</v>
      </c>
      <c r="F4223" s="8">
        <v>90.0</v>
      </c>
      <c r="G4223" s="9">
        <v>45.0</v>
      </c>
    </row>
    <row r="4224" ht="14.25" hidden="1" customHeight="1">
      <c r="B4224" s="7" t="s">
        <v>21</v>
      </c>
      <c r="C4224" s="7" t="s">
        <v>29</v>
      </c>
      <c r="D4224" s="7" t="s">
        <v>25</v>
      </c>
      <c r="E4224" s="7" t="s">
        <v>10</v>
      </c>
      <c r="F4224" s="8">
        <v>88.0</v>
      </c>
      <c r="G4224" s="9">
        <v>88.0</v>
      </c>
    </row>
    <row r="4225" ht="14.25" hidden="1" customHeight="1">
      <c r="B4225" s="7" t="s">
        <v>21</v>
      </c>
      <c r="C4225" s="7" t="s">
        <v>29</v>
      </c>
      <c r="D4225" s="7" t="s">
        <v>10</v>
      </c>
      <c r="E4225" s="7" t="s">
        <v>31</v>
      </c>
      <c r="F4225" s="8">
        <v>87.0</v>
      </c>
      <c r="G4225" s="9">
        <v>87.0</v>
      </c>
    </row>
    <row r="4226" ht="14.25" hidden="1" customHeight="1">
      <c r="B4226" s="7" t="s">
        <v>21</v>
      </c>
      <c r="C4226" s="7" t="s">
        <v>29</v>
      </c>
      <c r="D4226" s="7" t="s">
        <v>9</v>
      </c>
      <c r="E4226" s="7" t="s">
        <v>25</v>
      </c>
      <c r="F4226" s="8">
        <v>86.0</v>
      </c>
      <c r="G4226" s="9">
        <v>86.0</v>
      </c>
    </row>
    <row r="4227" ht="14.25" hidden="1" customHeight="1">
      <c r="B4227" s="7" t="s">
        <v>21</v>
      </c>
      <c r="C4227" s="7" t="s">
        <v>7</v>
      </c>
      <c r="D4227" s="7" t="s">
        <v>9</v>
      </c>
      <c r="E4227" s="7" t="s">
        <v>11</v>
      </c>
      <c r="F4227" s="8">
        <v>84.0</v>
      </c>
      <c r="G4227" s="9">
        <v>42.0</v>
      </c>
    </row>
    <row r="4228" ht="14.25" hidden="1" customHeight="1">
      <c r="B4228" s="7" t="s">
        <v>21</v>
      </c>
      <c r="C4228" s="7" t="s">
        <v>30</v>
      </c>
      <c r="D4228" s="7" t="s">
        <v>8</v>
      </c>
      <c r="E4228" s="7" t="s">
        <v>33</v>
      </c>
      <c r="F4228" s="8">
        <v>82.0</v>
      </c>
      <c r="G4228" s="9">
        <v>41.0</v>
      </c>
    </row>
    <row r="4229" ht="14.25" hidden="1" customHeight="1">
      <c r="B4229" s="7" t="s">
        <v>21</v>
      </c>
      <c r="C4229" s="7" t="s">
        <v>7</v>
      </c>
      <c r="D4229" s="7" t="s">
        <v>9</v>
      </c>
      <c r="E4229" s="7" t="s">
        <v>33</v>
      </c>
      <c r="F4229" s="8">
        <v>78.0</v>
      </c>
      <c r="G4229" s="9">
        <v>39.0</v>
      </c>
    </row>
    <row r="4230" ht="14.25" hidden="1" customHeight="1">
      <c r="B4230" s="7" t="s">
        <v>21</v>
      </c>
      <c r="C4230" s="7" t="s">
        <v>30</v>
      </c>
      <c r="D4230" s="7" t="s">
        <v>10</v>
      </c>
      <c r="E4230" s="7" t="s">
        <v>31</v>
      </c>
      <c r="F4230" s="8">
        <v>78.0</v>
      </c>
      <c r="G4230" s="9">
        <v>39.0</v>
      </c>
    </row>
    <row r="4231" ht="14.25" hidden="1" customHeight="1">
      <c r="B4231" s="7" t="s">
        <v>21</v>
      </c>
      <c r="C4231" s="7" t="s">
        <v>29</v>
      </c>
      <c r="D4231" s="7" t="s">
        <v>32</v>
      </c>
      <c r="E4231" s="7" t="s">
        <v>35</v>
      </c>
      <c r="F4231" s="8">
        <v>78.0</v>
      </c>
      <c r="G4231" s="9">
        <v>78.0</v>
      </c>
    </row>
    <row r="4232" ht="14.25" hidden="1" customHeight="1">
      <c r="B4232" s="7" t="s">
        <v>21</v>
      </c>
      <c r="C4232" s="7" t="s">
        <v>29</v>
      </c>
      <c r="D4232" s="7" t="s">
        <v>8</v>
      </c>
      <c r="E4232" s="7" t="s">
        <v>28</v>
      </c>
      <c r="F4232" s="8">
        <v>77.0</v>
      </c>
      <c r="G4232" s="9">
        <v>77.0</v>
      </c>
    </row>
    <row r="4233" ht="14.25" hidden="1" customHeight="1">
      <c r="B4233" s="7" t="s">
        <v>21</v>
      </c>
      <c r="C4233" s="7" t="s">
        <v>29</v>
      </c>
      <c r="D4233" s="7" t="s">
        <v>9</v>
      </c>
      <c r="E4233" s="7" t="s">
        <v>10</v>
      </c>
      <c r="F4233" s="8">
        <v>73.0</v>
      </c>
      <c r="G4233" s="9">
        <v>73.0</v>
      </c>
    </row>
    <row r="4234" ht="14.25" hidden="1" customHeight="1">
      <c r="B4234" s="7" t="s">
        <v>21</v>
      </c>
      <c r="C4234" s="7" t="s">
        <v>29</v>
      </c>
      <c r="D4234" s="7" t="s">
        <v>10</v>
      </c>
      <c r="E4234" s="7" t="s">
        <v>8</v>
      </c>
      <c r="F4234" s="8">
        <v>73.0</v>
      </c>
      <c r="G4234" s="9">
        <v>73.0</v>
      </c>
    </row>
    <row r="4235" ht="14.25" hidden="1" customHeight="1">
      <c r="B4235" s="7" t="s">
        <v>21</v>
      </c>
      <c r="C4235" s="7" t="s">
        <v>7</v>
      </c>
      <c r="D4235" s="7" t="s">
        <v>10</v>
      </c>
      <c r="E4235" s="7" t="s">
        <v>8</v>
      </c>
      <c r="F4235" s="8">
        <v>70.0</v>
      </c>
      <c r="G4235" s="9">
        <v>35.0</v>
      </c>
    </row>
    <row r="4236" ht="14.25" hidden="1" customHeight="1">
      <c r="B4236" s="7" t="s">
        <v>21</v>
      </c>
      <c r="C4236" s="7" t="s">
        <v>7</v>
      </c>
      <c r="D4236" s="7" t="s">
        <v>32</v>
      </c>
      <c r="E4236" s="7" t="s">
        <v>33</v>
      </c>
      <c r="F4236" s="8">
        <v>70.0</v>
      </c>
      <c r="G4236" s="9">
        <v>35.0</v>
      </c>
    </row>
    <row r="4237" ht="14.25" hidden="1" customHeight="1">
      <c r="B4237" s="7" t="s">
        <v>21</v>
      </c>
      <c r="C4237" s="7" t="s">
        <v>7</v>
      </c>
      <c r="D4237" s="7" t="s">
        <v>8</v>
      </c>
      <c r="E4237" s="7" t="s">
        <v>33</v>
      </c>
      <c r="F4237" s="8">
        <v>68.0</v>
      </c>
      <c r="G4237" s="9">
        <v>34.0</v>
      </c>
    </row>
    <row r="4238" ht="14.25" hidden="1" customHeight="1">
      <c r="B4238" s="7" t="s">
        <v>21</v>
      </c>
      <c r="C4238" s="7" t="s">
        <v>7</v>
      </c>
      <c r="D4238" s="7" t="s">
        <v>25</v>
      </c>
      <c r="E4238" s="7" t="s">
        <v>8</v>
      </c>
      <c r="F4238" s="8">
        <v>66.0</v>
      </c>
      <c r="G4238" s="9">
        <v>66.0</v>
      </c>
    </row>
    <row r="4239" ht="14.25" hidden="1" customHeight="1">
      <c r="B4239" s="7" t="s">
        <v>21</v>
      </c>
      <c r="C4239" s="7" t="s">
        <v>29</v>
      </c>
      <c r="D4239" s="7" t="s">
        <v>8</v>
      </c>
      <c r="E4239" s="7" t="s">
        <v>10</v>
      </c>
      <c r="F4239" s="8">
        <v>65.0</v>
      </c>
      <c r="G4239" s="9">
        <v>65.0</v>
      </c>
    </row>
    <row r="4240" ht="14.25" hidden="1" customHeight="1">
      <c r="B4240" s="7" t="s">
        <v>21</v>
      </c>
      <c r="C4240" s="7" t="s">
        <v>7</v>
      </c>
      <c r="D4240" s="7" t="s">
        <v>25</v>
      </c>
      <c r="E4240" s="7" t="s">
        <v>33</v>
      </c>
      <c r="F4240" s="8">
        <v>64.0</v>
      </c>
      <c r="G4240" s="9">
        <v>32.0</v>
      </c>
    </row>
    <row r="4241" ht="14.25" hidden="1" customHeight="1">
      <c r="B4241" s="7" t="s">
        <v>21</v>
      </c>
      <c r="C4241" s="7" t="s">
        <v>30</v>
      </c>
      <c r="D4241" s="7" t="s">
        <v>33</v>
      </c>
      <c r="E4241" s="7" t="s">
        <v>28</v>
      </c>
      <c r="F4241" s="8">
        <v>64.0</v>
      </c>
      <c r="G4241" s="9">
        <v>32.0</v>
      </c>
    </row>
    <row r="4242" ht="14.25" hidden="1" customHeight="1">
      <c r="B4242" s="7" t="s">
        <v>21</v>
      </c>
      <c r="C4242" s="7" t="s">
        <v>7</v>
      </c>
      <c r="D4242" s="7" t="s">
        <v>9</v>
      </c>
      <c r="E4242" s="7" t="s">
        <v>10</v>
      </c>
      <c r="F4242" s="8">
        <v>62.0</v>
      </c>
      <c r="G4242" s="9">
        <v>31.0</v>
      </c>
    </row>
    <row r="4243" ht="14.25" hidden="1" customHeight="1">
      <c r="B4243" s="7" t="s">
        <v>21</v>
      </c>
      <c r="C4243" s="7" t="s">
        <v>7</v>
      </c>
      <c r="D4243" s="7" t="s">
        <v>8</v>
      </c>
      <c r="E4243" s="7" t="s">
        <v>10</v>
      </c>
      <c r="F4243" s="8">
        <v>62.0</v>
      </c>
      <c r="G4243" s="9">
        <v>31.0</v>
      </c>
    </row>
    <row r="4244" ht="14.25" hidden="1" customHeight="1">
      <c r="B4244" s="7" t="s">
        <v>21</v>
      </c>
      <c r="C4244" s="7" t="s">
        <v>29</v>
      </c>
      <c r="D4244" s="7" t="s">
        <v>33</v>
      </c>
      <c r="E4244" s="7" t="s">
        <v>28</v>
      </c>
      <c r="F4244" s="8">
        <v>60.0</v>
      </c>
      <c r="G4244" s="9">
        <v>60.0</v>
      </c>
    </row>
    <row r="4245" ht="14.25" hidden="1" customHeight="1">
      <c r="B4245" s="7" t="s">
        <v>21</v>
      </c>
      <c r="C4245" s="7" t="s">
        <v>7</v>
      </c>
      <c r="D4245" s="7" t="s">
        <v>35</v>
      </c>
      <c r="E4245" s="7" t="s">
        <v>8</v>
      </c>
      <c r="F4245" s="8">
        <v>60.0</v>
      </c>
      <c r="G4245" s="9">
        <v>30.0</v>
      </c>
    </row>
    <row r="4246" ht="14.25" hidden="1" customHeight="1">
      <c r="B4246" s="7" t="s">
        <v>21</v>
      </c>
      <c r="C4246" s="7" t="s">
        <v>29</v>
      </c>
      <c r="D4246" s="7" t="s">
        <v>33</v>
      </c>
      <c r="E4246" s="7" t="s">
        <v>9</v>
      </c>
      <c r="F4246" s="8">
        <v>59.0</v>
      </c>
      <c r="G4246" s="9">
        <v>59.0</v>
      </c>
    </row>
    <row r="4247" ht="14.25" hidden="1" customHeight="1">
      <c r="B4247" s="7" t="s">
        <v>21</v>
      </c>
      <c r="C4247" s="7" t="s">
        <v>30</v>
      </c>
      <c r="D4247" s="7" t="s">
        <v>28</v>
      </c>
      <c r="E4247" s="7" t="s">
        <v>8</v>
      </c>
      <c r="F4247" s="8">
        <v>58.0</v>
      </c>
      <c r="G4247" s="9">
        <v>29.0</v>
      </c>
    </row>
    <row r="4248" ht="14.25" customHeight="1">
      <c r="B4248" s="7" t="s">
        <v>21</v>
      </c>
      <c r="C4248" s="7" t="s">
        <v>7</v>
      </c>
      <c r="D4248" s="7" t="s">
        <v>8</v>
      </c>
      <c r="E4248" s="7" t="s">
        <v>31</v>
      </c>
      <c r="F4248" s="8">
        <v>58.0</v>
      </c>
      <c r="G4248" s="9">
        <v>29.0</v>
      </c>
    </row>
    <row r="4249" ht="14.25" hidden="1" customHeight="1">
      <c r="B4249" s="7" t="s">
        <v>21</v>
      </c>
      <c r="C4249" s="7" t="s">
        <v>29</v>
      </c>
      <c r="D4249" s="7" t="s">
        <v>28</v>
      </c>
      <c r="E4249" s="7" t="s">
        <v>32</v>
      </c>
      <c r="F4249" s="8">
        <v>56.0</v>
      </c>
      <c r="G4249" s="9">
        <v>56.0</v>
      </c>
    </row>
    <row r="4250" ht="14.25" hidden="1" customHeight="1">
      <c r="B4250" s="7" t="s">
        <v>21</v>
      </c>
      <c r="C4250" s="7" t="s">
        <v>7</v>
      </c>
      <c r="D4250" s="7" t="s">
        <v>35</v>
      </c>
      <c r="E4250" s="7" t="s">
        <v>28</v>
      </c>
      <c r="F4250" s="8">
        <v>56.0</v>
      </c>
      <c r="G4250" s="9">
        <v>28.0</v>
      </c>
    </row>
    <row r="4251" ht="14.25" hidden="1" customHeight="1">
      <c r="B4251" s="7" t="s">
        <v>21</v>
      </c>
      <c r="C4251" s="7" t="s">
        <v>29</v>
      </c>
      <c r="D4251" s="7" t="s">
        <v>31</v>
      </c>
      <c r="E4251" s="7" t="s">
        <v>28</v>
      </c>
      <c r="F4251" s="8">
        <v>56.0</v>
      </c>
      <c r="G4251" s="9">
        <v>56.0</v>
      </c>
    </row>
    <row r="4252" ht="14.25" customHeight="1">
      <c r="B4252" s="7" t="s">
        <v>21</v>
      </c>
      <c r="C4252" s="7" t="s">
        <v>30</v>
      </c>
      <c r="D4252" s="7" t="s">
        <v>8</v>
      </c>
      <c r="E4252" s="7" t="s">
        <v>31</v>
      </c>
      <c r="F4252" s="8">
        <v>56.0</v>
      </c>
      <c r="G4252" s="9">
        <v>28.0</v>
      </c>
    </row>
    <row r="4253" ht="14.25" hidden="1" customHeight="1">
      <c r="B4253" s="7" t="s">
        <v>21</v>
      </c>
      <c r="C4253" s="7" t="s">
        <v>29</v>
      </c>
      <c r="D4253" s="7" t="s">
        <v>31</v>
      </c>
      <c r="E4253" s="7" t="s">
        <v>25</v>
      </c>
      <c r="F4253" s="8">
        <v>54.0</v>
      </c>
      <c r="G4253" s="9">
        <v>54.0</v>
      </c>
    </row>
    <row r="4254" ht="14.25" hidden="1" customHeight="1">
      <c r="B4254" s="7" t="s">
        <v>21</v>
      </c>
      <c r="C4254" s="7" t="s">
        <v>29</v>
      </c>
      <c r="D4254" s="7" t="s">
        <v>25</v>
      </c>
      <c r="E4254" s="7" t="s">
        <v>28</v>
      </c>
      <c r="F4254" s="8">
        <v>51.0</v>
      </c>
      <c r="G4254" s="9">
        <v>51.0</v>
      </c>
    </row>
    <row r="4255" ht="14.25" hidden="1" customHeight="1">
      <c r="B4255" s="7" t="s">
        <v>21</v>
      </c>
      <c r="C4255" s="7" t="s">
        <v>29</v>
      </c>
      <c r="D4255" s="7" t="s">
        <v>11</v>
      </c>
      <c r="E4255" s="7" t="s">
        <v>8</v>
      </c>
      <c r="F4255" s="8">
        <v>51.0</v>
      </c>
      <c r="G4255" s="9">
        <v>51.0</v>
      </c>
    </row>
    <row r="4256" ht="14.25" hidden="1" customHeight="1">
      <c r="B4256" s="7" t="s">
        <v>21</v>
      </c>
      <c r="C4256" s="7" t="s">
        <v>7</v>
      </c>
      <c r="D4256" s="7" t="s">
        <v>11</v>
      </c>
      <c r="E4256" s="7" t="s">
        <v>25</v>
      </c>
      <c r="F4256" s="8">
        <v>50.0</v>
      </c>
      <c r="G4256" s="9">
        <v>25.0</v>
      </c>
    </row>
    <row r="4257" ht="14.25" hidden="1" customHeight="1">
      <c r="B4257" s="7" t="s">
        <v>21</v>
      </c>
      <c r="C4257" s="7" t="s">
        <v>29</v>
      </c>
      <c r="D4257" s="7" t="s">
        <v>31</v>
      </c>
      <c r="E4257" s="7" t="s">
        <v>31</v>
      </c>
      <c r="F4257" s="8">
        <v>50.0</v>
      </c>
      <c r="G4257" s="9">
        <v>50.0</v>
      </c>
    </row>
    <row r="4258" ht="14.25" hidden="1" customHeight="1">
      <c r="B4258" s="7" t="s">
        <v>21</v>
      </c>
      <c r="C4258" s="7" t="s">
        <v>30</v>
      </c>
      <c r="D4258" s="7" t="s">
        <v>33</v>
      </c>
      <c r="E4258" s="7" t="s">
        <v>25</v>
      </c>
      <c r="F4258" s="8">
        <v>48.0</v>
      </c>
      <c r="G4258" s="9">
        <v>24.0</v>
      </c>
    </row>
    <row r="4259" ht="14.25" hidden="1" customHeight="1">
      <c r="B4259" s="7" t="s">
        <v>21</v>
      </c>
      <c r="C4259" s="7" t="s">
        <v>30</v>
      </c>
      <c r="D4259" s="7" t="s">
        <v>33</v>
      </c>
      <c r="E4259" s="7" t="s">
        <v>9</v>
      </c>
      <c r="F4259" s="8">
        <v>48.0</v>
      </c>
      <c r="G4259" s="9">
        <v>24.0</v>
      </c>
    </row>
    <row r="4260" ht="14.25" hidden="1" customHeight="1">
      <c r="B4260" s="7" t="s">
        <v>21</v>
      </c>
      <c r="C4260" s="7" t="s">
        <v>7</v>
      </c>
      <c r="D4260" s="7" t="s">
        <v>9</v>
      </c>
      <c r="E4260" s="7" t="s">
        <v>31</v>
      </c>
      <c r="F4260" s="8">
        <v>48.0</v>
      </c>
      <c r="G4260" s="9">
        <v>24.0</v>
      </c>
    </row>
    <row r="4261" ht="14.25" hidden="1" customHeight="1">
      <c r="B4261" s="7" t="s">
        <v>21</v>
      </c>
      <c r="C4261" s="7" t="s">
        <v>30</v>
      </c>
      <c r="D4261" s="7" t="s">
        <v>24</v>
      </c>
      <c r="E4261" s="7" t="s">
        <v>31</v>
      </c>
      <c r="F4261" s="8">
        <v>48.0</v>
      </c>
      <c r="G4261" s="9">
        <v>24.0</v>
      </c>
    </row>
    <row r="4262" ht="14.25" hidden="1" customHeight="1">
      <c r="B4262" s="7" t="s">
        <v>21</v>
      </c>
      <c r="C4262" s="7" t="s">
        <v>7</v>
      </c>
      <c r="D4262" s="7" t="s">
        <v>32</v>
      </c>
      <c r="E4262" s="7" t="s">
        <v>31</v>
      </c>
      <c r="F4262" s="8">
        <v>48.0</v>
      </c>
      <c r="G4262" s="9">
        <v>24.0</v>
      </c>
    </row>
    <row r="4263" ht="14.25" hidden="1" customHeight="1">
      <c r="B4263" s="7" t="s">
        <v>21</v>
      </c>
      <c r="C4263" s="7" t="s">
        <v>30</v>
      </c>
      <c r="D4263" s="7" t="s">
        <v>32</v>
      </c>
      <c r="E4263" s="7" t="s">
        <v>31</v>
      </c>
      <c r="F4263" s="8">
        <v>48.0</v>
      </c>
      <c r="G4263" s="9">
        <v>24.0</v>
      </c>
    </row>
    <row r="4264" ht="14.25" hidden="1" customHeight="1">
      <c r="B4264" s="7" t="s">
        <v>21</v>
      </c>
      <c r="C4264" s="7" t="s">
        <v>7</v>
      </c>
      <c r="D4264" s="7" t="s">
        <v>31</v>
      </c>
      <c r="E4264" s="7" t="s">
        <v>31</v>
      </c>
      <c r="F4264" s="8">
        <v>48.0</v>
      </c>
      <c r="G4264" s="9">
        <v>24.0</v>
      </c>
    </row>
    <row r="4265" ht="14.25" hidden="1" customHeight="1">
      <c r="B4265" s="7" t="s">
        <v>21</v>
      </c>
      <c r="C4265" s="7" t="s">
        <v>29</v>
      </c>
      <c r="D4265" s="7" t="s">
        <v>8</v>
      </c>
      <c r="E4265" s="7" t="s">
        <v>28</v>
      </c>
      <c r="F4265" s="8">
        <v>48.0</v>
      </c>
      <c r="G4265" s="9">
        <v>48.0</v>
      </c>
    </row>
    <row r="4266" ht="14.25" hidden="1" customHeight="1">
      <c r="B4266" s="7" t="s">
        <v>21</v>
      </c>
      <c r="C4266" s="7" t="s">
        <v>7</v>
      </c>
      <c r="D4266" s="7" t="s">
        <v>8</v>
      </c>
      <c r="E4266" s="7" t="s">
        <v>28</v>
      </c>
      <c r="F4266" s="8">
        <v>48.0</v>
      </c>
      <c r="G4266" s="9">
        <v>24.0</v>
      </c>
    </row>
    <row r="4267" ht="14.25" hidden="1" customHeight="1">
      <c r="B4267" s="7" t="s">
        <v>21</v>
      </c>
      <c r="C4267" s="7" t="s">
        <v>7</v>
      </c>
      <c r="D4267" s="7" t="s">
        <v>9</v>
      </c>
      <c r="E4267" s="7" t="s">
        <v>33</v>
      </c>
      <c r="F4267" s="8">
        <v>46.0</v>
      </c>
      <c r="G4267" s="9">
        <v>23.0</v>
      </c>
    </row>
    <row r="4268" ht="14.25" hidden="1" customHeight="1">
      <c r="B4268" s="7" t="s">
        <v>21</v>
      </c>
      <c r="C4268" s="7" t="s">
        <v>7</v>
      </c>
      <c r="D4268" s="7" t="s">
        <v>31</v>
      </c>
      <c r="E4268" s="7" t="s">
        <v>25</v>
      </c>
      <c r="F4268" s="8">
        <v>46.0</v>
      </c>
      <c r="G4268" s="9">
        <v>46.0</v>
      </c>
    </row>
    <row r="4269" ht="14.25" hidden="1" customHeight="1">
      <c r="B4269" s="7" t="s">
        <v>21</v>
      </c>
      <c r="C4269" s="7" t="s">
        <v>29</v>
      </c>
      <c r="D4269" s="7" t="s">
        <v>9</v>
      </c>
      <c r="E4269" s="7" t="s">
        <v>31</v>
      </c>
      <c r="F4269" s="8">
        <v>45.0</v>
      </c>
      <c r="G4269" s="9">
        <v>45.0</v>
      </c>
    </row>
    <row r="4270" ht="14.25" hidden="1" customHeight="1">
      <c r="B4270" s="7" t="s">
        <v>21</v>
      </c>
      <c r="C4270" s="7" t="s">
        <v>29</v>
      </c>
      <c r="D4270" s="7" t="s">
        <v>9</v>
      </c>
      <c r="E4270" s="7" t="s">
        <v>31</v>
      </c>
      <c r="F4270" s="8">
        <v>45.0</v>
      </c>
      <c r="G4270" s="9">
        <v>45.0</v>
      </c>
    </row>
    <row r="4271" ht="14.25" hidden="1" customHeight="1">
      <c r="B4271" s="7" t="s">
        <v>21</v>
      </c>
      <c r="C4271" s="7" t="s">
        <v>29</v>
      </c>
      <c r="D4271" s="7" t="s">
        <v>10</v>
      </c>
      <c r="E4271" s="7" t="s">
        <v>25</v>
      </c>
      <c r="F4271" s="8">
        <v>45.0</v>
      </c>
      <c r="G4271" s="9">
        <v>45.0</v>
      </c>
    </row>
    <row r="4272" ht="14.25" hidden="1" customHeight="1">
      <c r="B4272" s="7" t="s">
        <v>21</v>
      </c>
      <c r="C4272" s="7" t="s">
        <v>7</v>
      </c>
      <c r="D4272" s="7" t="s">
        <v>10</v>
      </c>
      <c r="E4272" s="7" t="s">
        <v>8</v>
      </c>
      <c r="F4272" s="8">
        <v>44.0</v>
      </c>
      <c r="G4272" s="9">
        <v>22.0</v>
      </c>
    </row>
    <row r="4273" ht="14.25" hidden="1" customHeight="1">
      <c r="B4273" s="7" t="s">
        <v>21</v>
      </c>
      <c r="C4273" s="7" t="s">
        <v>7</v>
      </c>
      <c r="D4273" s="7" t="s">
        <v>31</v>
      </c>
      <c r="E4273" s="7" t="s">
        <v>9</v>
      </c>
      <c r="F4273" s="8">
        <v>44.0</v>
      </c>
      <c r="G4273" s="9">
        <v>22.0</v>
      </c>
    </row>
    <row r="4274" ht="14.25" hidden="1" customHeight="1">
      <c r="B4274" s="7" t="s">
        <v>21</v>
      </c>
      <c r="C4274" s="7" t="s">
        <v>7</v>
      </c>
      <c r="D4274" s="7" t="s">
        <v>8</v>
      </c>
      <c r="E4274" s="7" t="s">
        <v>9</v>
      </c>
      <c r="F4274" s="8">
        <v>44.0</v>
      </c>
      <c r="G4274" s="9">
        <v>22.0</v>
      </c>
    </row>
    <row r="4275" ht="14.25" hidden="1" customHeight="1">
      <c r="B4275" s="7" t="s">
        <v>21</v>
      </c>
      <c r="C4275" s="7" t="s">
        <v>29</v>
      </c>
      <c r="D4275" s="7" t="s">
        <v>28</v>
      </c>
      <c r="E4275" s="7" t="s">
        <v>31</v>
      </c>
      <c r="F4275" s="8">
        <v>42.0</v>
      </c>
      <c r="G4275" s="9">
        <v>42.0</v>
      </c>
    </row>
    <row r="4276" ht="14.25" hidden="1" customHeight="1">
      <c r="B4276" s="7" t="s">
        <v>21</v>
      </c>
      <c r="C4276" s="7" t="s">
        <v>30</v>
      </c>
      <c r="D4276" s="7" t="s">
        <v>34</v>
      </c>
      <c r="E4276" s="7" t="s">
        <v>8</v>
      </c>
      <c r="F4276" s="8">
        <v>40.0</v>
      </c>
      <c r="G4276" s="9">
        <v>20.0</v>
      </c>
    </row>
    <row r="4277" ht="14.25" hidden="1" customHeight="1">
      <c r="B4277" s="7" t="s">
        <v>21</v>
      </c>
      <c r="C4277" s="7" t="s">
        <v>7</v>
      </c>
      <c r="D4277" s="7" t="s">
        <v>10</v>
      </c>
      <c r="E4277" s="7" t="s">
        <v>9</v>
      </c>
      <c r="F4277" s="8">
        <v>40.0</v>
      </c>
      <c r="G4277" s="9">
        <v>20.0</v>
      </c>
    </row>
    <row r="4278" ht="14.25" hidden="1" customHeight="1">
      <c r="B4278" s="7" t="s">
        <v>21</v>
      </c>
      <c r="C4278" s="7" t="s">
        <v>7</v>
      </c>
      <c r="D4278" s="7" t="s">
        <v>32</v>
      </c>
      <c r="E4278" s="7" t="s">
        <v>24</v>
      </c>
      <c r="F4278" s="8">
        <v>40.0</v>
      </c>
      <c r="G4278" s="9">
        <v>20.0</v>
      </c>
    </row>
    <row r="4279" ht="14.25" hidden="1" customHeight="1">
      <c r="B4279" s="7" t="s">
        <v>21</v>
      </c>
      <c r="C4279" s="7" t="s">
        <v>29</v>
      </c>
      <c r="D4279" s="7" t="s">
        <v>8</v>
      </c>
      <c r="E4279" s="7" t="s">
        <v>25</v>
      </c>
      <c r="F4279" s="8">
        <v>40.0</v>
      </c>
      <c r="G4279" s="9">
        <v>40.0</v>
      </c>
    </row>
    <row r="4280" ht="14.25" hidden="1" customHeight="1">
      <c r="B4280" s="7" t="s">
        <v>21</v>
      </c>
      <c r="C4280" s="7" t="s">
        <v>29</v>
      </c>
      <c r="D4280" s="7" t="s">
        <v>28</v>
      </c>
      <c r="E4280" s="7" t="s">
        <v>25</v>
      </c>
      <c r="F4280" s="8">
        <v>38.0</v>
      </c>
      <c r="G4280" s="9">
        <v>38.0</v>
      </c>
    </row>
    <row r="4281" ht="14.25" hidden="1" customHeight="1">
      <c r="B4281" s="7" t="s">
        <v>21</v>
      </c>
      <c r="C4281" s="7" t="s">
        <v>29</v>
      </c>
      <c r="D4281" s="7" t="s">
        <v>28</v>
      </c>
      <c r="E4281" s="7" t="s">
        <v>33</v>
      </c>
      <c r="F4281" s="8">
        <v>37.0</v>
      </c>
      <c r="G4281" s="9">
        <v>37.0</v>
      </c>
    </row>
    <row r="4282" ht="14.25" hidden="1" customHeight="1">
      <c r="B4282" s="7" t="s">
        <v>21</v>
      </c>
      <c r="C4282" s="7" t="s">
        <v>29</v>
      </c>
      <c r="D4282" s="7" t="s">
        <v>10</v>
      </c>
      <c r="E4282" s="7" t="s">
        <v>28</v>
      </c>
      <c r="F4282" s="8">
        <v>37.0</v>
      </c>
      <c r="G4282" s="9">
        <v>37.0</v>
      </c>
    </row>
    <row r="4283" ht="14.25" hidden="1" customHeight="1">
      <c r="B4283" s="7" t="s">
        <v>21</v>
      </c>
      <c r="C4283" s="7" t="s">
        <v>29</v>
      </c>
      <c r="D4283" s="7" t="s">
        <v>11</v>
      </c>
      <c r="E4283" s="7" t="s">
        <v>25</v>
      </c>
      <c r="F4283" s="8">
        <v>36.0</v>
      </c>
      <c r="G4283" s="9">
        <v>36.0</v>
      </c>
    </row>
    <row r="4284" ht="14.25" customHeight="1">
      <c r="B4284" s="7" t="s">
        <v>21</v>
      </c>
      <c r="C4284" s="7" t="s">
        <v>7</v>
      </c>
      <c r="D4284" s="7" t="s">
        <v>8</v>
      </c>
      <c r="E4284" s="7" t="s">
        <v>31</v>
      </c>
      <c r="F4284" s="8">
        <v>36.0</v>
      </c>
      <c r="G4284" s="9">
        <v>18.0</v>
      </c>
    </row>
    <row r="4285" ht="14.25" hidden="1" customHeight="1">
      <c r="B4285" s="7" t="s">
        <v>21</v>
      </c>
      <c r="C4285" s="7" t="s">
        <v>7</v>
      </c>
      <c r="D4285" s="7" t="s">
        <v>33</v>
      </c>
      <c r="E4285" s="7" t="s">
        <v>32</v>
      </c>
      <c r="F4285" s="8">
        <v>34.0</v>
      </c>
      <c r="G4285" s="9">
        <v>17.0</v>
      </c>
    </row>
    <row r="4286" ht="14.25" hidden="1" customHeight="1">
      <c r="B4286" s="7" t="s">
        <v>21</v>
      </c>
      <c r="C4286" s="7" t="s">
        <v>30</v>
      </c>
      <c r="D4286" s="7" t="s">
        <v>28</v>
      </c>
      <c r="E4286" s="7" t="s">
        <v>25</v>
      </c>
      <c r="F4286" s="8">
        <v>34.0</v>
      </c>
      <c r="G4286" s="9">
        <v>17.0</v>
      </c>
    </row>
    <row r="4287" ht="14.25" hidden="1" customHeight="1">
      <c r="B4287" s="7" t="s">
        <v>21</v>
      </c>
      <c r="C4287" s="7" t="s">
        <v>7</v>
      </c>
      <c r="D4287" s="7" t="s">
        <v>8</v>
      </c>
      <c r="E4287" s="7" t="s">
        <v>35</v>
      </c>
      <c r="F4287" s="8">
        <v>34.0</v>
      </c>
      <c r="G4287" s="9">
        <v>17.0</v>
      </c>
    </row>
    <row r="4288" ht="14.25" hidden="1" customHeight="1">
      <c r="B4288" s="7" t="s">
        <v>21</v>
      </c>
      <c r="C4288" s="7" t="s">
        <v>7</v>
      </c>
      <c r="D4288" s="7" t="s">
        <v>33</v>
      </c>
      <c r="E4288" s="7" t="s">
        <v>31</v>
      </c>
      <c r="F4288" s="8">
        <v>32.0</v>
      </c>
      <c r="G4288" s="9">
        <v>16.0</v>
      </c>
    </row>
    <row r="4289" ht="14.25" hidden="1" customHeight="1">
      <c r="B4289" s="7" t="s">
        <v>21</v>
      </c>
      <c r="C4289" s="7" t="s">
        <v>7</v>
      </c>
      <c r="D4289" s="7" t="s">
        <v>28</v>
      </c>
      <c r="E4289" s="7" t="s">
        <v>10</v>
      </c>
      <c r="F4289" s="8">
        <v>28.0</v>
      </c>
      <c r="G4289" s="9">
        <v>14.0</v>
      </c>
    </row>
    <row r="4290" ht="14.25" hidden="1" customHeight="1">
      <c r="B4290" s="7" t="s">
        <v>21</v>
      </c>
      <c r="C4290" s="7" t="s">
        <v>30</v>
      </c>
      <c r="D4290" s="7" t="s">
        <v>10</v>
      </c>
      <c r="E4290" s="7" t="s">
        <v>28</v>
      </c>
      <c r="F4290" s="8">
        <v>28.0</v>
      </c>
      <c r="G4290" s="9">
        <v>14.0</v>
      </c>
    </row>
    <row r="4291" ht="14.25" hidden="1" customHeight="1">
      <c r="B4291" s="7" t="s">
        <v>21</v>
      </c>
      <c r="C4291" s="7" t="s">
        <v>7</v>
      </c>
      <c r="D4291" s="7" t="s">
        <v>31</v>
      </c>
      <c r="E4291" s="7" t="s">
        <v>35</v>
      </c>
      <c r="F4291" s="8">
        <v>28.0</v>
      </c>
      <c r="G4291" s="9">
        <v>14.0</v>
      </c>
    </row>
    <row r="4292" ht="14.25" hidden="1" customHeight="1">
      <c r="B4292" s="7" t="s">
        <v>21</v>
      </c>
      <c r="C4292" s="7" t="s">
        <v>29</v>
      </c>
      <c r="D4292" s="7" t="s">
        <v>33</v>
      </c>
      <c r="E4292" s="7" t="s">
        <v>25</v>
      </c>
      <c r="F4292" s="8">
        <v>27.0</v>
      </c>
      <c r="G4292" s="9">
        <v>27.0</v>
      </c>
    </row>
    <row r="4293" ht="14.25" hidden="1" customHeight="1">
      <c r="B4293" s="7" t="s">
        <v>21</v>
      </c>
      <c r="C4293" s="7" t="s">
        <v>29</v>
      </c>
      <c r="D4293" s="7" t="s">
        <v>9</v>
      </c>
      <c r="E4293" s="7" t="s">
        <v>25</v>
      </c>
      <c r="F4293" s="8">
        <v>27.0</v>
      </c>
      <c r="G4293" s="9">
        <v>27.0</v>
      </c>
    </row>
    <row r="4294" ht="14.25" hidden="1" customHeight="1">
      <c r="B4294" s="7" t="s">
        <v>21</v>
      </c>
      <c r="C4294" s="7" t="s">
        <v>7</v>
      </c>
      <c r="D4294" s="7" t="s">
        <v>33</v>
      </c>
      <c r="E4294" s="7" t="s">
        <v>8</v>
      </c>
      <c r="F4294" s="8">
        <v>26.0</v>
      </c>
      <c r="G4294" s="9">
        <v>13.0</v>
      </c>
    </row>
    <row r="4295" ht="14.25" hidden="1" customHeight="1">
      <c r="B4295" s="7" t="s">
        <v>21</v>
      </c>
      <c r="C4295" s="7" t="s">
        <v>7</v>
      </c>
      <c r="D4295" s="7" t="s">
        <v>9</v>
      </c>
      <c r="E4295" s="7" t="s">
        <v>8</v>
      </c>
      <c r="F4295" s="8">
        <v>26.0</v>
      </c>
      <c r="G4295" s="9">
        <v>13.0</v>
      </c>
    </row>
    <row r="4296" ht="14.25" hidden="1" customHeight="1">
      <c r="B4296" s="7" t="s">
        <v>21</v>
      </c>
      <c r="C4296" s="7" t="s">
        <v>29</v>
      </c>
      <c r="D4296" s="7" t="s">
        <v>25</v>
      </c>
      <c r="E4296" s="7" t="s">
        <v>10</v>
      </c>
      <c r="F4296" s="8">
        <v>25.0</v>
      </c>
      <c r="G4296" s="9">
        <v>25.0</v>
      </c>
    </row>
    <row r="4297" ht="14.25" hidden="1" customHeight="1">
      <c r="B4297" s="7" t="s">
        <v>21</v>
      </c>
      <c r="C4297" s="7" t="s">
        <v>7</v>
      </c>
      <c r="D4297" s="7" t="s">
        <v>25</v>
      </c>
      <c r="E4297" s="7" t="s">
        <v>28</v>
      </c>
      <c r="F4297" s="8">
        <v>24.0</v>
      </c>
      <c r="G4297" s="9">
        <v>12.0</v>
      </c>
    </row>
    <row r="4298" ht="14.25" hidden="1" customHeight="1">
      <c r="B4298" s="7" t="s">
        <v>21</v>
      </c>
      <c r="C4298" s="7" t="s">
        <v>29</v>
      </c>
      <c r="D4298" s="7" t="s">
        <v>25</v>
      </c>
      <c r="E4298" s="7" t="s">
        <v>8</v>
      </c>
      <c r="F4298" s="8">
        <v>24.0</v>
      </c>
      <c r="G4298" s="9">
        <v>24.0</v>
      </c>
    </row>
    <row r="4299" ht="14.25" hidden="1" customHeight="1">
      <c r="B4299" s="7" t="s">
        <v>21</v>
      </c>
      <c r="C4299" s="7" t="s">
        <v>29</v>
      </c>
      <c r="D4299" s="7" t="s">
        <v>25</v>
      </c>
      <c r="E4299" s="7" t="s">
        <v>8</v>
      </c>
      <c r="F4299" s="8">
        <v>24.0</v>
      </c>
      <c r="G4299" s="9">
        <v>24.0</v>
      </c>
    </row>
    <row r="4300" ht="14.25" hidden="1" customHeight="1">
      <c r="B4300" s="7" t="s">
        <v>21</v>
      </c>
      <c r="C4300" s="7" t="s">
        <v>29</v>
      </c>
      <c r="D4300" s="7" t="s">
        <v>8</v>
      </c>
      <c r="E4300" s="7" t="s">
        <v>9</v>
      </c>
      <c r="F4300" s="8">
        <v>23.0</v>
      </c>
      <c r="G4300" s="9">
        <v>23.0</v>
      </c>
    </row>
    <row r="4301" ht="14.25" hidden="1" customHeight="1">
      <c r="B4301" s="7" t="s">
        <v>21</v>
      </c>
      <c r="C4301" s="7" t="s">
        <v>29</v>
      </c>
      <c r="D4301" s="7" t="s">
        <v>34</v>
      </c>
      <c r="E4301" s="7" t="s">
        <v>28</v>
      </c>
      <c r="F4301" s="8">
        <v>21.0</v>
      </c>
      <c r="G4301" s="9">
        <v>21.0</v>
      </c>
    </row>
    <row r="4302" ht="14.25" hidden="1" customHeight="1">
      <c r="B4302" s="7" t="s">
        <v>21</v>
      </c>
      <c r="C4302" s="7" t="s">
        <v>29</v>
      </c>
      <c r="D4302" s="7" t="s">
        <v>32</v>
      </c>
      <c r="E4302" s="7" t="s">
        <v>31</v>
      </c>
      <c r="F4302" s="8">
        <v>21.0</v>
      </c>
      <c r="G4302" s="9">
        <v>21.0</v>
      </c>
    </row>
    <row r="4303" ht="14.25" hidden="1" customHeight="1">
      <c r="B4303" s="7" t="s">
        <v>21</v>
      </c>
      <c r="C4303" s="7" t="s">
        <v>7</v>
      </c>
      <c r="D4303" s="7" t="s">
        <v>34</v>
      </c>
      <c r="E4303" s="7" t="s">
        <v>8</v>
      </c>
      <c r="F4303" s="8">
        <v>20.0</v>
      </c>
      <c r="G4303" s="9">
        <v>10.0</v>
      </c>
    </row>
    <row r="4304" ht="14.25" hidden="1" customHeight="1">
      <c r="B4304" s="7" t="s">
        <v>21</v>
      </c>
      <c r="C4304" s="7" t="s">
        <v>29</v>
      </c>
      <c r="D4304" s="7" t="s">
        <v>10</v>
      </c>
      <c r="E4304" s="7" t="s">
        <v>9</v>
      </c>
      <c r="F4304" s="8">
        <v>20.0</v>
      </c>
      <c r="G4304" s="9">
        <v>20.0</v>
      </c>
    </row>
    <row r="4305" ht="14.25" hidden="1" customHeight="1">
      <c r="B4305" s="7" t="s">
        <v>21</v>
      </c>
      <c r="C4305" s="7" t="s">
        <v>7</v>
      </c>
      <c r="D4305" s="7" t="s">
        <v>10</v>
      </c>
      <c r="E4305" s="7" t="s">
        <v>9</v>
      </c>
      <c r="F4305" s="8">
        <v>20.0</v>
      </c>
      <c r="G4305" s="9">
        <v>10.0</v>
      </c>
    </row>
    <row r="4306" ht="14.25" hidden="1" customHeight="1">
      <c r="B4306" s="7" t="s">
        <v>21</v>
      </c>
      <c r="C4306" s="7" t="s">
        <v>29</v>
      </c>
      <c r="D4306" s="7" t="s">
        <v>32</v>
      </c>
      <c r="E4306" s="7" t="s">
        <v>35</v>
      </c>
      <c r="F4306" s="8">
        <v>20.0</v>
      </c>
      <c r="G4306" s="9">
        <v>20.0</v>
      </c>
    </row>
    <row r="4307" ht="14.25" hidden="1" customHeight="1">
      <c r="B4307" s="7" t="s">
        <v>21</v>
      </c>
      <c r="C4307" s="7" t="s">
        <v>29</v>
      </c>
      <c r="D4307" s="7" t="s">
        <v>31</v>
      </c>
      <c r="E4307" s="7" t="s">
        <v>35</v>
      </c>
      <c r="F4307" s="8">
        <v>20.0</v>
      </c>
      <c r="G4307" s="9">
        <v>20.0</v>
      </c>
    </row>
    <row r="4308" ht="14.25" hidden="1" customHeight="1">
      <c r="B4308" s="7" t="s">
        <v>21</v>
      </c>
      <c r="C4308" s="7" t="s">
        <v>30</v>
      </c>
      <c r="D4308" s="7" t="s">
        <v>31</v>
      </c>
      <c r="E4308" s="7" t="s">
        <v>10</v>
      </c>
      <c r="F4308" s="8">
        <v>20.0</v>
      </c>
      <c r="G4308" s="9">
        <v>10.0</v>
      </c>
    </row>
    <row r="4309" ht="14.25" hidden="1" customHeight="1">
      <c r="B4309" s="7" t="s">
        <v>21</v>
      </c>
      <c r="C4309" s="7" t="s">
        <v>29</v>
      </c>
      <c r="D4309" s="7" t="s">
        <v>11</v>
      </c>
      <c r="E4309" s="7" t="s">
        <v>25</v>
      </c>
      <c r="F4309" s="8">
        <v>19.0</v>
      </c>
      <c r="G4309" s="9">
        <v>19.0</v>
      </c>
    </row>
    <row r="4310" ht="14.25" hidden="1" customHeight="1">
      <c r="B4310" s="7" t="s">
        <v>21</v>
      </c>
      <c r="C4310" s="7" t="s">
        <v>29</v>
      </c>
      <c r="D4310" s="7" t="s">
        <v>24</v>
      </c>
      <c r="E4310" s="7" t="s">
        <v>31</v>
      </c>
      <c r="F4310" s="8">
        <v>19.0</v>
      </c>
      <c r="G4310" s="9">
        <v>19.0</v>
      </c>
    </row>
    <row r="4311" ht="14.25" hidden="1" customHeight="1">
      <c r="B4311" s="7" t="s">
        <v>21</v>
      </c>
      <c r="C4311" s="7" t="s">
        <v>29</v>
      </c>
      <c r="D4311" s="7" t="s">
        <v>10</v>
      </c>
      <c r="E4311" s="7" t="s">
        <v>33</v>
      </c>
      <c r="F4311" s="8">
        <v>19.0</v>
      </c>
      <c r="G4311" s="9">
        <v>19.0</v>
      </c>
    </row>
    <row r="4312" ht="14.25" hidden="1" customHeight="1">
      <c r="B4312" s="7" t="s">
        <v>21</v>
      </c>
      <c r="C4312" s="7" t="s">
        <v>7</v>
      </c>
      <c r="D4312" s="7" t="s">
        <v>25</v>
      </c>
      <c r="E4312" s="7" t="s">
        <v>33</v>
      </c>
      <c r="F4312" s="8">
        <v>18.0</v>
      </c>
      <c r="G4312" s="9">
        <v>9.0</v>
      </c>
    </row>
    <row r="4313" ht="14.25" hidden="1" customHeight="1">
      <c r="B4313" s="7" t="s">
        <v>21</v>
      </c>
      <c r="C4313" s="7" t="s">
        <v>30</v>
      </c>
      <c r="D4313" s="7" t="s">
        <v>28</v>
      </c>
      <c r="E4313" s="7" t="s">
        <v>31</v>
      </c>
      <c r="F4313" s="8">
        <v>18.0</v>
      </c>
      <c r="G4313" s="9">
        <v>9.0</v>
      </c>
    </row>
    <row r="4314" ht="14.25" hidden="1" customHeight="1">
      <c r="B4314" s="7" t="s">
        <v>21</v>
      </c>
      <c r="C4314" s="7" t="s">
        <v>7</v>
      </c>
      <c r="D4314" s="7" t="s">
        <v>11</v>
      </c>
      <c r="E4314" s="7" t="s">
        <v>10</v>
      </c>
      <c r="F4314" s="8">
        <v>18.0</v>
      </c>
      <c r="G4314" s="9">
        <v>9.0</v>
      </c>
    </row>
    <row r="4315" ht="14.25" hidden="1" customHeight="1">
      <c r="B4315" s="7" t="s">
        <v>21</v>
      </c>
      <c r="C4315" s="7" t="s">
        <v>7</v>
      </c>
      <c r="D4315" s="7" t="s">
        <v>34</v>
      </c>
      <c r="E4315" s="7" t="s">
        <v>28</v>
      </c>
      <c r="F4315" s="8">
        <v>18.0</v>
      </c>
      <c r="G4315" s="9">
        <v>9.0</v>
      </c>
    </row>
    <row r="4316" ht="14.25" hidden="1" customHeight="1">
      <c r="B4316" s="7" t="s">
        <v>21</v>
      </c>
      <c r="C4316" s="7" t="s">
        <v>7</v>
      </c>
      <c r="D4316" s="7" t="s">
        <v>32</v>
      </c>
      <c r="E4316" s="7" t="s">
        <v>9</v>
      </c>
      <c r="F4316" s="8">
        <v>18.0</v>
      </c>
      <c r="G4316" s="9">
        <v>9.0</v>
      </c>
    </row>
    <row r="4317" ht="14.25" hidden="1" customHeight="1">
      <c r="B4317" s="7" t="s">
        <v>21</v>
      </c>
      <c r="C4317" s="7" t="s">
        <v>7</v>
      </c>
      <c r="D4317" s="7" t="s">
        <v>31</v>
      </c>
      <c r="E4317" s="7" t="s">
        <v>9</v>
      </c>
      <c r="F4317" s="8">
        <v>18.0</v>
      </c>
      <c r="G4317" s="9">
        <v>9.0</v>
      </c>
    </row>
    <row r="4318" ht="14.25" hidden="1" customHeight="1">
      <c r="B4318" s="7" t="s">
        <v>21</v>
      </c>
      <c r="C4318" s="7" t="s">
        <v>7</v>
      </c>
      <c r="D4318" s="7" t="s">
        <v>8</v>
      </c>
      <c r="E4318" s="7" t="s">
        <v>25</v>
      </c>
      <c r="F4318" s="8">
        <v>18.0</v>
      </c>
      <c r="G4318" s="9">
        <v>9.0</v>
      </c>
    </row>
    <row r="4319" ht="14.25" hidden="1" customHeight="1">
      <c r="B4319" s="7" t="s">
        <v>21</v>
      </c>
      <c r="C4319" s="7" t="s">
        <v>29</v>
      </c>
      <c r="D4319" s="7" t="s">
        <v>10</v>
      </c>
      <c r="E4319" s="7" t="s">
        <v>9</v>
      </c>
      <c r="F4319" s="8">
        <v>17.0</v>
      </c>
      <c r="G4319" s="9">
        <v>17.0</v>
      </c>
    </row>
    <row r="4320" ht="14.25" hidden="1" customHeight="1">
      <c r="B4320" s="7" t="s">
        <v>21</v>
      </c>
      <c r="C4320" s="7" t="s">
        <v>7</v>
      </c>
      <c r="D4320" s="7" t="s">
        <v>33</v>
      </c>
      <c r="E4320" s="7" t="s">
        <v>11</v>
      </c>
      <c r="F4320" s="8">
        <v>16.0</v>
      </c>
      <c r="G4320" s="9">
        <v>8.0</v>
      </c>
    </row>
    <row r="4321" ht="14.25" hidden="1" customHeight="1">
      <c r="B4321" s="7" t="s">
        <v>21</v>
      </c>
      <c r="C4321" s="7" t="s">
        <v>7</v>
      </c>
      <c r="D4321" s="7" t="s">
        <v>33</v>
      </c>
      <c r="E4321" s="7" t="s">
        <v>35</v>
      </c>
      <c r="F4321" s="8">
        <v>16.0</v>
      </c>
      <c r="G4321" s="9">
        <v>8.0</v>
      </c>
    </row>
    <row r="4322" ht="14.25" hidden="1" customHeight="1">
      <c r="B4322" s="7" t="s">
        <v>21</v>
      </c>
      <c r="C4322" s="7" t="s">
        <v>30</v>
      </c>
      <c r="D4322" s="7" t="s">
        <v>28</v>
      </c>
      <c r="E4322" s="7" t="s">
        <v>10</v>
      </c>
      <c r="F4322" s="8">
        <v>16.0</v>
      </c>
      <c r="G4322" s="9">
        <v>8.0</v>
      </c>
    </row>
    <row r="4323" ht="14.25" hidden="1" customHeight="1">
      <c r="B4323" s="7" t="s">
        <v>21</v>
      </c>
      <c r="C4323" s="7" t="s">
        <v>29</v>
      </c>
      <c r="D4323" s="7" t="s">
        <v>9</v>
      </c>
      <c r="E4323" s="7" t="s">
        <v>8</v>
      </c>
      <c r="F4323" s="8">
        <v>16.0</v>
      </c>
      <c r="G4323" s="9">
        <v>16.0</v>
      </c>
    </row>
    <row r="4324" ht="14.25" hidden="1" customHeight="1">
      <c r="B4324" s="7" t="s">
        <v>21</v>
      </c>
      <c r="C4324" s="7" t="s">
        <v>7</v>
      </c>
      <c r="D4324" s="7" t="s">
        <v>24</v>
      </c>
      <c r="E4324" s="7" t="s">
        <v>31</v>
      </c>
      <c r="F4324" s="8">
        <v>16.0</v>
      </c>
      <c r="G4324" s="9">
        <v>8.0</v>
      </c>
    </row>
    <row r="4325" ht="14.25" hidden="1" customHeight="1">
      <c r="B4325" s="7" t="s">
        <v>21</v>
      </c>
      <c r="C4325" s="7" t="s">
        <v>29</v>
      </c>
      <c r="D4325" s="7" t="s">
        <v>8</v>
      </c>
      <c r="E4325" s="7" t="s">
        <v>9</v>
      </c>
      <c r="F4325" s="8">
        <v>16.0</v>
      </c>
      <c r="G4325" s="9">
        <v>16.0</v>
      </c>
    </row>
    <row r="4326" ht="14.25" hidden="1" customHeight="1">
      <c r="B4326" s="7" t="s">
        <v>21</v>
      </c>
      <c r="C4326" s="7" t="s">
        <v>7</v>
      </c>
      <c r="D4326" s="7" t="s">
        <v>8</v>
      </c>
      <c r="E4326" s="7" t="s">
        <v>10</v>
      </c>
      <c r="F4326" s="8">
        <v>16.0</v>
      </c>
      <c r="G4326" s="9">
        <v>8.0</v>
      </c>
    </row>
    <row r="4327" ht="14.25" hidden="1" customHeight="1">
      <c r="B4327" s="7" t="s">
        <v>21</v>
      </c>
      <c r="C4327" s="7" t="s">
        <v>29</v>
      </c>
      <c r="D4327" s="7" t="s">
        <v>25</v>
      </c>
      <c r="E4327" s="7" t="s">
        <v>33</v>
      </c>
      <c r="F4327" s="8">
        <v>15.0</v>
      </c>
      <c r="G4327" s="9">
        <v>15.0</v>
      </c>
    </row>
    <row r="4328" ht="14.25" hidden="1" customHeight="1">
      <c r="B4328" s="7" t="s">
        <v>21</v>
      </c>
      <c r="C4328" s="7" t="s">
        <v>29</v>
      </c>
      <c r="D4328" s="7" t="s">
        <v>33</v>
      </c>
      <c r="E4328" s="7" t="s">
        <v>31</v>
      </c>
      <c r="F4328" s="8">
        <v>15.0</v>
      </c>
      <c r="G4328" s="9">
        <v>15.0</v>
      </c>
    </row>
    <row r="4329" ht="14.25" hidden="1" customHeight="1">
      <c r="B4329" s="7" t="s">
        <v>21</v>
      </c>
      <c r="C4329" s="7" t="s">
        <v>29</v>
      </c>
      <c r="D4329" s="7" t="s">
        <v>11</v>
      </c>
      <c r="E4329" s="7" t="s">
        <v>10</v>
      </c>
      <c r="F4329" s="8">
        <v>15.0</v>
      </c>
      <c r="G4329" s="9">
        <v>15.0</v>
      </c>
    </row>
    <row r="4330" ht="14.25" hidden="1" customHeight="1">
      <c r="B4330" s="7" t="s">
        <v>21</v>
      </c>
      <c r="C4330" s="7" t="s">
        <v>29</v>
      </c>
      <c r="D4330" s="7" t="s">
        <v>9</v>
      </c>
      <c r="E4330" s="7" t="s">
        <v>8</v>
      </c>
      <c r="F4330" s="8">
        <v>15.0</v>
      </c>
      <c r="G4330" s="9">
        <v>15.0</v>
      </c>
    </row>
    <row r="4331" ht="14.25" hidden="1" customHeight="1">
      <c r="B4331" s="7" t="s">
        <v>21</v>
      </c>
      <c r="C4331" s="7" t="s">
        <v>29</v>
      </c>
      <c r="D4331" s="7" t="s">
        <v>25</v>
      </c>
      <c r="E4331" s="7" t="s">
        <v>28</v>
      </c>
      <c r="F4331" s="8">
        <v>14.0</v>
      </c>
      <c r="G4331" s="9">
        <v>14.0</v>
      </c>
    </row>
    <row r="4332" ht="14.25" hidden="1" customHeight="1">
      <c r="B4332" s="7" t="s">
        <v>21</v>
      </c>
      <c r="C4332" s="7" t="s">
        <v>7</v>
      </c>
      <c r="D4332" s="7" t="s">
        <v>25</v>
      </c>
      <c r="E4332" s="7" t="s">
        <v>8</v>
      </c>
      <c r="F4332" s="8">
        <v>14.0</v>
      </c>
      <c r="G4332" s="9">
        <v>7.0</v>
      </c>
    </row>
    <row r="4333" ht="14.25" hidden="1" customHeight="1">
      <c r="B4333" s="7" t="s">
        <v>21</v>
      </c>
      <c r="C4333" s="7" t="s">
        <v>7</v>
      </c>
      <c r="D4333" s="7" t="s">
        <v>33</v>
      </c>
      <c r="E4333" s="7" t="s">
        <v>28</v>
      </c>
      <c r="F4333" s="8">
        <v>14.0</v>
      </c>
      <c r="G4333" s="9">
        <v>7.0</v>
      </c>
    </row>
    <row r="4334" ht="14.25" hidden="1" customHeight="1">
      <c r="B4334" s="7" t="s">
        <v>21</v>
      </c>
      <c r="C4334" s="7" t="s">
        <v>29</v>
      </c>
      <c r="D4334" s="7" t="s">
        <v>9</v>
      </c>
      <c r="E4334" s="7" t="s">
        <v>8</v>
      </c>
      <c r="F4334" s="8">
        <v>14.0</v>
      </c>
      <c r="G4334" s="9">
        <v>14.0</v>
      </c>
    </row>
    <row r="4335" ht="14.25" hidden="1" customHeight="1">
      <c r="B4335" s="7" t="s">
        <v>21</v>
      </c>
      <c r="C4335" s="7" t="s">
        <v>7</v>
      </c>
      <c r="D4335" s="7" t="s">
        <v>10</v>
      </c>
      <c r="E4335" s="7" t="s">
        <v>28</v>
      </c>
      <c r="F4335" s="8">
        <v>14.0</v>
      </c>
      <c r="G4335" s="9">
        <v>7.0</v>
      </c>
    </row>
    <row r="4336" ht="14.25" hidden="1" customHeight="1">
      <c r="B4336" s="7" t="s">
        <v>21</v>
      </c>
      <c r="C4336" s="7" t="s">
        <v>7</v>
      </c>
      <c r="D4336" s="7" t="s">
        <v>32</v>
      </c>
      <c r="E4336" s="7" t="s">
        <v>25</v>
      </c>
      <c r="F4336" s="8">
        <v>14.0</v>
      </c>
      <c r="G4336" s="9">
        <v>7.0</v>
      </c>
    </row>
    <row r="4337" ht="14.25" hidden="1" customHeight="1">
      <c r="B4337" s="7" t="s">
        <v>21</v>
      </c>
      <c r="C4337" s="7" t="s">
        <v>30</v>
      </c>
      <c r="D4337" s="7" t="s">
        <v>32</v>
      </c>
      <c r="E4337" s="7" t="s">
        <v>28</v>
      </c>
      <c r="F4337" s="8">
        <v>14.0</v>
      </c>
      <c r="G4337" s="9">
        <v>7.0</v>
      </c>
    </row>
    <row r="4338" ht="14.25" hidden="1" customHeight="1">
      <c r="B4338" s="7" t="s">
        <v>21</v>
      </c>
      <c r="C4338" s="7" t="s">
        <v>29</v>
      </c>
      <c r="D4338" s="7" t="s">
        <v>32</v>
      </c>
      <c r="E4338" s="7" t="s">
        <v>31</v>
      </c>
      <c r="F4338" s="8">
        <v>14.0</v>
      </c>
      <c r="G4338" s="9">
        <v>14.0</v>
      </c>
    </row>
    <row r="4339" ht="14.25" hidden="1" customHeight="1">
      <c r="B4339" s="7" t="s">
        <v>21</v>
      </c>
      <c r="C4339" s="7" t="s">
        <v>7</v>
      </c>
      <c r="D4339" s="7" t="s">
        <v>31</v>
      </c>
      <c r="E4339" s="7" t="s">
        <v>31</v>
      </c>
      <c r="F4339" s="8">
        <v>14.0</v>
      </c>
      <c r="G4339" s="9">
        <v>7.0</v>
      </c>
    </row>
    <row r="4340" ht="14.25" hidden="1" customHeight="1">
      <c r="B4340" s="7" t="s">
        <v>21</v>
      </c>
      <c r="C4340" s="7" t="s">
        <v>7</v>
      </c>
      <c r="D4340" s="7" t="s">
        <v>8</v>
      </c>
      <c r="E4340" s="7" t="s">
        <v>28</v>
      </c>
      <c r="F4340" s="8">
        <v>14.0</v>
      </c>
      <c r="G4340" s="9">
        <v>7.0</v>
      </c>
    </row>
    <row r="4341" ht="14.25" hidden="1" customHeight="1">
      <c r="B4341" s="7" t="s">
        <v>21</v>
      </c>
      <c r="C4341" s="7" t="s">
        <v>29</v>
      </c>
      <c r="D4341" s="7" t="s">
        <v>9</v>
      </c>
      <c r="E4341" s="7" t="s">
        <v>8</v>
      </c>
      <c r="F4341" s="8">
        <v>13.0</v>
      </c>
      <c r="G4341" s="9">
        <v>13.0</v>
      </c>
    </row>
    <row r="4342" ht="14.25" hidden="1" customHeight="1">
      <c r="B4342" s="7" t="s">
        <v>21</v>
      </c>
      <c r="C4342" s="7" t="s">
        <v>29</v>
      </c>
      <c r="D4342" s="7" t="s">
        <v>31</v>
      </c>
      <c r="E4342" s="7" t="s">
        <v>25</v>
      </c>
      <c r="F4342" s="8">
        <v>13.0</v>
      </c>
      <c r="G4342" s="9">
        <v>13.0</v>
      </c>
    </row>
    <row r="4343" ht="14.25" hidden="1" customHeight="1">
      <c r="B4343" s="7" t="s">
        <v>21</v>
      </c>
      <c r="C4343" s="7" t="s">
        <v>29</v>
      </c>
      <c r="D4343" s="7" t="s">
        <v>8</v>
      </c>
      <c r="E4343" s="7" t="s">
        <v>25</v>
      </c>
      <c r="F4343" s="8">
        <v>13.0</v>
      </c>
      <c r="G4343" s="9">
        <v>13.0</v>
      </c>
    </row>
    <row r="4344" ht="14.25" hidden="1" customHeight="1">
      <c r="B4344" s="7" t="s">
        <v>21</v>
      </c>
      <c r="C4344" s="7" t="s">
        <v>29</v>
      </c>
      <c r="D4344" s="7" t="s">
        <v>28</v>
      </c>
      <c r="E4344" s="7" t="s">
        <v>8</v>
      </c>
      <c r="F4344" s="8">
        <v>12.0</v>
      </c>
      <c r="G4344" s="9">
        <v>12.0</v>
      </c>
    </row>
    <row r="4345" ht="14.25" hidden="1" customHeight="1">
      <c r="B4345" s="7" t="s">
        <v>21</v>
      </c>
      <c r="C4345" s="7" t="s">
        <v>29</v>
      </c>
      <c r="D4345" s="7" t="s">
        <v>9</v>
      </c>
      <c r="E4345" s="7" t="s">
        <v>28</v>
      </c>
      <c r="F4345" s="8">
        <v>12.0</v>
      </c>
      <c r="G4345" s="9">
        <v>12.0</v>
      </c>
    </row>
    <row r="4346" ht="14.25" hidden="1" customHeight="1">
      <c r="B4346" s="7" t="s">
        <v>21</v>
      </c>
      <c r="C4346" s="7" t="s">
        <v>29</v>
      </c>
      <c r="D4346" s="7" t="s">
        <v>9</v>
      </c>
      <c r="E4346" s="7" t="s">
        <v>31</v>
      </c>
      <c r="F4346" s="8">
        <v>12.0</v>
      </c>
      <c r="G4346" s="9">
        <v>12.0</v>
      </c>
    </row>
    <row r="4347" ht="14.25" hidden="1" customHeight="1">
      <c r="B4347" s="7" t="s">
        <v>21</v>
      </c>
      <c r="C4347" s="7" t="s">
        <v>7</v>
      </c>
      <c r="D4347" s="7" t="s">
        <v>10</v>
      </c>
      <c r="E4347" s="7" t="s">
        <v>33</v>
      </c>
      <c r="F4347" s="8">
        <v>12.0</v>
      </c>
      <c r="G4347" s="9">
        <v>6.0</v>
      </c>
    </row>
    <row r="4348" ht="14.25" hidden="1" customHeight="1">
      <c r="B4348" s="7" t="s">
        <v>21</v>
      </c>
      <c r="C4348" s="7" t="s">
        <v>7</v>
      </c>
      <c r="D4348" s="7" t="s">
        <v>10</v>
      </c>
      <c r="E4348" s="7" t="s">
        <v>31</v>
      </c>
      <c r="F4348" s="8">
        <v>12.0</v>
      </c>
      <c r="G4348" s="9">
        <v>6.0</v>
      </c>
    </row>
    <row r="4349" ht="14.25" hidden="1" customHeight="1">
      <c r="B4349" s="7" t="s">
        <v>21</v>
      </c>
      <c r="C4349" s="7" t="s">
        <v>29</v>
      </c>
      <c r="D4349" s="7" t="s">
        <v>31</v>
      </c>
      <c r="E4349" s="7" t="s">
        <v>9</v>
      </c>
      <c r="F4349" s="8">
        <v>12.0</v>
      </c>
      <c r="G4349" s="9">
        <v>12.0</v>
      </c>
    </row>
    <row r="4350" ht="14.25" hidden="1" customHeight="1">
      <c r="B4350" s="7" t="s">
        <v>21</v>
      </c>
      <c r="C4350" s="7" t="s">
        <v>7</v>
      </c>
      <c r="D4350" s="7" t="s">
        <v>31</v>
      </c>
      <c r="E4350" s="7" t="s">
        <v>10</v>
      </c>
      <c r="F4350" s="8">
        <v>12.0</v>
      </c>
      <c r="G4350" s="9">
        <v>6.0</v>
      </c>
    </row>
    <row r="4351" ht="14.25" hidden="1" customHeight="1">
      <c r="B4351" s="7" t="s">
        <v>21</v>
      </c>
      <c r="C4351" s="7" t="s">
        <v>7</v>
      </c>
      <c r="D4351" s="7" t="s">
        <v>8</v>
      </c>
      <c r="E4351" s="7" t="s">
        <v>28</v>
      </c>
      <c r="F4351" s="8">
        <v>12.0</v>
      </c>
      <c r="G4351" s="9">
        <v>6.0</v>
      </c>
    </row>
    <row r="4352" ht="14.25" hidden="1" customHeight="1">
      <c r="B4352" s="7" t="s">
        <v>21</v>
      </c>
      <c r="C4352" s="7" t="s">
        <v>29</v>
      </c>
      <c r="D4352" s="7" t="s">
        <v>9</v>
      </c>
      <c r="E4352" s="7" t="s">
        <v>32</v>
      </c>
      <c r="F4352" s="8">
        <v>11.0</v>
      </c>
      <c r="G4352" s="9">
        <v>11.0</v>
      </c>
    </row>
    <row r="4353" ht="14.25" customHeight="1">
      <c r="B4353" s="7" t="s">
        <v>21</v>
      </c>
      <c r="C4353" s="7" t="s">
        <v>29</v>
      </c>
      <c r="D4353" s="7" t="s">
        <v>8</v>
      </c>
      <c r="E4353" s="7" t="s">
        <v>31</v>
      </c>
      <c r="F4353" s="8">
        <v>11.0</v>
      </c>
      <c r="G4353" s="9">
        <v>11.0</v>
      </c>
    </row>
    <row r="4354" ht="14.25" hidden="1" customHeight="1">
      <c r="B4354" s="7" t="s">
        <v>21</v>
      </c>
      <c r="C4354" s="7" t="s">
        <v>29</v>
      </c>
      <c r="D4354" s="7" t="s">
        <v>33</v>
      </c>
      <c r="E4354" s="7" t="s">
        <v>28</v>
      </c>
      <c r="F4354" s="8">
        <v>10.0</v>
      </c>
      <c r="G4354" s="9">
        <v>10.0</v>
      </c>
    </row>
    <row r="4355" ht="14.25" hidden="1" customHeight="1">
      <c r="B4355" s="7" t="s">
        <v>21</v>
      </c>
      <c r="C4355" s="7" t="s">
        <v>29</v>
      </c>
      <c r="D4355" s="7" t="s">
        <v>11</v>
      </c>
      <c r="E4355" s="7" t="s">
        <v>9</v>
      </c>
      <c r="F4355" s="8">
        <v>10.0</v>
      </c>
      <c r="G4355" s="9">
        <v>10.0</v>
      </c>
    </row>
    <row r="4356" ht="14.25" hidden="1" customHeight="1">
      <c r="B4356" s="7" t="s">
        <v>21</v>
      </c>
      <c r="C4356" s="7" t="s">
        <v>7</v>
      </c>
      <c r="D4356" s="7" t="s">
        <v>10</v>
      </c>
      <c r="E4356" s="7" t="s">
        <v>33</v>
      </c>
      <c r="F4356" s="8">
        <v>10.0</v>
      </c>
      <c r="G4356" s="9">
        <v>5.0</v>
      </c>
    </row>
    <row r="4357" ht="14.25" hidden="1" customHeight="1">
      <c r="B4357" s="7" t="s">
        <v>21</v>
      </c>
      <c r="C4357" s="7" t="s">
        <v>30</v>
      </c>
      <c r="D4357" s="7" t="s">
        <v>10</v>
      </c>
      <c r="E4357" s="7" t="s">
        <v>9</v>
      </c>
      <c r="F4357" s="8">
        <v>10.0</v>
      </c>
      <c r="G4357" s="9">
        <v>5.0</v>
      </c>
    </row>
    <row r="4358" ht="14.25" hidden="1" customHeight="1">
      <c r="B4358" s="7" t="s">
        <v>21</v>
      </c>
      <c r="C4358" s="7" t="s">
        <v>7</v>
      </c>
      <c r="D4358" s="7" t="s">
        <v>10</v>
      </c>
      <c r="E4358" s="7" t="s">
        <v>24</v>
      </c>
      <c r="F4358" s="8">
        <v>10.0</v>
      </c>
      <c r="G4358" s="9">
        <v>5.0</v>
      </c>
    </row>
    <row r="4359" ht="14.25" hidden="1" customHeight="1">
      <c r="B4359" s="7" t="s">
        <v>21</v>
      </c>
      <c r="C4359" s="7" t="s">
        <v>7</v>
      </c>
      <c r="D4359" s="7" t="s">
        <v>10</v>
      </c>
      <c r="E4359" s="7" t="s">
        <v>31</v>
      </c>
      <c r="F4359" s="8">
        <v>10.0</v>
      </c>
      <c r="G4359" s="9">
        <v>5.0</v>
      </c>
    </row>
    <row r="4360" ht="14.25" hidden="1" customHeight="1">
      <c r="B4360" s="7" t="s">
        <v>21</v>
      </c>
      <c r="C4360" s="7" t="s">
        <v>29</v>
      </c>
      <c r="D4360" s="7" t="s">
        <v>10</v>
      </c>
      <c r="E4360" s="7" t="s">
        <v>8</v>
      </c>
      <c r="F4360" s="8">
        <v>10.0</v>
      </c>
      <c r="G4360" s="9">
        <v>10.0</v>
      </c>
    </row>
    <row r="4361" ht="14.25" hidden="1" customHeight="1">
      <c r="B4361" s="7" t="s">
        <v>21</v>
      </c>
      <c r="C4361" s="7" t="s">
        <v>7</v>
      </c>
      <c r="D4361" s="7" t="s">
        <v>32</v>
      </c>
      <c r="E4361" s="7" t="s">
        <v>28</v>
      </c>
      <c r="F4361" s="8">
        <v>10.0</v>
      </c>
      <c r="G4361" s="9">
        <v>5.0</v>
      </c>
    </row>
    <row r="4362" ht="14.25" hidden="1" customHeight="1">
      <c r="B4362" s="7" t="s">
        <v>21</v>
      </c>
      <c r="C4362" s="7" t="s">
        <v>30</v>
      </c>
      <c r="D4362" s="7" t="s">
        <v>32</v>
      </c>
      <c r="E4362" s="7" t="s">
        <v>9</v>
      </c>
      <c r="F4362" s="8">
        <v>10.0</v>
      </c>
      <c r="G4362" s="9">
        <v>5.0</v>
      </c>
    </row>
    <row r="4363" ht="14.25" hidden="1" customHeight="1">
      <c r="B4363" s="7" t="s">
        <v>21</v>
      </c>
      <c r="C4363" s="7" t="s">
        <v>7</v>
      </c>
      <c r="D4363" s="7" t="s">
        <v>31</v>
      </c>
      <c r="E4363" s="7" t="s">
        <v>33</v>
      </c>
      <c r="F4363" s="8">
        <v>10.0</v>
      </c>
      <c r="G4363" s="9">
        <v>5.0</v>
      </c>
    </row>
    <row r="4364" ht="14.25" hidden="1" customHeight="1">
      <c r="B4364" s="7" t="s">
        <v>21</v>
      </c>
      <c r="C4364" s="7" t="s">
        <v>7</v>
      </c>
      <c r="D4364" s="7" t="s">
        <v>31</v>
      </c>
      <c r="E4364" s="7" t="s">
        <v>28</v>
      </c>
      <c r="F4364" s="8">
        <v>10.0</v>
      </c>
      <c r="G4364" s="9">
        <v>5.0</v>
      </c>
    </row>
    <row r="4365" ht="14.25" hidden="1" customHeight="1">
      <c r="B4365" s="7" t="s">
        <v>21</v>
      </c>
      <c r="C4365" s="7" t="s">
        <v>29</v>
      </c>
      <c r="D4365" s="7" t="s">
        <v>31</v>
      </c>
      <c r="E4365" s="7" t="s">
        <v>10</v>
      </c>
      <c r="F4365" s="8">
        <v>10.0</v>
      </c>
      <c r="G4365" s="9">
        <v>10.0</v>
      </c>
    </row>
    <row r="4366" ht="14.25" hidden="1" customHeight="1">
      <c r="B4366" s="7" t="s">
        <v>21</v>
      </c>
      <c r="C4366" s="7" t="s">
        <v>29</v>
      </c>
      <c r="D4366" s="7" t="s">
        <v>31</v>
      </c>
      <c r="E4366" s="7" t="s">
        <v>31</v>
      </c>
      <c r="F4366" s="8">
        <v>10.0</v>
      </c>
      <c r="G4366" s="9">
        <v>10.0</v>
      </c>
    </row>
    <row r="4367" ht="14.25" hidden="1" customHeight="1">
      <c r="B4367" s="7" t="s">
        <v>21</v>
      </c>
      <c r="C4367" s="7" t="s">
        <v>7</v>
      </c>
      <c r="D4367" s="7" t="s">
        <v>8</v>
      </c>
      <c r="E4367" s="7" t="s">
        <v>33</v>
      </c>
      <c r="F4367" s="8">
        <v>10.0</v>
      </c>
      <c r="G4367" s="9">
        <v>5.0</v>
      </c>
    </row>
    <row r="4368" ht="14.25" hidden="1" customHeight="1">
      <c r="B4368" s="7" t="s">
        <v>21</v>
      </c>
      <c r="C4368" s="7" t="s">
        <v>7</v>
      </c>
      <c r="D4368" s="7" t="s">
        <v>8</v>
      </c>
      <c r="E4368" s="7" t="s">
        <v>9</v>
      </c>
      <c r="F4368" s="8">
        <v>10.0</v>
      </c>
      <c r="G4368" s="9">
        <v>5.0</v>
      </c>
    </row>
    <row r="4369" ht="14.25" hidden="1" customHeight="1">
      <c r="B4369" s="7" t="s">
        <v>21</v>
      </c>
      <c r="C4369" s="7" t="s">
        <v>29</v>
      </c>
      <c r="D4369" s="7" t="s">
        <v>33</v>
      </c>
      <c r="E4369" s="7" t="s">
        <v>8</v>
      </c>
      <c r="F4369" s="8">
        <v>9.0</v>
      </c>
      <c r="G4369" s="9">
        <v>9.0</v>
      </c>
    </row>
    <row r="4370" ht="14.25" hidden="1" customHeight="1">
      <c r="B4370" s="7" t="s">
        <v>21</v>
      </c>
      <c r="C4370" s="7" t="s">
        <v>29</v>
      </c>
      <c r="D4370" s="7" t="s">
        <v>10</v>
      </c>
      <c r="E4370" s="7" t="s">
        <v>24</v>
      </c>
      <c r="F4370" s="8">
        <v>9.0</v>
      </c>
      <c r="G4370" s="9">
        <v>9.0</v>
      </c>
    </row>
    <row r="4371" ht="14.25" hidden="1" customHeight="1">
      <c r="B4371" s="7" t="s">
        <v>21</v>
      </c>
      <c r="C4371" s="7" t="s">
        <v>29</v>
      </c>
      <c r="D4371" s="7" t="s">
        <v>31</v>
      </c>
      <c r="E4371" s="7" t="s">
        <v>33</v>
      </c>
      <c r="F4371" s="8">
        <v>9.0</v>
      </c>
      <c r="G4371" s="9">
        <v>9.0</v>
      </c>
    </row>
    <row r="4372" ht="14.25" hidden="1" customHeight="1">
      <c r="B4372" s="7" t="s">
        <v>21</v>
      </c>
      <c r="C4372" s="7" t="s">
        <v>36</v>
      </c>
      <c r="D4372" s="7" t="s">
        <v>31</v>
      </c>
      <c r="E4372" s="7" t="s">
        <v>24</v>
      </c>
      <c r="F4372" s="8">
        <v>9.0</v>
      </c>
      <c r="G4372" s="9">
        <v>9.0</v>
      </c>
    </row>
    <row r="4373" ht="14.25" hidden="1" customHeight="1">
      <c r="B4373" s="7" t="s">
        <v>21</v>
      </c>
      <c r="C4373" s="7" t="s">
        <v>29</v>
      </c>
      <c r="D4373" s="7" t="s">
        <v>8</v>
      </c>
      <c r="E4373" s="7" t="s">
        <v>9</v>
      </c>
      <c r="F4373" s="8">
        <v>9.0</v>
      </c>
      <c r="G4373" s="9">
        <v>9.0</v>
      </c>
    </row>
    <row r="4374" ht="14.25" hidden="1" customHeight="1">
      <c r="B4374" s="7" t="s">
        <v>21</v>
      </c>
      <c r="C4374" s="7" t="s">
        <v>29</v>
      </c>
      <c r="D4374" s="7" t="s">
        <v>25</v>
      </c>
      <c r="E4374" s="7" t="s">
        <v>10</v>
      </c>
      <c r="F4374" s="8">
        <v>8.0</v>
      </c>
      <c r="G4374" s="9">
        <v>8.0</v>
      </c>
    </row>
    <row r="4375" ht="14.25" hidden="1" customHeight="1">
      <c r="B4375" s="7" t="s">
        <v>21</v>
      </c>
      <c r="C4375" s="7" t="s">
        <v>7</v>
      </c>
      <c r="D4375" s="7" t="s">
        <v>25</v>
      </c>
      <c r="E4375" s="7" t="s">
        <v>31</v>
      </c>
      <c r="F4375" s="8">
        <v>8.0</v>
      </c>
      <c r="G4375" s="9">
        <v>4.0</v>
      </c>
    </row>
    <row r="4376" ht="14.25" hidden="1" customHeight="1">
      <c r="B4376" s="7" t="s">
        <v>21</v>
      </c>
      <c r="C4376" s="7" t="s">
        <v>30</v>
      </c>
      <c r="D4376" s="7" t="s">
        <v>34</v>
      </c>
      <c r="E4376" s="7" t="s">
        <v>33</v>
      </c>
      <c r="F4376" s="8">
        <v>8.0</v>
      </c>
      <c r="G4376" s="9">
        <v>4.0</v>
      </c>
    </row>
    <row r="4377" ht="14.25" hidden="1" customHeight="1">
      <c r="B4377" s="7" t="s">
        <v>21</v>
      </c>
      <c r="C4377" s="7" t="s">
        <v>7</v>
      </c>
      <c r="D4377" s="7" t="s">
        <v>34</v>
      </c>
      <c r="E4377" s="7" t="s">
        <v>8</v>
      </c>
      <c r="F4377" s="8">
        <v>8.0</v>
      </c>
      <c r="G4377" s="9">
        <v>4.0</v>
      </c>
    </row>
    <row r="4378" ht="14.25" hidden="1" customHeight="1">
      <c r="B4378" s="7" t="s">
        <v>21</v>
      </c>
      <c r="C4378" s="7" t="s">
        <v>7</v>
      </c>
      <c r="D4378" s="7" t="s">
        <v>24</v>
      </c>
      <c r="E4378" s="7" t="s">
        <v>31</v>
      </c>
      <c r="F4378" s="8">
        <v>8.0</v>
      </c>
      <c r="G4378" s="9">
        <v>4.0</v>
      </c>
    </row>
    <row r="4379" ht="14.25" hidden="1" customHeight="1">
      <c r="B4379" s="7" t="s">
        <v>21</v>
      </c>
      <c r="C4379" s="7" t="s">
        <v>29</v>
      </c>
      <c r="D4379" s="7" t="s">
        <v>32</v>
      </c>
      <c r="E4379" s="7" t="s">
        <v>31</v>
      </c>
      <c r="F4379" s="8">
        <v>8.0</v>
      </c>
      <c r="G4379" s="9">
        <v>8.0</v>
      </c>
    </row>
    <row r="4380" ht="14.25" hidden="1" customHeight="1">
      <c r="B4380" s="7" t="s">
        <v>21</v>
      </c>
      <c r="C4380" s="7" t="s">
        <v>29</v>
      </c>
      <c r="D4380" s="7" t="s">
        <v>32</v>
      </c>
      <c r="E4380" s="7" t="s">
        <v>8</v>
      </c>
      <c r="F4380" s="8">
        <v>8.0</v>
      </c>
      <c r="G4380" s="9">
        <v>8.0</v>
      </c>
    </row>
    <row r="4381" ht="14.25" hidden="1" customHeight="1">
      <c r="B4381" s="7" t="s">
        <v>21</v>
      </c>
      <c r="C4381" s="7" t="s">
        <v>29</v>
      </c>
      <c r="D4381" s="7" t="s">
        <v>31</v>
      </c>
      <c r="E4381" s="7" t="s">
        <v>9</v>
      </c>
      <c r="F4381" s="8">
        <v>8.0</v>
      </c>
      <c r="G4381" s="9">
        <v>8.0</v>
      </c>
    </row>
    <row r="4382" ht="14.25" hidden="1" customHeight="1">
      <c r="B4382" s="7" t="s">
        <v>21</v>
      </c>
      <c r="C4382" s="7" t="s">
        <v>7</v>
      </c>
      <c r="D4382" s="7" t="s">
        <v>8</v>
      </c>
      <c r="E4382" s="7" t="s">
        <v>9</v>
      </c>
      <c r="F4382" s="8">
        <v>8.0</v>
      </c>
      <c r="G4382" s="9">
        <v>8.0</v>
      </c>
    </row>
    <row r="4383" ht="14.25" hidden="1" customHeight="1">
      <c r="B4383" s="7" t="s">
        <v>21</v>
      </c>
      <c r="C4383" s="7" t="s">
        <v>7</v>
      </c>
      <c r="D4383" s="7" t="s">
        <v>8</v>
      </c>
      <c r="E4383" s="7" t="s">
        <v>9</v>
      </c>
      <c r="F4383" s="8">
        <v>8.0</v>
      </c>
      <c r="G4383" s="9">
        <v>4.0</v>
      </c>
    </row>
    <row r="4384" ht="14.25" hidden="1" customHeight="1">
      <c r="B4384" s="7" t="s">
        <v>21</v>
      </c>
      <c r="C4384" s="7" t="s">
        <v>7</v>
      </c>
      <c r="D4384" s="7" t="s">
        <v>8</v>
      </c>
      <c r="E4384" s="7" t="s">
        <v>10</v>
      </c>
      <c r="F4384" s="8">
        <v>8.0</v>
      </c>
      <c r="G4384" s="9">
        <v>4.0</v>
      </c>
    </row>
    <row r="4385" ht="14.25" hidden="1" customHeight="1">
      <c r="B4385" s="7" t="s">
        <v>21</v>
      </c>
      <c r="C4385" s="7" t="s">
        <v>29</v>
      </c>
      <c r="D4385" s="7" t="s">
        <v>25</v>
      </c>
      <c r="E4385" s="7" t="s">
        <v>9</v>
      </c>
      <c r="F4385" s="8">
        <v>7.0</v>
      </c>
      <c r="G4385" s="9">
        <v>7.0</v>
      </c>
    </row>
    <row r="4386" ht="14.25" hidden="1" customHeight="1">
      <c r="B4386" s="7" t="s">
        <v>21</v>
      </c>
      <c r="C4386" s="7" t="s">
        <v>29</v>
      </c>
      <c r="D4386" s="7" t="s">
        <v>33</v>
      </c>
      <c r="E4386" s="7" t="s">
        <v>25</v>
      </c>
      <c r="F4386" s="8">
        <v>7.0</v>
      </c>
      <c r="G4386" s="9">
        <v>7.0</v>
      </c>
    </row>
    <row r="4387" ht="14.25" hidden="1" customHeight="1">
      <c r="B4387" s="7" t="s">
        <v>21</v>
      </c>
      <c r="C4387" s="7" t="s">
        <v>29</v>
      </c>
      <c r="D4387" s="7" t="s">
        <v>9</v>
      </c>
      <c r="E4387" s="7" t="s">
        <v>25</v>
      </c>
      <c r="F4387" s="8">
        <v>7.0</v>
      </c>
      <c r="G4387" s="9">
        <v>7.0</v>
      </c>
    </row>
    <row r="4388" ht="14.25" hidden="1" customHeight="1">
      <c r="B4388" s="7" t="s">
        <v>21</v>
      </c>
      <c r="C4388" s="7" t="s">
        <v>29</v>
      </c>
      <c r="D4388" s="7" t="s">
        <v>31</v>
      </c>
      <c r="E4388" s="7" t="s">
        <v>28</v>
      </c>
      <c r="F4388" s="8">
        <v>7.0</v>
      </c>
      <c r="G4388" s="9">
        <v>7.0</v>
      </c>
    </row>
    <row r="4389" ht="14.25" hidden="1" customHeight="1">
      <c r="B4389" s="7" t="s">
        <v>21</v>
      </c>
      <c r="C4389" s="7" t="s">
        <v>7</v>
      </c>
      <c r="D4389" s="7" t="s">
        <v>25</v>
      </c>
      <c r="E4389" s="7" t="s">
        <v>33</v>
      </c>
      <c r="F4389" s="8">
        <v>6.0</v>
      </c>
      <c r="G4389" s="9">
        <v>3.0</v>
      </c>
    </row>
    <row r="4390" ht="14.25" hidden="1" customHeight="1">
      <c r="B4390" s="7" t="s">
        <v>21</v>
      </c>
      <c r="C4390" s="7" t="s">
        <v>30</v>
      </c>
      <c r="D4390" s="7" t="s">
        <v>25</v>
      </c>
      <c r="E4390" s="7" t="s">
        <v>28</v>
      </c>
      <c r="F4390" s="8">
        <v>6.0</v>
      </c>
      <c r="G4390" s="9">
        <v>3.0</v>
      </c>
    </row>
    <row r="4391" ht="14.25" hidden="1" customHeight="1">
      <c r="B4391" s="7" t="s">
        <v>21</v>
      </c>
      <c r="C4391" s="7" t="s">
        <v>7</v>
      </c>
      <c r="D4391" s="7" t="s">
        <v>25</v>
      </c>
      <c r="E4391" s="7" t="s">
        <v>9</v>
      </c>
      <c r="F4391" s="8">
        <v>6.0</v>
      </c>
      <c r="G4391" s="9">
        <v>6.0</v>
      </c>
    </row>
    <row r="4392" ht="14.25" hidden="1" customHeight="1">
      <c r="B4392" s="7" t="s">
        <v>21</v>
      </c>
      <c r="C4392" s="7" t="s">
        <v>30</v>
      </c>
      <c r="D4392" s="7" t="s">
        <v>25</v>
      </c>
      <c r="E4392" s="7" t="s">
        <v>10</v>
      </c>
      <c r="F4392" s="8">
        <v>6.0</v>
      </c>
      <c r="G4392" s="9">
        <v>3.0</v>
      </c>
    </row>
    <row r="4393" ht="14.25" hidden="1" customHeight="1">
      <c r="B4393" s="7" t="s">
        <v>21</v>
      </c>
      <c r="C4393" s="7" t="s">
        <v>30</v>
      </c>
      <c r="D4393" s="7" t="s">
        <v>25</v>
      </c>
      <c r="E4393" s="7" t="s">
        <v>31</v>
      </c>
      <c r="F4393" s="8">
        <v>6.0</v>
      </c>
      <c r="G4393" s="9">
        <v>3.0</v>
      </c>
    </row>
    <row r="4394" ht="14.25" hidden="1" customHeight="1">
      <c r="B4394" s="7" t="s">
        <v>21</v>
      </c>
      <c r="C4394" s="7" t="s">
        <v>29</v>
      </c>
      <c r="D4394" s="7" t="s">
        <v>33</v>
      </c>
      <c r="E4394" s="7" t="s">
        <v>28</v>
      </c>
      <c r="F4394" s="8">
        <v>6.0</v>
      </c>
      <c r="G4394" s="9">
        <v>6.0</v>
      </c>
    </row>
    <row r="4395" ht="14.25" hidden="1" customHeight="1">
      <c r="B4395" s="7" t="s">
        <v>21</v>
      </c>
      <c r="C4395" s="7" t="s">
        <v>7</v>
      </c>
      <c r="D4395" s="7" t="s">
        <v>33</v>
      </c>
      <c r="E4395" s="7" t="s">
        <v>28</v>
      </c>
      <c r="F4395" s="8">
        <v>6.0</v>
      </c>
      <c r="G4395" s="9">
        <v>3.0</v>
      </c>
    </row>
    <row r="4396" ht="14.25" hidden="1" customHeight="1">
      <c r="B4396" s="7" t="s">
        <v>21</v>
      </c>
      <c r="C4396" s="7" t="s">
        <v>7</v>
      </c>
      <c r="D4396" s="7" t="s">
        <v>33</v>
      </c>
      <c r="E4396" s="7" t="s">
        <v>31</v>
      </c>
      <c r="F4396" s="8">
        <v>6.0</v>
      </c>
      <c r="G4396" s="9">
        <v>3.0</v>
      </c>
    </row>
    <row r="4397" ht="14.25" hidden="1" customHeight="1">
      <c r="B4397" s="7" t="s">
        <v>21</v>
      </c>
      <c r="C4397" s="7" t="s">
        <v>7</v>
      </c>
      <c r="D4397" s="7" t="s">
        <v>28</v>
      </c>
      <c r="E4397" s="7" t="s">
        <v>25</v>
      </c>
      <c r="F4397" s="8">
        <v>6.0</v>
      </c>
      <c r="G4397" s="9">
        <v>6.0</v>
      </c>
    </row>
    <row r="4398" ht="14.25" hidden="1" customHeight="1">
      <c r="B4398" s="7" t="s">
        <v>21</v>
      </c>
      <c r="C4398" s="7" t="s">
        <v>30</v>
      </c>
      <c r="D4398" s="7" t="s">
        <v>11</v>
      </c>
      <c r="E4398" s="7" t="s">
        <v>10</v>
      </c>
      <c r="F4398" s="8">
        <v>6.0</v>
      </c>
      <c r="G4398" s="9">
        <v>3.0</v>
      </c>
    </row>
    <row r="4399" ht="14.25" hidden="1" customHeight="1">
      <c r="B4399" s="7" t="s">
        <v>21</v>
      </c>
      <c r="C4399" s="7" t="s">
        <v>7</v>
      </c>
      <c r="D4399" s="7" t="s">
        <v>9</v>
      </c>
      <c r="E4399" s="7" t="s">
        <v>25</v>
      </c>
      <c r="F4399" s="8">
        <v>6.0</v>
      </c>
      <c r="G4399" s="9">
        <v>6.0</v>
      </c>
    </row>
    <row r="4400" ht="14.25" hidden="1" customHeight="1">
      <c r="B4400" s="7" t="s">
        <v>21</v>
      </c>
      <c r="C4400" s="7" t="s">
        <v>30</v>
      </c>
      <c r="D4400" s="7" t="s">
        <v>24</v>
      </c>
      <c r="E4400" s="7" t="s">
        <v>8</v>
      </c>
      <c r="F4400" s="8">
        <v>6.0</v>
      </c>
      <c r="G4400" s="9">
        <v>3.0</v>
      </c>
    </row>
    <row r="4401" ht="14.25" hidden="1" customHeight="1">
      <c r="B4401" s="7" t="s">
        <v>21</v>
      </c>
      <c r="C4401" s="7" t="s">
        <v>7</v>
      </c>
      <c r="D4401" s="7" t="s">
        <v>10</v>
      </c>
      <c r="E4401" s="7" t="s">
        <v>28</v>
      </c>
      <c r="F4401" s="8">
        <v>6.0</v>
      </c>
      <c r="G4401" s="9">
        <v>3.0</v>
      </c>
    </row>
    <row r="4402" ht="14.25" hidden="1" customHeight="1">
      <c r="B4402" s="7" t="s">
        <v>21</v>
      </c>
      <c r="C4402" s="7" t="s">
        <v>29</v>
      </c>
      <c r="D4402" s="7" t="s">
        <v>32</v>
      </c>
      <c r="E4402" s="7" t="s">
        <v>33</v>
      </c>
      <c r="F4402" s="8">
        <v>6.0</v>
      </c>
      <c r="G4402" s="9">
        <v>6.0</v>
      </c>
    </row>
    <row r="4403" ht="14.25" hidden="1" customHeight="1">
      <c r="B4403" s="7" t="s">
        <v>21</v>
      </c>
      <c r="C4403" s="7" t="s">
        <v>7</v>
      </c>
      <c r="D4403" s="7" t="s">
        <v>32</v>
      </c>
      <c r="E4403" s="7" t="s">
        <v>33</v>
      </c>
      <c r="F4403" s="8">
        <v>6.0</v>
      </c>
      <c r="G4403" s="9">
        <v>3.0</v>
      </c>
    </row>
    <row r="4404" ht="14.25" hidden="1" customHeight="1">
      <c r="B4404" s="7" t="s">
        <v>21</v>
      </c>
      <c r="C4404" s="7" t="s">
        <v>7</v>
      </c>
      <c r="D4404" s="7" t="s">
        <v>32</v>
      </c>
      <c r="E4404" s="7" t="s">
        <v>33</v>
      </c>
      <c r="F4404" s="8">
        <v>6.0</v>
      </c>
      <c r="G4404" s="9">
        <v>3.0</v>
      </c>
    </row>
    <row r="4405" ht="14.25" hidden="1" customHeight="1">
      <c r="B4405" s="7" t="s">
        <v>21</v>
      </c>
      <c r="C4405" s="7" t="s">
        <v>29</v>
      </c>
      <c r="D4405" s="7" t="s">
        <v>32</v>
      </c>
      <c r="E4405" s="7" t="s">
        <v>9</v>
      </c>
      <c r="F4405" s="8">
        <v>6.0</v>
      </c>
      <c r="G4405" s="9">
        <v>6.0</v>
      </c>
    </row>
    <row r="4406" ht="14.25" hidden="1" customHeight="1">
      <c r="B4406" s="7" t="s">
        <v>21</v>
      </c>
      <c r="C4406" s="7" t="s">
        <v>7</v>
      </c>
      <c r="D4406" s="7" t="s">
        <v>31</v>
      </c>
      <c r="E4406" s="7" t="s">
        <v>10</v>
      </c>
      <c r="F4406" s="8">
        <v>6.0</v>
      </c>
      <c r="G4406" s="9">
        <v>3.0</v>
      </c>
    </row>
    <row r="4407" ht="14.25" hidden="1" customHeight="1">
      <c r="B4407" s="7" t="s">
        <v>21</v>
      </c>
      <c r="C4407" s="7" t="s">
        <v>29</v>
      </c>
      <c r="D4407" s="7" t="s">
        <v>33</v>
      </c>
      <c r="E4407" s="7" t="s">
        <v>11</v>
      </c>
      <c r="F4407" s="8">
        <v>5.0</v>
      </c>
      <c r="G4407" s="9">
        <v>5.0</v>
      </c>
    </row>
    <row r="4408" ht="14.25" hidden="1" customHeight="1">
      <c r="B4408" s="7" t="s">
        <v>21</v>
      </c>
      <c r="C4408" s="7" t="s">
        <v>29</v>
      </c>
      <c r="D4408" s="7" t="s">
        <v>28</v>
      </c>
      <c r="E4408" s="7" t="s">
        <v>31</v>
      </c>
      <c r="F4408" s="8">
        <v>5.0</v>
      </c>
      <c r="G4408" s="9">
        <v>5.0</v>
      </c>
    </row>
    <row r="4409" ht="14.25" hidden="1" customHeight="1">
      <c r="B4409" s="7" t="s">
        <v>21</v>
      </c>
      <c r="C4409" s="7" t="s">
        <v>29</v>
      </c>
      <c r="D4409" s="7" t="s">
        <v>9</v>
      </c>
      <c r="E4409" s="7" t="s">
        <v>31</v>
      </c>
      <c r="F4409" s="8">
        <v>5.0</v>
      </c>
      <c r="G4409" s="9">
        <v>5.0</v>
      </c>
    </row>
    <row r="4410" ht="14.25" hidden="1" customHeight="1">
      <c r="B4410" s="7" t="s">
        <v>21</v>
      </c>
      <c r="C4410" s="7" t="s">
        <v>7</v>
      </c>
      <c r="D4410" s="7" t="s">
        <v>25</v>
      </c>
      <c r="E4410" s="7" t="s">
        <v>9</v>
      </c>
      <c r="F4410" s="8">
        <v>4.0</v>
      </c>
      <c r="G4410" s="9">
        <v>2.0</v>
      </c>
    </row>
    <row r="4411" ht="14.25" hidden="1" customHeight="1">
      <c r="B4411" s="7" t="s">
        <v>21</v>
      </c>
      <c r="C4411" s="7" t="s">
        <v>7</v>
      </c>
      <c r="D4411" s="7" t="s">
        <v>25</v>
      </c>
      <c r="E4411" s="7" t="s">
        <v>9</v>
      </c>
      <c r="F4411" s="8">
        <v>4.0</v>
      </c>
      <c r="G4411" s="9">
        <v>2.0</v>
      </c>
    </row>
    <row r="4412" ht="14.25" hidden="1" customHeight="1">
      <c r="B4412" s="7" t="s">
        <v>21</v>
      </c>
      <c r="C4412" s="7" t="s">
        <v>7</v>
      </c>
      <c r="D4412" s="7" t="s">
        <v>33</v>
      </c>
      <c r="E4412" s="7" t="s">
        <v>28</v>
      </c>
      <c r="F4412" s="8">
        <v>4.0</v>
      </c>
      <c r="G4412" s="9">
        <v>2.0</v>
      </c>
    </row>
    <row r="4413" ht="14.25" hidden="1" customHeight="1">
      <c r="B4413" s="7" t="s">
        <v>21</v>
      </c>
      <c r="C4413" s="7" t="s">
        <v>7</v>
      </c>
      <c r="D4413" s="7" t="s">
        <v>33</v>
      </c>
      <c r="E4413" s="7" t="s">
        <v>35</v>
      </c>
      <c r="F4413" s="8">
        <v>4.0</v>
      </c>
      <c r="G4413" s="9">
        <v>2.0</v>
      </c>
    </row>
    <row r="4414" ht="14.25" hidden="1" customHeight="1">
      <c r="B4414" s="7" t="s">
        <v>21</v>
      </c>
      <c r="C4414" s="7" t="s">
        <v>7</v>
      </c>
      <c r="D4414" s="7" t="s">
        <v>33</v>
      </c>
      <c r="E4414" s="7" t="s">
        <v>9</v>
      </c>
      <c r="F4414" s="8">
        <v>4.0</v>
      </c>
      <c r="G4414" s="9">
        <v>2.0</v>
      </c>
    </row>
    <row r="4415" ht="14.25" hidden="1" customHeight="1">
      <c r="B4415" s="7" t="s">
        <v>21</v>
      </c>
      <c r="C4415" s="7" t="s">
        <v>29</v>
      </c>
      <c r="D4415" s="7" t="s">
        <v>33</v>
      </c>
      <c r="E4415" s="7" t="s">
        <v>31</v>
      </c>
      <c r="F4415" s="8">
        <v>4.0</v>
      </c>
      <c r="G4415" s="9">
        <v>4.0</v>
      </c>
    </row>
    <row r="4416" ht="14.25" hidden="1" customHeight="1">
      <c r="B4416" s="7" t="s">
        <v>21</v>
      </c>
      <c r="C4416" s="7" t="s">
        <v>29</v>
      </c>
      <c r="D4416" s="7" t="s">
        <v>28</v>
      </c>
      <c r="E4416" s="7" t="s">
        <v>8</v>
      </c>
      <c r="F4416" s="8">
        <v>4.0</v>
      </c>
      <c r="G4416" s="9">
        <v>4.0</v>
      </c>
    </row>
    <row r="4417" ht="14.25" hidden="1" customHeight="1">
      <c r="B4417" s="7" t="s">
        <v>21</v>
      </c>
      <c r="C4417" s="7" t="s">
        <v>7</v>
      </c>
      <c r="D4417" s="7" t="s">
        <v>28</v>
      </c>
      <c r="E4417" s="7" t="s">
        <v>8</v>
      </c>
      <c r="F4417" s="8">
        <v>4.0</v>
      </c>
      <c r="G4417" s="9">
        <v>2.0</v>
      </c>
    </row>
    <row r="4418" ht="14.25" hidden="1" customHeight="1">
      <c r="B4418" s="7" t="s">
        <v>21</v>
      </c>
      <c r="C4418" s="7" t="s">
        <v>7</v>
      </c>
      <c r="D4418" s="7" t="s">
        <v>11</v>
      </c>
      <c r="E4418" s="7" t="s">
        <v>25</v>
      </c>
      <c r="F4418" s="8">
        <v>4.0</v>
      </c>
      <c r="G4418" s="9">
        <v>2.0</v>
      </c>
    </row>
    <row r="4419" ht="14.25" hidden="1" customHeight="1">
      <c r="B4419" s="7" t="s">
        <v>21</v>
      </c>
      <c r="C4419" s="7" t="s">
        <v>29</v>
      </c>
      <c r="D4419" s="7" t="s">
        <v>11</v>
      </c>
      <c r="E4419" s="7" t="s">
        <v>10</v>
      </c>
      <c r="F4419" s="8">
        <v>4.0</v>
      </c>
      <c r="G4419" s="9">
        <v>4.0</v>
      </c>
    </row>
    <row r="4420" ht="14.25" hidden="1" customHeight="1">
      <c r="B4420" s="7" t="s">
        <v>21</v>
      </c>
      <c r="C4420" s="7" t="s">
        <v>30</v>
      </c>
      <c r="D4420" s="7" t="s">
        <v>11</v>
      </c>
      <c r="E4420" s="7" t="s">
        <v>8</v>
      </c>
      <c r="F4420" s="8">
        <v>4.0</v>
      </c>
      <c r="G4420" s="9">
        <v>2.0</v>
      </c>
    </row>
    <row r="4421" ht="14.25" hidden="1" customHeight="1">
      <c r="B4421" s="7" t="s">
        <v>21</v>
      </c>
      <c r="C4421" s="7" t="s">
        <v>7</v>
      </c>
      <c r="D4421" s="7" t="s">
        <v>35</v>
      </c>
      <c r="E4421" s="7" t="s">
        <v>28</v>
      </c>
      <c r="F4421" s="8">
        <v>4.0</v>
      </c>
      <c r="G4421" s="9">
        <v>2.0</v>
      </c>
    </row>
    <row r="4422" ht="14.25" hidden="1" customHeight="1">
      <c r="B4422" s="7" t="s">
        <v>21</v>
      </c>
      <c r="C4422" s="7" t="s">
        <v>30</v>
      </c>
      <c r="D4422" s="7" t="s">
        <v>24</v>
      </c>
      <c r="E4422" s="7" t="s">
        <v>10</v>
      </c>
      <c r="F4422" s="8">
        <v>4.0</v>
      </c>
      <c r="G4422" s="9">
        <v>2.0</v>
      </c>
    </row>
    <row r="4423" ht="14.25" hidden="1" customHeight="1">
      <c r="B4423" s="7" t="s">
        <v>21</v>
      </c>
      <c r="C4423" s="7" t="s">
        <v>7</v>
      </c>
      <c r="D4423" s="7" t="s">
        <v>24</v>
      </c>
      <c r="E4423" s="7" t="s">
        <v>10</v>
      </c>
      <c r="F4423" s="8">
        <v>4.0</v>
      </c>
      <c r="G4423" s="9">
        <v>2.0</v>
      </c>
    </row>
    <row r="4424" ht="14.25" hidden="1" customHeight="1">
      <c r="B4424" s="7" t="s">
        <v>21</v>
      </c>
      <c r="C4424" s="7" t="s">
        <v>29</v>
      </c>
      <c r="D4424" s="7" t="s">
        <v>10</v>
      </c>
      <c r="E4424" s="7" t="s">
        <v>25</v>
      </c>
      <c r="F4424" s="8">
        <v>4.0</v>
      </c>
      <c r="G4424" s="9">
        <v>4.0</v>
      </c>
    </row>
    <row r="4425" ht="14.25" hidden="1" customHeight="1">
      <c r="B4425" s="7" t="s">
        <v>21</v>
      </c>
      <c r="C4425" s="7" t="s">
        <v>30</v>
      </c>
      <c r="D4425" s="7" t="s">
        <v>10</v>
      </c>
      <c r="E4425" s="7" t="s">
        <v>25</v>
      </c>
      <c r="F4425" s="8">
        <v>4.0</v>
      </c>
      <c r="G4425" s="9">
        <v>2.0</v>
      </c>
    </row>
    <row r="4426" ht="14.25" hidden="1" customHeight="1">
      <c r="B4426" s="7" t="s">
        <v>21</v>
      </c>
      <c r="C4426" s="7" t="s">
        <v>29</v>
      </c>
      <c r="D4426" s="7" t="s">
        <v>32</v>
      </c>
      <c r="E4426" s="7" t="s">
        <v>25</v>
      </c>
      <c r="F4426" s="8">
        <v>4.0</v>
      </c>
      <c r="G4426" s="9">
        <v>4.0</v>
      </c>
    </row>
    <row r="4427" ht="14.25" hidden="1" customHeight="1">
      <c r="B4427" s="7" t="s">
        <v>21</v>
      </c>
      <c r="C4427" s="7" t="s">
        <v>30</v>
      </c>
      <c r="D4427" s="7" t="s">
        <v>32</v>
      </c>
      <c r="E4427" s="7" t="s">
        <v>25</v>
      </c>
      <c r="F4427" s="8">
        <v>4.0</v>
      </c>
      <c r="G4427" s="9">
        <v>2.0</v>
      </c>
    </row>
    <row r="4428" ht="14.25" hidden="1" customHeight="1">
      <c r="B4428" s="7" t="s">
        <v>21</v>
      </c>
      <c r="C4428" s="7" t="s">
        <v>7</v>
      </c>
      <c r="D4428" s="7" t="s">
        <v>32</v>
      </c>
      <c r="E4428" s="7" t="s">
        <v>35</v>
      </c>
      <c r="F4428" s="8">
        <v>4.0</v>
      </c>
      <c r="G4428" s="9">
        <v>2.0</v>
      </c>
    </row>
    <row r="4429" ht="14.25" hidden="1" customHeight="1">
      <c r="B4429" s="7" t="s">
        <v>21</v>
      </c>
      <c r="C4429" s="7" t="s">
        <v>29</v>
      </c>
      <c r="D4429" s="7" t="s">
        <v>32</v>
      </c>
      <c r="E4429" s="7" t="s">
        <v>24</v>
      </c>
      <c r="F4429" s="8">
        <v>4.0</v>
      </c>
      <c r="G4429" s="9">
        <v>4.0</v>
      </c>
    </row>
    <row r="4430" ht="14.25" hidden="1" customHeight="1">
      <c r="B4430" s="7" t="s">
        <v>21</v>
      </c>
      <c r="C4430" s="7" t="s">
        <v>30</v>
      </c>
      <c r="D4430" s="7" t="s">
        <v>32</v>
      </c>
      <c r="E4430" s="7" t="s">
        <v>24</v>
      </c>
      <c r="F4430" s="8">
        <v>4.0</v>
      </c>
      <c r="G4430" s="9">
        <v>2.0</v>
      </c>
    </row>
    <row r="4431" ht="14.25" hidden="1" customHeight="1">
      <c r="B4431" s="7" t="s">
        <v>21</v>
      </c>
      <c r="C4431" s="7" t="s">
        <v>30</v>
      </c>
      <c r="D4431" s="7" t="s">
        <v>31</v>
      </c>
      <c r="E4431" s="7" t="s">
        <v>33</v>
      </c>
      <c r="F4431" s="8">
        <v>4.0</v>
      </c>
      <c r="G4431" s="9">
        <v>2.0</v>
      </c>
    </row>
    <row r="4432" ht="14.25" hidden="1" customHeight="1">
      <c r="B4432" s="7" t="s">
        <v>21</v>
      </c>
      <c r="C4432" s="7" t="s">
        <v>7</v>
      </c>
      <c r="D4432" s="7" t="s">
        <v>31</v>
      </c>
      <c r="E4432" s="7" t="s">
        <v>28</v>
      </c>
      <c r="F4432" s="8">
        <v>4.0</v>
      </c>
      <c r="G4432" s="9">
        <v>2.0</v>
      </c>
    </row>
    <row r="4433" ht="14.25" hidden="1" customHeight="1">
      <c r="B4433" s="7" t="s">
        <v>21</v>
      </c>
      <c r="C4433" s="7" t="s">
        <v>7</v>
      </c>
      <c r="D4433" s="7" t="s">
        <v>31</v>
      </c>
      <c r="E4433" s="7" t="s">
        <v>28</v>
      </c>
      <c r="F4433" s="8">
        <v>4.0</v>
      </c>
      <c r="G4433" s="9">
        <v>2.0</v>
      </c>
    </row>
    <row r="4434" ht="14.25" hidden="1" customHeight="1">
      <c r="B4434" s="7" t="s">
        <v>21</v>
      </c>
      <c r="C4434" s="7" t="s">
        <v>30</v>
      </c>
      <c r="D4434" s="7" t="s">
        <v>31</v>
      </c>
      <c r="E4434" s="7" t="s">
        <v>8</v>
      </c>
      <c r="F4434" s="8">
        <v>4.0</v>
      </c>
      <c r="G4434" s="9">
        <v>2.0</v>
      </c>
    </row>
    <row r="4435" ht="14.25" hidden="1" customHeight="1">
      <c r="B4435" s="7" t="s">
        <v>21</v>
      </c>
      <c r="C4435" s="7" t="s">
        <v>30</v>
      </c>
      <c r="D4435" s="7" t="s">
        <v>8</v>
      </c>
      <c r="E4435" s="7" t="s">
        <v>33</v>
      </c>
      <c r="F4435" s="8">
        <v>4.0</v>
      </c>
      <c r="G4435" s="9">
        <v>2.0</v>
      </c>
    </row>
    <row r="4436" ht="14.25" hidden="1" customHeight="1">
      <c r="B4436" s="7" t="s">
        <v>21</v>
      </c>
      <c r="C4436" s="7" t="s">
        <v>7</v>
      </c>
      <c r="D4436" s="7" t="s">
        <v>8</v>
      </c>
      <c r="E4436" s="7" t="s">
        <v>28</v>
      </c>
      <c r="F4436" s="8">
        <v>4.0</v>
      </c>
      <c r="G4436" s="9">
        <v>2.0</v>
      </c>
    </row>
    <row r="4437" ht="14.25" hidden="1" customHeight="1">
      <c r="B4437" s="7" t="s">
        <v>21</v>
      </c>
      <c r="C4437" s="7" t="s">
        <v>7</v>
      </c>
      <c r="D4437" s="7" t="s">
        <v>8</v>
      </c>
      <c r="E4437" s="7" t="s">
        <v>9</v>
      </c>
      <c r="F4437" s="8">
        <v>4.0</v>
      </c>
      <c r="G4437" s="9">
        <v>2.0</v>
      </c>
    </row>
    <row r="4438" ht="14.25" hidden="1" customHeight="1">
      <c r="B4438" s="7" t="s">
        <v>21</v>
      </c>
      <c r="C4438" s="7" t="s">
        <v>7</v>
      </c>
      <c r="D4438" s="7" t="s">
        <v>8</v>
      </c>
      <c r="E4438" s="7" t="s">
        <v>9</v>
      </c>
      <c r="F4438" s="8">
        <v>4.0</v>
      </c>
      <c r="G4438" s="9">
        <v>2.0</v>
      </c>
    </row>
    <row r="4439" ht="14.25" hidden="1" customHeight="1">
      <c r="B4439" s="7" t="s">
        <v>21</v>
      </c>
      <c r="C4439" s="7" t="s">
        <v>36</v>
      </c>
      <c r="D4439" s="7" t="s">
        <v>8</v>
      </c>
      <c r="E4439" s="7" t="s">
        <v>24</v>
      </c>
      <c r="F4439" s="8">
        <v>4.0</v>
      </c>
      <c r="G4439" s="9">
        <v>4.0</v>
      </c>
    </row>
    <row r="4440" ht="14.25" hidden="1" customHeight="1">
      <c r="B4440" s="7" t="s">
        <v>21</v>
      </c>
      <c r="C4440" s="7" t="s">
        <v>29</v>
      </c>
      <c r="D4440" s="7" t="s">
        <v>33</v>
      </c>
      <c r="E4440" s="7" t="s">
        <v>25</v>
      </c>
      <c r="F4440" s="8">
        <v>3.0</v>
      </c>
      <c r="G4440" s="9">
        <v>3.0</v>
      </c>
    </row>
    <row r="4441" ht="14.25" hidden="1" customHeight="1">
      <c r="B4441" s="7" t="s">
        <v>21</v>
      </c>
      <c r="C4441" s="7" t="s">
        <v>29</v>
      </c>
      <c r="D4441" s="7" t="s">
        <v>28</v>
      </c>
      <c r="E4441" s="7" t="s">
        <v>31</v>
      </c>
      <c r="F4441" s="8">
        <v>3.0</v>
      </c>
      <c r="G4441" s="9">
        <v>3.0</v>
      </c>
    </row>
    <row r="4442" ht="14.25" hidden="1" customHeight="1">
      <c r="B4442" s="7" t="s">
        <v>21</v>
      </c>
      <c r="C4442" s="7" t="s">
        <v>29</v>
      </c>
      <c r="D4442" s="7" t="s">
        <v>9</v>
      </c>
      <c r="E4442" s="7" t="s">
        <v>33</v>
      </c>
      <c r="F4442" s="8">
        <v>3.0</v>
      </c>
      <c r="G4442" s="9">
        <v>3.0</v>
      </c>
    </row>
    <row r="4443" ht="14.25" hidden="1" customHeight="1">
      <c r="B4443" s="7" t="s">
        <v>21</v>
      </c>
      <c r="C4443" s="7" t="s">
        <v>29</v>
      </c>
      <c r="D4443" s="7" t="s">
        <v>9</v>
      </c>
      <c r="E4443" s="7" t="s">
        <v>28</v>
      </c>
      <c r="F4443" s="8">
        <v>3.0</v>
      </c>
      <c r="G4443" s="9">
        <v>3.0</v>
      </c>
    </row>
    <row r="4444" ht="14.25" hidden="1" customHeight="1">
      <c r="B4444" s="7" t="s">
        <v>21</v>
      </c>
      <c r="C4444" s="7" t="s">
        <v>29</v>
      </c>
      <c r="D4444" s="7" t="s">
        <v>32</v>
      </c>
      <c r="E4444" s="7" t="s">
        <v>28</v>
      </c>
      <c r="F4444" s="8">
        <v>3.0</v>
      </c>
      <c r="G4444" s="9">
        <v>3.0</v>
      </c>
    </row>
    <row r="4445" ht="14.25" hidden="1" customHeight="1">
      <c r="B4445" s="7" t="s">
        <v>21</v>
      </c>
      <c r="C4445" s="7" t="s">
        <v>7</v>
      </c>
      <c r="D4445" s="7" t="s">
        <v>25</v>
      </c>
      <c r="E4445" s="7" t="s">
        <v>33</v>
      </c>
      <c r="F4445" s="8">
        <v>2.0</v>
      </c>
      <c r="G4445" s="9">
        <v>1.0</v>
      </c>
    </row>
    <row r="4446" ht="14.25" hidden="1" customHeight="1">
      <c r="B4446" s="7" t="s">
        <v>21</v>
      </c>
      <c r="C4446" s="7" t="s">
        <v>7</v>
      </c>
      <c r="D4446" s="7" t="s">
        <v>25</v>
      </c>
      <c r="E4446" s="7" t="s">
        <v>35</v>
      </c>
      <c r="F4446" s="8">
        <v>2.0</v>
      </c>
      <c r="G4446" s="9">
        <v>1.0</v>
      </c>
    </row>
    <row r="4447" ht="14.25" hidden="1" customHeight="1">
      <c r="B4447" s="7" t="s">
        <v>21</v>
      </c>
      <c r="C4447" s="7" t="s">
        <v>7</v>
      </c>
      <c r="D4447" s="7" t="s">
        <v>25</v>
      </c>
      <c r="E4447" s="7" t="s">
        <v>9</v>
      </c>
      <c r="F4447" s="8">
        <v>2.0</v>
      </c>
      <c r="G4447" s="9">
        <v>1.0</v>
      </c>
    </row>
    <row r="4448" ht="14.25" hidden="1" customHeight="1">
      <c r="B4448" s="7" t="s">
        <v>21</v>
      </c>
      <c r="C4448" s="7" t="s">
        <v>30</v>
      </c>
      <c r="D4448" s="7" t="s">
        <v>25</v>
      </c>
      <c r="E4448" s="7" t="s">
        <v>9</v>
      </c>
      <c r="F4448" s="8">
        <v>2.0</v>
      </c>
      <c r="G4448" s="9">
        <v>1.0</v>
      </c>
    </row>
    <row r="4449" ht="14.25" hidden="1" customHeight="1">
      <c r="B4449" s="7" t="s">
        <v>21</v>
      </c>
      <c r="C4449" s="7" t="s">
        <v>7</v>
      </c>
      <c r="D4449" s="7" t="s">
        <v>25</v>
      </c>
      <c r="E4449" s="7" t="s">
        <v>10</v>
      </c>
      <c r="F4449" s="8">
        <v>2.0</v>
      </c>
      <c r="G4449" s="9">
        <v>1.0</v>
      </c>
    </row>
    <row r="4450" ht="14.25" hidden="1" customHeight="1">
      <c r="B4450" s="7" t="s">
        <v>21</v>
      </c>
      <c r="C4450" s="7" t="s">
        <v>29</v>
      </c>
      <c r="D4450" s="7" t="s">
        <v>25</v>
      </c>
      <c r="E4450" s="7" t="s">
        <v>32</v>
      </c>
      <c r="F4450" s="8">
        <v>2.0</v>
      </c>
      <c r="G4450" s="9">
        <v>2.0</v>
      </c>
    </row>
    <row r="4451" ht="14.25" hidden="1" customHeight="1">
      <c r="B4451" s="7" t="s">
        <v>21</v>
      </c>
      <c r="C4451" s="7" t="s">
        <v>29</v>
      </c>
      <c r="D4451" s="7" t="s">
        <v>25</v>
      </c>
      <c r="E4451" s="7" t="s">
        <v>31</v>
      </c>
      <c r="F4451" s="8">
        <v>2.0</v>
      </c>
      <c r="G4451" s="9">
        <v>2.0</v>
      </c>
    </row>
    <row r="4452" ht="14.25" hidden="1" customHeight="1">
      <c r="B4452" s="7" t="s">
        <v>21</v>
      </c>
      <c r="C4452" s="7" t="s">
        <v>29</v>
      </c>
      <c r="D4452" s="7" t="s">
        <v>25</v>
      </c>
      <c r="E4452" s="7" t="s">
        <v>8</v>
      </c>
      <c r="F4452" s="8">
        <v>2.0</v>
      </c>
      <c r="G4452" s="9">
        <v>2.0</v>
      </c>
    </row>
    <row r="4453" ht="14.25" hidden="1" customHeight="1">
      <c r="B4453" s="7" t="s">
        <v>21</v>
      </c>
      <c r="C4453" s="7" t="s">
        <v>7</v>
      </c>
      <c r="D4453" s="7" t="s">
        <v>25</v>
      </c>
      <c r="E4453" s="7" t="s">
        <v>8</v>
      </c>
      <c r="F4453" s="8">
        <v>2.0</v>
      </c>
      <c r="G4453" s="9">
        <v>1.0</v>
      </c>
    </row>
    <row r="4454" ht="14.25" hidden="1" customHeight="1">
      <c r="B4454" s="7" t="s">
        <v>21</v>
      </c>
      <c r="C4454" s="7" t="s">
        <v>36</v>
      </c>
      <c r="D4454" s="7" t="s">
        <v>33</v>
      </c>
      <c r="E4454" s="7" t="s">
        <v>28</v>
      </c>
      <c r="F4454" s="8">
        <v>2.0</v>
      </c>
      <c r="G4454" s="9">
        <v>2.0</v>
      </c>
    </row>
    <row r="4455" ht="14.25" hidden="1" customHeight="1">
      <c r="B4455" s="7" t="s">
        <v>21</v>
      </c>
      <c r="C4455" s="7" t="s">
        <v>36</v>
      </c>
      <c r="D4455" s="7" t="s">
        <v>33</v>
      </c>
      <c r="E4455" s="7" t="s">
        <v>9</v>
      </c>
      <c r="F4455" s="8">
        <v>2.0</v>
      </c>
      <c r="G4455" s="9">
        <v>2.0</v>
      </c>
    </row>
    <row r="4456" ht="14.25" hidden="1" customHeight="1">
      <c r="B4456" s="7" t="s">
        <v>21</v>
      </c>
      <c r="C4456" s="7" t="s">
        <v>7</v>
      </c>
      <c r="D4456" s="7" t="s">
        <v>33</v>
      </c>
      <c r="E4456" s="7" t="s">
        <v>9</v>
      </c>
      <c r="F4456" s="8">
        <v>2.0</v>
      </c>
      <c r="G4456" s="9">
        <v>1.0</v>
      </c>
    </row>
    <row r="4457" ht="14.25" hidden="1" customHeight="1">
      <c r="B4457" s="7" t="s">
        <v>21</v>
      </c>
      <c r="C4457" s="7" t="s">
        <v>29</v>
      </c>
      <c r="D4457" s="7" t="s">
        <v>33</v>
      </c>
      <c r="E4457" s="7" t="s">
        <v>32</v>
      </c>
      <c r="F4457" s="8">
        <v>2.0</v>
      </c>
      <c r="G4457" s="9">
        <v>2.0</v>
      </c>
    </row>
    <row r="4458" ht="14.25" hidden="1" customHeight="1">
      <c r="B4458" s="7" t="s">
        <v>21</v>
      </c>
      <c r="C4458" s="7" t="s">
        <v>7</v>
      </c>
      <c r="D4458" s="7" t="s">
        <v>33</v>
      </c>
      <c r="E4458" s="7" t="s">
        <v>8</v>
      </c>
      <c r="F4458" s="8">
        <v>2.0</v>
      </c>
      <c r="G4458" s="9">
        <v>2.0</v>
      </c>
    </row>
    <row r="4459" ht="14.25" hidden="1" customHeight="1">
      <c r="B4459" s="7" t="s">
        <v>21</v>
      </c>
      <c r="C4459" s="7" t="s">
        <v>7</v>
      </c>
      <c r="D4459" s="7" t="s">
        <v>33</v>
      </c>
      <c r="E4459" s="7" t="s">
        <v>8</v>
      </c>
      <c r="F4459" s="8">
        <v>2.0</v>
      </c>
      <c r="G4459" s="9">
        <v>1.0</v>
      </c>
    </row>
    <row r="4460" ht="14.25" hidden="1" customHeight="1">
      <c r="B4460" s="7" t="s">
        <v>21</v>
      </c>
      <c r="C4460" s="7" t="s">
        <v>29</v>
      </c>
      <c r="D4460" s="7" t="s">
        <v>28</v>
      </c>
      <c r="E4460" s="7" t="s">
        <v>10</v>
      </c>
      <c r="F4460" s="8">
        <v>2.0</v>
      </c>
      <c r="G4460" s="9">
        <v>2.0</v>
      </c>
    </row>
    <row r="4461" ht="14.25" hidden="1" customHeight="1">
      <c r="B4461" s="7" t="s">
        <v>21</v>
      </c>
      <c r="C4461" s="7" t="s">
        <v>7</v>
      </c>
      <c r="D4461" s="7" t="s">
        <v>28</v>
      </c>
      <c r="E4461" s="7" t="s">
        <v>31</v>
      </c>
      <c r="F4461" s="8">
        <v>2.0</v>
      </c>
      <c r="G4461" s="9">
        <v>1.0</v>
      </c>
    </row>
    <row r="4462" ht="14.25" hidden="1" customHeight="1">
      <c r="B4462" s="7" t="s">
        <v>21</v>
      </c>
      <c r="C4462" s="7" t="s">
        <v>30</v>
      </c>
      <c r="D4462" s="7" t="s">
        <v>28</v>
      </c>
      <c r="E4462" s="7" t="s">
        <v>31</v>
      </c>
      <c r="F4462" s="8">
        <v>2.0</v>
      </c>
      <c r="G4462" s="9">
        <v>1.0</v>
      </c>
    </row>
    <row r="4463" ht="14.25" hidden="1" customHeight="1">
      <c r="B4463" s="7" t="s">
        <v>21</v>
      </c>
      <c r="C4463" s="7" t="s">
        <v>7</v>
      </c>
      <c r="D4463" s="7" t="s">
        <v>28</v>
      </c>
      <c r="E4463" s="7" t="s">
        <v>8</v>
      </c>
      <c r="F4463" s="8">
        <v>2.0</v>
      </c>
      <c r="G4463" s="9">
        <v>1.0</v>
      </c>
    </row>
    <row r="4464" ht="14.25" hidden="1" customHeight="1">
      <c r="B4464" s="7" t="s">
        <v>21</v>
      </c>
      <c r="C4464" s="7" t="s">
        <v>7</v>
      </c>
      <c r="D4464" s="7" t="s">
        <v>11</v>
      </c>
      <c r="E4464" s="7" t="s">
        <v>25</v>
      </c>
      <c r="F4464" s="8">
        <v>2.0</v>
      </c>
      <c r="G4464" s="9">
        <v>1.0</v>
      </c>
    </row>
    <row r="4465" ht="14.25" hidden="1" customHeight="1">
      <c r="B4465" s="7" t="s">
        <v>21</v>
      </c>
      <c r="C4465" s="7" t="s">
        <v>7</v>
      </c>
      <c r="D4465" s="7" t="s">
        <v>11</v>
      </c>
      <c r="E4465" s="7" t="s">
        <v>25</v>
      </c>
      <c r="F4465" s="8">
        <v>2.0</v>
      </c>
      <c r="G4465" s="9">
        <v>1.0</v>
      </c>
    </row>
    <row r="4466" ht="14.25" hidden="1" customHeight="1">
      <c r="B4466" s="7" t="s">
        <v>21</v>
      </c>
      <c r="C4466" s="7" t="s">
        <v>7</v>
      </c>
      <c r="D4466" s="7" t="s">
        <v>11</v>
      </c>
      <c r="E4466" s="7" t="s">
        <v>31</v>
      </c>
      <c r="F4466" s="8">
        <v>2.0</v>
      </c>
      <c r="G4466" s="9">
        <v>1.0</v>
      </c>
    </row>
    <row r="4467" ht="14.25" hidden="1" customHeight="1">
      <c r="B4467" s="7" t="s">
        <v>21</v>
      </c>
      <c r="C4467" s="7" t="s">
        <v>7</v>
      </c>
      <c r="D4467" s="7" t="s">
        <v>11</v>
      </c>
      <c r="E4467" s="7" t="s">
        <v>8</v>
      </c>
      <c r="F4467" s="8">
        <v>2.0</v>
      </c>
      <c r="G4467" s="9">
        <v>1.0</v>
      </c>
    </row>
    <row r="4468" ht="14.25" hidden="1" customHeight="1">
      <c r="B4468" s="7" t="s">
        <v>21</v>
      </c>
      <c r="C4468" s="7" t="s">
        <v>7</v>
      </c>
      <c r="D4468" s="7" t="s">
        <v>11</v>
      </c>
      <c r="E4468" s="7" t="s">
        <v>8</v>
      </c>
      <c r="F4468" s="8">
        <v>2.0</v>
      </c>
      <c r="G4468" s="9">
        <v>1.0</v>
      </c>
    </row>
    <row r="4469" ht="14.25" hidden="1" customHeight="1">
      <c r="B4469" s="7" t="s">
        <v>21</v>
      </c>
      <c r="C4469" s="7" t="s">
        <v>7</v>
      </c>
      <c r="D4469" s="7" t="s">
        <v>34</v>
      </c>
      <c r="E4469" s="7" t="s">
        <v>33</v>
      </c>
      <c r="F4469" s="8">
        <v>2.0</v>
      </c>
      <c r="G4469" s="9">
        <v>1.0</v>
      </c>
    </row>
    <row r="4470" ht="14.25" hidden="1" customHeight="1">
      <c r="B4470" s="7" t="s">
        <v>21</v>
      </c>
      <c r="C4470" s="7" t="s">
        <v>7</v>
      </c>
      <c r="D4470" s="7" t="s">
        <v>9</v>
      </c>
      <c r="E4470" s="7" t="s">
        <v>25</v>
      </c>
      <c r="F4470" s="8">
        <v>2.0</v>
      </c>
      <c r="G4470" s="9">
        <v>1.0</v>
      </c>
    </row>
    <row r="4471" ht="14.25" hidden="1" customHeight="1">
      <c r="B4471" s="7" t="s">
        <v>21</v>
      </c>
      <c r="C4471" s="7" t="s">
        <v>7</v>
      </c>
      <c r="D4471" s="7" t="s">
        <v>9</v>
      </c>
      <c r="E4471" s="7" t="s">
        <v>33</v>
      </c>
      <c r="F4471" s="8">
        <v>2.0</v>
      </c>
      <c r="G4471" s="9">
        <v>1.0</v>
      </c>
    </row>
    <row r="4472" ht="14.25" hidden="1" customHeight="1">
      <c r="B4472" s="7" t="s">
        <v>21</v>
      </c>
      <c r="C4472" s="7" t="s">
        <v>7</v>
      </c>
      <c r="D4472" s="7" t="s">
        <v>9</v>
      </c>
      <c r="E4472" s="7" t="s">
        <v>28</v>
      </c>
      <c r="F4472" s="8">
        <v>2.0</v>
      </c>
      <c r="G4472" s="9">
        <v>1.0</v>
      </c>
    </row>
    <row r="4473" ht="14.25" hidden="1" customHeight="1">
      <c r="B4473" s="7" t="s">
        <v>21</v>
      </c>
      <c r="C4473" s="7" t="s">
        <v>7</v>
      </c>
      <c r="D4473" s="7" t="s">
        <v>9</v>
      </c>
      <c r="E4473" s="7" t="s">
        <v>28</v>
      </c>
      <c r="F4473" s="8">
        <v>2.0</v>
      </c>
      <c r="G4473" s="9">
        <v>1.0</v>
      </c>
    </row>
    <row r="4474" ht="14.25" hidden="1" customHeight="1">
      <c r="B4474" s="7" t="s">
        <v>21</v>
      </c>
      <c r="C4474" s="7" t="s">
        <v>7</v>
      </c>
      <c r="D4474" s="7" t="s">
        <v>9</v>
      </c>
      <c r="E4474" s="7" t="s">
        <v>35</v>
      </c>
      <c r="F4474" s="8">
        <v>2.0</v>
      </c>
      <c r="G4474" s="9">
        <v>1.0</v>
      </c>
    </row>
    <row r="4475" ht="14.25" hidden="1" customHeight="1">
      <c r="B4475" s="7" t="s">
        <v>21</v>
      </c>
      <c r="C4475" s="7" t="s">
        <v>29</v>
      </c>
      <c r="D4475" s="7" t="s">
        <v>9</v>
      </c>
      <c r="E4475" s="7" t="s">
        <v>10</v>
      </c>
      <c r="F4475" s="8">
        <v>2.0</v>
      </c>
      <c r="G4475" s="9">
        <v>2.0</v>
      </c>
    </row>
    <row r="4476" ht="14.25" hidden="1" customHeight="1">
      <c r="B4476" s="7" t="s">
        <v>21</v>
      </c>
      <c r="C4476" s="7" t="s">
        <v>7</v>
      </c>
      <c r="D4476" s="7" t="s">
        <v>9</v>
      </c>
      <c r="E4476" s="7" t="s">
        <v>31</v>
      </c>
      <c r="F4476" s="8">
        <v>2.0</v>
      </c>
      <c r="G4476" s="9">
        <v>1.0</v>
      </c>
    </row>
    <row r="4477" ht="14.25" hidden="1" customHeight="1">
      <c r="B4477" s="7" t="s">
        <v>21</v>
      </c>
      <c r="C4477" s="7" t="s">
        <v>7</v>
      </c>
      <c r="D4477" s="7" t="s">
        <v>9</v>
      </c>
      <c r="E4477" s="7" t="s">
        <v>8</v>
      </c>
      <c r="F4477" s="8">
        <v>2.0</v>
      </c>
      <c r="G4477" s="9">
        <v>1.0</v>
      </c>
    </row>
    <row r="4478" ht="14.25" hidden="1" customHeight="1">
      <c r="B4478" s="7" t="s">
        <v>21</v>
      </c>
      <c r="C4478" s="7" t="s">
        <v>30</v>
      </c>
      <c r="D4478" s="7" t="s">
        <v>24</v>
      </c>
      <c r="E4478" s="7" t="s">
        <v>28</v>
      </c>
      <c r="F4478" s="8">
        <v>2.0</v>
      </c>
      <c r="G4478" s="9">
        <v>1.0</v>
      </c>
    </row>
    <row r="4479" ht="14.25" hidden="1" customHeight="1">
      <c r="B4479" s="7" t="s">
        <v>21</v>
      </c>
      <c r="C4479" s="7" t="s">
        <v>7</v>
      </c>
      <c r="D4479" s="7" t="s">
        <v>24</v>
      </c>
      <c r="E4479" s="7" t="s">
        <v>8</v>
      </c>
      <c r="F4479" s="8">
        <v>2.0</v>
      </c>
      <c r="G4479" s="9">
        <v>1.0</v>
      </c>
    </row>
    <row r="4480" ht="14.25" hidden="1" customHeight="1">
      <c r="B4480" s="7" t="s">
        <v>21</v>
      </c>
      <c r="C4480" s="7" t="s">
        <v>29</v>
      </c>
      <c r="D4480" s="7" t="s">
        <v>10</v>
      </c>
      <c r="E4480" s="7" t="s">
        <v>33</v>
      </c>
      <c r="F4480" s="8">
        <v>2.0</v>
      </c>
      <c r="G4480" s="9">
        <v>2.0</v>
      </c>
    </row>
    <row r="4481" ht="14.25" hidden="1" customHeight="1">
      <c r="B4481" s="7" t="s">
        <v>21</v>
      </c>
      <c r="C4481" s="7" t="s">
        <v>30</v>
      </c>
      <c r="D4481" s="7" t="s">
        <v>10</v>
      </c>
      <c r="E4481" s="7" t="s">
        <v>33</v>
      </c>
      <c r="F4481" s="8">
        <v>2.0</v>
      </c>
      <c r="G4481" s="9">
        <v>1.0</v>
      </c>
    </row>
    <row r="4482" ht="14.25" hidden="1" customHeight="1">
      <c r="B4482" s="7" t="s">
        <v>21</v>
      </c>
      <c r="C4482" s="7" t="s">
        <v>30</v>
      </c>
      <c r="D4482" s="7" t="s">
        <v>10</v>
      </c>
      <c r="E4482" s="7" t="s">
        <v>33</v>
      </c>
      <c r="F4482" s="8">
        <v>2.0</v>
      </c>
      <c r="G4482" s="9">
        <v>1.0</v>
      </c>
    </row>
    <row r="4483" ht="14.25" hidden="1" customHeight="1">
      <c r="B4483" s="7" t="s">
        <v>21</v>
      </c>
      <c r="C4483" s="7" t="s">
        <v>29</v>
      </c>
      <c r="D4483" s="7" t="s">
        <v>10</v>
      </c>
      <c r="E4483" s="7" t="s">
        <v>31</v>
      </c>
      <c r="F4483" s="8">
        <v>2.0</v>
      </c>
      <c r="G4483" s="9">
        <v>2.0</v>
      </c>
    </row>
    <row r="4484" ht="14.25" hidden="1" customHeight="1">
      <c r="B4484" s="7" t="s">
        <v>21</v>
      </c>
      <c r="C4484" s="7" t="s">
        <v>7</v>
      </c>
      <c r="D4484" s="7" t="s">
        <v>32</v>
      </c>
      <c r="E4484" s="7" t="s">
        <v>33</v>
      </c>
      <c r="F4484" s="8">
        <v>2.0</v>
      </c>
      <c r="G4484" s="9">
        <v>2.0</v>
      </c>
    </row>
    <row r="4485" ht="14.25" hidden="1" customHeight="1">
      <c r="B4485" s="7" t="s">
        <v>21</v>
      </c>
      <c r="C4485" s="7" t="s">
        <v>7</v>
      </c>
      <c r="D4485" s="7" t="s">
        <v>32</v>
      </c>
      <c r="E4485" s="7" t="s">
        <v>28</v>
      </c>
      <c r="F4485" s="8">
        <v>2.0</v>
      </c>
      <c r="G4485" s="9">
        <v>1.0</v>
      </c>
    </row>
    <row r="4486" ht="14.25" hidden="1" customHeight="1">
      <c r="B4486" s="7" t="s">
        <v>21</v>
      </c>
      <c r="C4486" s="7" t="s">
        <v>7</v>
      </c>
      <c r="D4486" s="7" t="s">
        <v>32</v>
      </c>
      <c r="E4486" s="7" t="s">
        <v>9</v>
      </c>
      <c r="F4486" s="8">
        <v>2.0</v>
      </c>
      <c r="G4486" s="9">
        <v>1.0</v>
      </c>
    </row>
    <row r="4487" ht="14.25" hidden="1" customHeight="1">
      <c r="B4487" s="7" t="s">
        <v>21</v>
      </c>
      <c r="C4487" s="7" t="s">
        <v>7</v>
      </c>
      <c r="D4487" s="7" t="s">
        <v>32</v>
      </c>
      <c r="E4487" s="7" t="s">
        <v>31</v>
      </c>
      <c r="F4487" s="8">
        <v>2.0</v>
      </c>
      <c r="G4487" s="9">
        <v>1.0</v>
      </c>
    </row>
    <row r="4488" ht="14.25" hidden="1" customHeight="1">
      <c r="B4488" s="7" t="s">
        <v>21</v>
      </c>
      <c r="C4488" s="7" t="s">
        <v>7</v>
      </c>
      <c r="D4488" s="7" t="s">
        <v>31</v>
      </c>
      <c r="E4488" s="7" t="s">
        <v>33</v>
      </c>
      <c r="F4488" s="8">
        <v>2.0</v>
      </c>
      <c r="G4488" s="9">
        <v>1.0</v>
      </c>
    </row>
    <row r="4489" ht="14.25" hidden="1" customHeight="1">
      <c r="B4489" s="7" t="s">
        <v>21</v>
      </c>
      <c r="C4489" s="7" t="s">
        <v>7</v>
      </c>
      <c r="D4489" s="7" t="s">
        <v>31</v>
      </c>
      <c r="E4489" s="7" t="s">
        <v>33</v>
      </c>
      <c r="F4489" s="8">
        <v>2.0</v>
      </c>
      <c r="G4489" s="9">
        <v>1.0</v>
      </c>
    </row>
    <row r="4490" ht="14.25" hidden="1" customHeight="1">
      <c r="B4490" s="7" t="s">
        <v>21</v>
      </c>
      <c r="C4490" s="7" t="s">
        <v>29</v>
      </c>
      <c r="D4490" s="7" t="s">
        <v>31</v>
      </c>
      <c r="E4490" s="7" t="s">
        <v>28</v>
      </c>
      <c r="F4490" s="8">
        <v>2.0</v>
      </c>
      <c r="G4490" s="9">
        <v>2.0</v>
      </c>
    </row>
    <row r="4491" ht="14.25" hidden="1" customHeight="1">
      <c r="B4491" s="7" t="s">
        <v>21</v>
      </c>
      <c r="C4491" s="7" t="s">
        <v>30</v>
      </c>
      <c r="D4491" s="7" t="s">
        <v>31</v>
      </c>
      <c r="E4491" s="7" t="s">
        <v>35</v>
      </c>
      <c r="F4491" s="8">
        <v>2.0</v>
      </c>
      <c r="G4491" s="9">
        <v>1.0</v>
      </c>
    </row>
    <row r="4492" ht="14.25" hidden="1" customHeight="1">
      <c r="B4492" s="7" t="s">
        <v>21</v>
      </c>
      <c r="C4492" s="7" t="s">
        <v>30</v>
      </c>
      <c r="D4492" s="7" t="s">
        <v>31</v>
      </c>
      <c r="E4492" s="7" t="s">
        <v>31</v>
      </c>
      <c r="F4492" s="8">
        <v>2.0</v>
      </c>
      <c r="G4492" s="9">
        <v>1.0</v>
      </c>
    </row>
    <row r="4493" ht="14.25" hidden="1" customHeight="1">
      <c r="B4493" s="7" t="s">
        <v>21</v>
      </c>
      <c r="C4493" s="7" t="s">
        <v>7</v>
      </c>
      <c r="D4493" s="7" t="s">
        <v>31</v>
      </c>
      <c r="E4493" s="7" t="s">
        <v>31</v>
      </c>
      <c r="F4493" s="8">
        <v>2.0</v>
      </c>
      <c r="G4493" s="9">
        <v>1.0</v>
      </c>
    </row>
    <row r="4494" ht="14.25" hidden="1" customHeight="1">
      <c r="B4494" s="7" t="s">
        <v>21</v>
      </c>
      <c r="C4494" s="7" t="s">
        <v>29</v>
      </c>
      <c r="D4494" s="7" t="s">
        <v>31</v>
      </c>
      <c r="E4494" s="7" t="s">
        <v>8</v>
      </c>
      <c r="F4494" s="8">
        <v>2.0</v>
      </c>
      <c r="G4494" s="9">
        <v>2.0</v>
      </c>
    </row>
    <row r="4495" ht="14.25" hidden="1" customHeight="1">
      <c r="B4495" s="7" t="s">
        <v>21</v>
      </c>
      <c r="C4495" s="7" t="s">
        <v>7</v>
      </c>
      <c r="D4495" s="7" t="s">
        <v>31</v>
      </c>
      <c r="E4495" s="7" t="s">
        <v>8</v>
      </c>
      <c r="F4495" s="8">
        <v>2.0</v>
      </c>
      <c r="G4495" s="9">
        <v>1.0</v>
      </c>
    </row>
    <row r="4496" ht="14.25" hidden="1" customHeight="1">
      <c r="B4496" s="7" t="s">
        <v>21</v>
      </c>
      <c r="C4496" s="7" t="s">
        <v>7</v>
      </c>
      <c r="D4496" s="7" t="s">
        <v>8</v>
      </c>
      <c r="E4496" s="7" t="s">
        <v>25</v>
      </c>
      <c r="F4496" s="8">
        <v>2.0</v>
      </c>
      <c r="G4496" s="9">
        <v>1.0</v>
      </c>
    </row>
    <row r="4497" ht="14.25" hidden="1" customHeight="1">
      <c r="B4497" s="7" t="s">
        <v>21</v>
      </c>
      <c r="C4497" s="7" t="s">
        <v>7</v>
      </c>
      <c r="D4497" s="7" t="s">
        <v>8</v>
      </c>
      <c r="E4497" s="7" t="s">
        <v>33</v>
      </c>
      <c r="F4497" s="8">
        <v>2.0</v>
      </c>
      <c r="G4497" s="9">
        <v>1.0</v>
      </c>
    </row>
    <row r="4498" ht="14.25" hidden="1" customHeight="1">
      <c r="B4498" s="7" t="s">
        <v>21</v>
      </c>
      <c r="C4498" s="7" t="s">
        <v>29</v>
      </c>
      <c r="D4498" s="7" t="s">
        <v>8</v>
      </c>
      <c r="E4498" s="7" t="s">
        <v>28</v>
      </c>
      <c r="F4498" s="8">
        <v>2.0</v>
      </c>
      <c r="G4498" s="9">
        <v>2.0</v>
      </c>
    </row>
    <row r="4499" ht="14.25" hidden="1" customHeight="1">
      <c r="B4499" s="7" t="s">
        <v>21</v>
      </c>
      <c r="C4499" s="7" t="s">
        <v>36</v>
      </c>
      <c r="D4499" s="7" t="s">
        <v>8</v>
      </c>
      <c r="E4499" s="7" t="s">
        <v>9</v>
      </c>
      <c r="F4499" s="8">
        <v>2.0</v>
      </c>
      <c r="G4499" s="9">
        <v>2.0</v>
      </c>
    </row>
    <row r="4500" ht="14.25" hidden="1" customHeight="1">
      <c r="B4500" s="7" t="s">
        <v>21</v>
      </c>
      <c r="C4500" s="7" t="s">
        <v>29</v>
      </c>
      <c r="D4500" s="7" t="s">
        <v>8</v>
      </c>
      <c r="E4500" s="7" t="s">
        <v>10</v>
      </c>
      <c r="F4500" s="8">
        <v>2.0</v>
      </c>
      <c r="G4500" s="9">
        <v>2.0</v>
      </c>
    </row>
    <row r="4501" ht="14.25" customHeight="1">
      <c r="B4501" s="7" t="s">
        <v>21</v>
      </c>
      <c r="C4501" s="7" t="s">
        <v>7</v>
      </c>
      <c r="D4501" s="7" t="s">
        <v>8</v>
      </c>
      <c r="E4501" s="7" t="s">
        <v>31</v>
      </c>
      <c r="F4501" s="8">
        <v>2.0</v>
      </c>
      <c r="G4501" s="9">
        <v>1.0</v>
      </c>
    </row>
    <row r="4502" ht="14.25" hidden="1" customHeight="1">
      <c r="B4502" s="7" t="s">
        <v>21</v>
      </c>
      <c r="C4502" s="7" t="s">
        <v>29</v>
      </c>
      <c r="D4502" s="7" t="s">
        <v>25</v>
      </c>
      <c r="E4502" s="7" t="s">
        <v>33</v>
      </c>
      <c r="F4502" s="8">
        <v>1.0</v>
      </c>
      <c r="G4502" s="9">
        <v>1.0</v>
      </c>
    </row>
    <row r="4503" ht="14.25" hidden="1" customHeight="1">
      <c r="B4503" s="7" t="s">
        <v>21</v>
      </c>
      <c r="C4503" s="7" t="s">
        <v>29</v>
      </c>
      <c r="D4503" s="7" t="s">
        <v>25</v>
      </c>
      <c r="E4503" s="7" t="s">
        <v>28</v>
      </c>
      <c r="F4503" s="8">
        <v>1.0</v>
      </c>
      <c r="G4503" s="9">
        <v>1.0</v>
      </c>
    </row>
    <row r="4504" ht="14.25" hidden="1" customHeight="1">
      <c r="B4504" s="7" t="s">
        <v>21</v>
      </c>
      <c r="C4504" s="7" t="s">
        <v>29</v>
      </c>
      <c r="D4504" s="7" t="s">
        <v>25</v>
      </c>
      <c r="E4504" s="7" t="s">
        <v>31</v>
      </c>
      <c r="F4504" s="8">
        <v>1.0</v>
      </c>
      <c r="G4504" s="9">
        <v>1.0</v>
      </c>
    </row>
    <row r="4505" ht="14.25" hidden="1" customHeight="1">
      <c r="B4505" s="7" t="s">
        <v>21</v>
      </c>
      <c r="C4505" s="7" t="s">
        <v>29</v>
      </c>
      <c r="D4505" s="7" t="s">
        <v>33</v>
      </c>
      <c r="E4505" s="7" t="s">
        <v>9</v>
      </c>
      <c r="F4505" s="8">
        <v>1.0</v>
      </c>
      <c r="G4505" s="9">
        <v>1.0</v>
      </c>
    </row>
    <row r="4506" ht="14.25" hidden="1" customHeight="1">
      <c r="B4506" s="7" t="s">
        <v>21</v>
      </c>
      <c r="C4506" s="7" t="s">
        <v>29</v>
      </c>
      <c r="D4506" s="7" t="s">
        <v>33</v>
      </c>
      <c r="E4506" s="7" t="s">
        <v>9</v>
      </c>
      <c r="F4506" s="8">
        <v>1.0</v>
      </c>
      <c r="G4506" s="9">
        <v>1.0</v>
      </c>
    </row>
    <row r="4507" ht="14.25" hidden="1" customHeight="1">
      <c r="B4507" s="7" t="s">
        <v>21</v>
      </c>
      <c r="C4507" s="7" t="s">
        <v>29</v>
      </c>
      <c r="D4507" s="7" t="s">
        <v>11</v>
      </c>
      <c r="E4507" s="7" t="s">
        <v>31</v>
      </c>
      <c r="F4507" s="8">
        <v>1.0</v>
      </c>
      <c r="G4507" s="9">
        <v>1.0</v>
      </c>
    </row>
    <row r="4508" ht="14.25" hidden="1" customHeight="1">
      <c r="B4508" s="7" t="s">
        <v>21</v>
      </c>
      <c r="C4508" s="7" t="s">
        <v>29</v>
      </c>
      <c r="D4508" s="7" t="s">
        <v>35</v>
      </c>
      <c r="E4508" s="7" t="s">
        <v>28</v>
      </c>
      <c r="F4508" s="8">
        <v>1.0</v>
      </c>
      <c r="G4508" s="9">
        <v>1.0</v>
      </c>
    </row>
    <row r="4509" ht="14.25" hidden="1" customHeight="1">
      <c r="B4509" s="7" t="s">
        <v>21</v>
      </c>
      <c r="C4509" s="7" t="s">
        <v>29</v>
      </c>
      <c r="D4509" s="7" t="s">
        <v>35</v>
      </c>
      <c r="E4509" s="7" t="s">
        <v>32</v>
      </c>
      <c r="F4509" s="8">
        <v>1.0</v>
      </c>
      <c r="G4509" s="9">
        <v>1.0</v>
      </c>
    </row>
    <row r="4510" ht="14.25" hidden="1" customHeight="1">
      <c r="B4510" s="7" t="s">
        <v>21</v>
      </c>
      <c r="C4510" s="7" t="s">
        <v>29</v>
      </c>
      <c r="D4510" s="7" t="s">
        <v>34</v>
      </c>
      <c r="E4510" s="7" t="s">
        <v>33</v>
      </c>
      <c r="F4510" s="8">
        <v>1.0</v>
      </c>
      <c r="G4510" s="9">
        <v>1.0</v>
      </c>
    </row>
    <row r="4511" ht="14.25" hidden="1" customHeight="1">
      <c r="B4511" s="7" t="s">
        <v>21</v>
      </c>
      <c r="C4511" s="7" t="s">
        <v>29</v>
      </c>
      <c r="D4511" s="7" t="s">
        <v>34</v>
      </c>
      <c r="E4511" s="7" t="s">
        <v>28</v>
      </c>
      <c r="F4511" s="8">
        <v>1.0</v>
      </c>
      <c r="G4511" s="9">
        <v>1.0</v>
      </c>
    </row>
    <row r="4512" ht="14.25" hidden="1" customHeight="1">
      <c r="B4512" s="7" t="s">
        <v>21</v>
      </c>
      <c r="C4512" s="7" t="s">
        <v>29</v>
      </c>
      <c r="D4512" s="7" t="s">
        <v>34</v>
      </c>
      <c r="E4512" s="7" t="s">
        <v>32</v>
      </c>
      <c r="F4512" s="8">
        <v>1.0</v>
      </c>
      <c r="G4512" s="9">
        <v>1.0</v>
      </c>
    </row>
    <row r="4513" ht="14.25" hidden="1" customHeight="1">
      <c r="B4513" s="7" t="s">
        <v>21</v>
      </c>
      <c r="C4513" s="7" t="s">
        <v>29</v>
      </c>
      <c r="D4513" s="7" t="s">
        <v>9</v>
      </c>
      <c r="E4513" s="7" t="s">
        <v>25</v>
      </c>
      <c r="F4513" s="8">
        <v>1.0</v>
      </c>
      <c r="G4513" s="9">
        <v>1.0</v>
      </c>
    </row>
    <row r="4514" ht="14.25" hidden="1" customHeight="1">
      <c r="B4514" s="7" t="s">
        <v>21</v>
      </c>
      <c r="C4514" s="7" t="s">
        <v>29</v>
      </c>
      <c r="D4514" s="7" t="s">
        <v>9</v>
      </c>
      <c r="E4514" s="7" t="s">
        <v>32</v>
      </c>
      <c r="F4514" s="8">
        <v>1.0</v>
      </c>
      <c r="G4514" s="9">
        <v>1.0</v>
      </c>
    </row>
    <row r="4515" ht="14.25" hidden="1" customHeight="1">
      <c r="B4515" s="7" t="s">
        <v>21</v>
      </c>
      <c r="C4515" s="7" t="s">
        <v>29</v>
      </c>
      <c r="D4515" s="7" t="s">
        <v>10</v>
      </c>
      <c r="E4515" s="7" t="s">
        <v>28</v>
      </c>
      <c r="F4515" s="8">
        <v>1.0</v>
      </c>
      <c r="G4515" s="9">
        <v>1.0</v>
      </c>
    </row>
    <row r="4516" ht="14.25" hidden="1" customHeight="1">
      <c r="B4516" s="7" t="s">
        <v>21</v>
      </c>
      <c r="C4516" s="7" t="s">
        <v>29</v>
      </c>
      <c r="D4516" s="7" t="s">
        <v>10</v>
      </c>
      <c r="E4516" s="7" t="s">
        <v>28</v>
      </c>
      <c r="F4516" s="8">
        <v>1.0</v>
      </c>
      <c r="G4516" s="9">
        <v>1.0</v>
      </c>
    </row>
    <row r="4517" ht="14.25" hidden="1" customHeight="1">
      <c r="B4517" s="7" t="s">
        <v>21</v>
      </c>
      <c r="C4517" s="7" t="s">
        <v>36</v>
      </c>
      <c r="D4517" s="7" t="s">
        <v>32</v>
      </c>
      <c r="E4517" s="7" t="s">
        <v>9</v>
      </c>
      <c r="F4517" s="8">
        <v>1.0</v>
      </c>
      <c r="G4517" s="9">
        <v>1.0</v>
      </c>
    </row>
    <row r="4518" ht="14.25" hidden="1" customHeight="1">
      <c r="B4518" s="7" t="s">
        <v>21</v>
      </c>
      <c r="C4518" s="7" t="s">
        <v>29</v>
      </c>
      <c r="D4518" s="7" t="s">
        <v>31</v>
      </c>
      <c r="E4518" s="7" t="s">
        <v>33</v>
      </c>
      <c r="F4518" s="8">
        <v>1.0</v>
      </c>
      <c r="G4518" s="9">
        <v>1.0</v>
      </c>
    </row>
    <row r="4519" ht="14.25" hidden="1" customHeight="1">
      <c r="B4519" s="7" t="s">
        <v>21</v>
      </c>
      <c r="C4519" s="7" t="s">
        <v>29</v>
      </c>
      <c r="D4519" s="7" t="s">
        <v>31</v>
      </c>
      <c r="E4519" s="7" t="s">
        <v>28</v>
      </c>
      <c r="F4519" s="8">
        <v>1.0</v>
      </c>
      <c r="G4519" s="9">
        <v>1.0</v>
      </c>
    </row>
    <row r="4520" ht="14.25" hidden="1" customHeight="1">
      <c r="B4520" s="7" t="s">
        <v>21</v>
      </c>
      <c r="C4520" s="7" t="s">
        <v>29</v>
      </c>
      <c r="D4520" s="7" t="s">
        <v>31</v>
      </c>
      <c r="E4520" s="7" t="s">
        <v>10</v>
      </c>
      <c r="F4520" s="8">
        <v>1.0</v>
      </c>
      <c r="G4520" s="9">
        <v>1.0</v>
      </c>
    </row>
    <row r="4521" ht="14.25" hidden="1" customHeight="1">
      <c r="B4521" s="7" t="s">
        <v>21</v>
      </c>
      <c r="C4521" s="7" t="s">
        <v>36</v>
      </c>
      <c r="D4521" s="7" t="s">
        <v>8</v>
      </c>
      <c r="E4521" s="7" t="s">
        <v>28</v>
      </c>
      <c r="F4521" s="8">
        <v>1.0</v>
      </c>
      <c r="G4521" s="9">
        <v>1.0</v>
      </c>
    </row>
    <row r="4522" ht="14.25" hidden="1" customHeight="1">
      <c r="B4522" s="7" t="s">
        <v>21</v>
      </c>
      <c r="C4522" s="7" t="s">
        <v>29</v>
      </c>
      <c r="D4522" s="7" t="s">
        <v>8</v>
      </c>
      <c r="E4522" s="7" t="s">
        <v>10</v>
      </c>
      <c r="F4522" s="8">
        <v>1.0</v>
      </c>
      <c r="G4522" s="9">
        <v>1.0</v>
      </c>
    </row>
    <row r="4523" ht="14.25" hidden="1" customHeight="1">
      <c r="B4523" s="7" t="s">
        <v>21</v>
      </c>
      <c r="C4523" s="7" t="s">
        <v>36</v>
      </c>
      <c r="D4523" s="7" t="s">
        <v>8</v>
      </c>
      <c r="E4523" s="7" t="s">
        <v>10</v>
      </c>
      <c r="F4523" s="8">
        <v>1.0</v>
      </c>
      <c r="G4523" s="9">
        <v>1.0</v>
      </c>
    </row>
    <row r="4524" ht="14.25" customHeight="1">
      <c r="B4524" s="7" t="s">
        <v>21</v>
      </c>
      <c r="C4524" s="7" t="s">
        <v>29</v>
      </c>
      <c r="D4524" s="7" t="s">
        <v>8</v>
      </c>
      <c r="E4524" s="7" t="s">
        <v>31</v>
      </c>
      <c r="F4524" s="8">
        <v>1.0</v>
      </c>
      <c r="G4524" s="9">
        <v>1.0</v>
      </c>
    </row>
    <row r="4525" ht="14.25" customHeight="1">
      <c r="B4525" s="7" t="s">
        <v>21</v>
      </c>
      <c r="C4525" s="7" t="s">
        <v>29</v>
      </c>
      <c r="D4525" s="7" t="s">
        <v>8</v>
      </c>
      <c r="E4525" s="7" t="s">
        <v>31</v>
      </c>
      <c r="F4525" s="8">
        <v>1.0</v>
      </c>
      <c r="G4525" s="9">
        <v>1.0</v>
      </c>
    </row>
    <row r="4526" ht="14.25" hidden="1" customHeight="1">
      <c r="B4526" s="7" t="s">
        <v>20</v>
      </c>
      <c r="C4526" s="7" t="s">
        <v>7</v>
      </c>
      <c r="D4526" s="7" t="s">
        <v>25</v>
      </c>
      <c r="E4526" s="7" t="s">
        <v>8</v>
      </c>
      <c r="F4526" s="8">
        <v>4988.0</v>
      </c>
      <c r="G4526" s="9">
        <v>2494.0</v>
      </c>
    </row>
    <row r="4527" ht="14.25" hidden="1" customHeight="1">
      <c r="B4527" s="7" t="s">
        <v>20</v>
      </c>
      <c r="C4527" s="7" t="s">
        <v>7</v>
      </c>
      <c r="D4527" s="7" t="s">
        <v>8</v>
      </c>
      <c r="E4527" s="7" t="s">
        <v>9</v>
      </c>
      <c r="F4527" s="8">
        <v>4472.0</v>
      </c>
      <c r="G4527" s="9">
        <v>2236.0</v>
      </c>
    </row>
    <row r="4528" ht="14.25" hidden="1" customHeight="1">
      <c r="B4528" s="7" t="s">
        <v>20</v>
      </c>
      <c r="C4528" s="7" t="s">
        <v>7</v>
      </c>
      <c r="D4528" s="7" t="s">
        <v>8</v>
      </c>
      <c r="E4528" s="7" t="s">
        <v>28</v>
      </c>
      <c r="F4528" s="8">
        <v>4122.0</v>
      </c>
      <c r="G4528" s="9">
        <v>2061.0</v>
      </c>
    </row>
    <row r="4529" ht="14.25" hidden="1" customHeight="1">
      <c r="B4529" s="7" t="s">
        <v>20</v>
      </c>
      <c r="C4529" s="7" t="s">
        <v>7</v>
      </c>
      <c r="D4529" s="7" t="s">
        <v>10</v>
      </c>
      <c r="E4529" s="7" t="s">
        <v>11</v>
      </c>
      <c r="F4529" s="8">
        <v>4048.0</v>
      </c>
      <c r="G4529" s="9">
        <v>2024.0</v>
      </c>
    </row>
    <row r="4530" ht="14.25" hidden="1" customHeight="1">
      <c r="B4530" s="7" t="s">
        <v>20</v>
      </c>
      <c r="C4530" s="7" t="s">
        <v>7</v>
      </c>
      <c r="D4530" s="7" t="s">
        <v>25</v>
      </c>
      <c r="E4530" s="7" t="s">
        <v>8</v>
      </c>
      <c r="F4530" s="8">
        <v>3742.0</v>
      </c>
      <c r="G4530" s="9">
        <v>1871.0</v>
      </c>
    </row>
    <row r="4531" ht="14.25" hidden="1" customHeight="1">
      <c r="B4531" s="7" t="s">
        <v>20</v>
      </c>
      <c r="C4531" s="7" t="s">
        <v>7</v>
      </c>
      <c r="D4531" s="7" t="s">
        <v>8</v>
      </c>
      <c r="E4531" s="7" t="s">
        <v>11</v>
      </c>
      <c r="F4531" s="8">
        <v>2504.0</v>
      </c>
      <c r="G4531" s="9">
        <v>1252.0</v>
      </c>
    </row>
    <row r="4532" ht="14.25" hidden="1" customHeight="1">
      <c r="B4532" s="7" t="s">
        <v>20</v>
      </c>
      <c r="C4532" s="7" t="s">
        <v>7</v>
      </c>
      <c r="D4532" s="7" t="s">
        <v>31</v>
      </c>
      <c r="E4532" s="7" t="s">
        <v>9</v>
      </c>
      <c r="F4532" s="8">
        <v>2488.0</v>
      </c>
      <c r="G4532" s="9">
        <v>1244.0</v>
      </c>
    </row>
    <row r="4533" ht="14.25" hidden="1" customHeight="1">
      <c r="B4533" s="7" t="s">
        <v>20</v>
      </c>
      <c r="C4533" s="7" t="s">
        <v>29</v>
      </c>
      <c r="D4533" s="7" t="s">
        <v>11</v>
      </c>
      <c r="E4533" s="7" t="s">
        <v>10</v>
      </c>
      <c r="F4533" s="8">
        <v>2140.0</v>
      </c>
      <c r="G4533" s="9">
        <v>2140.0</v>
      </c>
    </row>
    <row r="4534" ht="14.25" hidden="1" customHeight="1">
      <c r="B4534" s="7" t="s">
        <v>20</v>
      </c>
      <c r="C4534" s="7" t="s">
        <v>7</v>
      </c>
      <c r="D4534" s="7" t="s">
        <v>8</v>
      </c>
      <c r="E4534" s="7" t="s">
        <v>24</v>
      </c>
      <c r="F4534" s="8">
        <v>1990.0</v>
      </c>
      <c r="G4534" s="9">
        <v>995.0</v>
      </c>
    </row>
    <row r="4535" ht="14.25" hidden="1" customHeight="1">
      <c r="B4535" s="7" t="s">
        <v>20</v>
      </c>
      <c r="C4535" s="7" t="s">
        <v>7</v>
      </c>
      <c r="D4535" s="7" t="s">
        <v>8</v>
      </c>
      <c r="E4535" s="7" t="s">
        <v>25</v>
      </c>
      <c r="F4535" s="8">
        <v>1744.0</v>
      </c>
      <c r="G4535" s="9">
        <v>872.0</v>
      </c>
    </row>
    <row r="4536" ht="14.25" hidden="1" customHeight="1">
      <c r="B4536" s="7" t="s">
        <v>20</v>
      </c>
      <c r="C4536" s="7" t="s">
        <v>7</v>
      </c>
      <c r="D4536" s="7" t="s">
        <v>9</v>
      </c>
      <c r="E4536" s="7" t="s">
        <v>25</v>
      </c>
      <c r="F4536" s="8">
        <v>1742.0</v>
      </c>
      <c r="G4536" s="9">
        <v>871.0</v>
      </c>
    </row>
    <row r="4537" ht="14.25" hidden="1" customHeight="1">
      <c r="B4537" s="7" t="s">
        <v>20</v>
      </c>
      <c r="C4537" s="7" t="s">
        <v>7</v>
      </c>
      <c r="D4537" s="7" t="s">
        <v>31</v>
      </c>
      <c r="E4537" s="7" t="s">
        <v>28</v>
      </c>
      <c r="F4537" s="8">
        <v>1492.0</v>
      </c>
      <c r="G4537" s="9">
        <v>746.0</v>
      </c>
    </row>
    <row r="4538" ht="14.25" hidden="1" customHeight="1">
      <c r="B4538" s="7" t="s">
        <v>20</v>
      </c>
      <c r="C4538" s="7" t="s">
        <v>7</v>
      </c>
      <c r="D4538" s="7" t="s">
        <v>8</v>
      </c>
      <c r="E4538" s="7" t="s">
        <v>28</v>
      </c>
      <c r="F4538" s="8">
        <v>1490.0</v>
      </c>
      <c r="G4538" s="9">
        <v>745.0</v>
      </c>
    </row>
    <row r="4539" ht="14.25" hidden="1" customHeight="1">
      <c r="B4539" s="7" t="s">
        <v>20</v>
      </c>
      <c r="C4539" s="7" t="s">
        <v>7</v>
      </c>
      <c r="D4539" s="7" t="s">
        <v>25</v>
      </c>
      <c r="E4539" s="7" t="s">
        <v>9</v>
      </c>
      <c r="F4539" s="8">
        <v>1488.0</v>
      </c>
      <c r="G4539" s="9">
        <v>744.0</v>
      </c>
    </row>
    <row r="4540" ht="14.25" hidden="1" customHeight="1">
      <c r="B4540" s="7" t="s">
        <v>20</v>
      </c>
      <c r="C4540" s="7" t="s">
        <v>7</v>
      </c>
      <c r="D4540" s="7" t="s">
        <v>10</v>
      </c>
      <c r="E4540" s="7" t="s">
        <v>9</v>
      </c>
      <c r="F4540" s="8">
        <v>1192.0</v>
      </c>
      <c r="G4540" s="9">
        <v>596.0</v>
      </c>
    </row>
    <row r="4541" ht="14.25" hidden="1" customHeight="1">
      <c r="B4541" s="7" t="s">
        <v>20</v>
      </c>
      <c r="C4541" s="7" t="s">
        <v>7</v>
      </c>
      <c r="D4541" s="7" t="s">
        <v>31</v>
      </c>
      <c r="E4541" s="7" t="s">
        <v>9</v>
      </c>
      <c r="F4541" s="8">
        <v>1146.0</v>
      </c>
      <c r="G4541" s="9">
        <v>573.0</v>
      </c>
    </row>
    <row r="4542" ht="14.25" hidden="1" customHeight="1">
      <c r="B4542" s="7" t="s">
        <v>20</v>
      </c>
      <c r="C4542" s="7" t="s">
        <v>29</v>
      </c>
      <c r="D4542" s="7" t="s">
        <v>31</v>
      </c>
      <c r="E4542" s="7" t="s">
        <v>9</v>
      </c>
      <c r="F4542" s="8">
        <v>1090.0</v>
      </c>
      <c r="G4542" s="9">
        <v>1090.0</v>
      </c>
    </row>
    <row r="4543" ht="14.25" hidden="1" customHeight="1">
      <c r="B4543" s="7" t="s">
        <v>20</v>
      </c>
      <c r="C4543" s="7" t="s">
        <v>7</v>
      </c>
      <c r="D4543" s="7" t="s">
        <v>33</v>
      </c>
      <c r="E4543" s="7" t="s">
        <v>8</v>
      </c>
      <c r="F4543" s="8">
        <v>1082.0</v>
      </c>
      <c r="G4543" s="9">
        <v>541.0</v>
      </c>
    </row>
    <row r="4544" ht="14.25" hidden="1" customHeight="1">
      <c r="B4544" s="7" t="s">
        <v>20</v>
      </c>
      <c r="C4544" s="7" t="s">
        <v>7</v>
      </c>
      <c r="D4544" s="7" t="s">
        <v>25</v>
      </c>
      <c r="E4544" s="7" t="s">
        <v>28</v>
      </c>
      <c r="F4544" s="8">
        <v>1012.0</v>
      </c>
      <c r="G4544" s="9">
        <v>506.0</v>
      </c>
    </row>
    <row r="4545" ht="14.25" hidden="1" customHeight="1">
      <c r="B4545" s="7" t="s">
        <v>20</v>
      </c>
      <c r="C4545" s="7" t="s">
        <v>7</v>
      </c>
      <c r="D4545" s="7" t="s">
        <v>28</v>
      </c>
      <c r="E4545" s="7" t="s">
        <v>25</v>
      </c>
      <c r="F4545" s="8">
        <v>886.0</v>
      </c>
      <c r="G4545" s="9">
        <v>443.0</v>
      </c>
    </row>
    <row r="4546" ht="14.25" hidden="1" customHeight="1">
      <c r="B4546" s="7" t="s">
        <v>20</v>
      </c>
      <c r="C4546" s="7" t="s">
        <v>29</v>
      </c>
      <c r="D4546" s="7" t="s">
        <v>10</v>
      </c>
      <c r="E4546" s="7" t="s">
        <v>11</v>
      </c>
      <c r="F4546" s="8">
        <v>811.0</v>
      </c>
      <c r="G4546" s="9">
        <v>811.0</v>
      </c>
    </row>
    <row r="4547" ht="14.25" hidden="1" customHeight="1">
      <c r="B4547" s="7" t="s">
        <v>20</v>
      </c>
      <c r="C4547" s="7" t="s">
        <v>7</v>
      </c>
      <c r="D4547" s="7" t="s">
        <v>28</v>
      </c>
      <c r="E4547" s="7" t="s">
        <v>8</v>
      </c>
      <c r="F4547" s="8">
        <v>808.0</v>
      </c>
      <c r="G4547" s="9">
        <v>404.0</v>
      </c>
    </row>
    <row r="4548" ht="14.25" hidden="1" customHeight="1">
      <c r="B4548" s="7" t="s">
        <v>20</v>
      </c>
      <c r="C4548" s="7" t="s">
        <v>7</v>
      </c>
      <c r="D4548" s="7" t="s">
        <v>31</v>
      </c>
      <c r="E4548" s="7" t="s">
        <v>25</v>
      </c>
      <c r="F4548" s="8">
        <v>796.0</v>
      </c>
      <c r="G4548" s="9">
        <v>398.0</v>
      </c>
    </row>
    <row r="4549" ht="14.25" hidden="1" customHeight="1">
      <c r="B4549" s="7" t="s">
        <v>20</v>
      </c>
      <c r="C4549" s="7" t="s">
        <v>30</v>
      </c>
      <c r="D4549" s="7" t="s">
        <v>31</v>
      </c>
      <c r="E4549" s="7" t="s">
        <v>9</v>
      </c>
      <c r="F4549" s="8">
        <v>792.0</v>
      </c>
      <c r="G4549" s="9">
        <v>396.0</v>
      </c>
    </row>
    <row r="4550" ht="14.25" hidden="1" customHeight="1">
      <c r="B4550" s="7" t="s">
        <v>20</v>
      </c>
      <c r="C4550" s="7" t="s">
        <v>29</v>
      </c>
      <c r="D4550" s="7" t="s">
        <v>31</v>
      </c>
      <c r="E4550" s="7" t="s">
        <v>28</v>
      </c>
      <c r="F4550" s="8">
        <v>728.0</v>
      </c>
      <c r="G4550" s="9">
        <v>728.0</v>
      </c>
    </row>
    <row r="4551" ht="14.25" hidden="1" customHeight="1">
      <c r="B4551" s="7" t="s">
        <v>20</v>
      </c>
      <c r="C4551" s="7" t="s">
        <v>7</v>
      </c>
      <c r="D4551" s="7" t="s">
        <v>10</v>
      </c>
      <c r="E4551" s="7" t="s">
        <v>33</v>
      </c>
      <c r="F4551" s="8">
        <v>700.0</v>
      </c>
      <c r="G4551" s="9">
        <v>350.0</v>
      </c>
    </row>
    <row r="4552" ht="14.25" hidden="1" customHeight="1">
      <c r="B4552" s="7" t="s">
        <v>20</v>
      </c>
      <c r="C4552" s="7" t="s">
        <v>30</v>
      </c>
      <c r="D4552" s="7" t="s">
        <v>8</v>
      </c>
      <c r="E4552" s="7" t="s">
        <v>28</v>
      </c>
      <c r="F4552" s="8">
        <v>668.0</v>
      </c>
      <c r="G4552" s="9">
        <v>334.0</v>
      </c>
    </row>
    <row r="4553" ht="14.25" hidden="1" customHeight="1">
      <c r="B4553" s="7" t="s">
        <v>20</v>
      </c>
      <c r="C4553" s="7" t="s">
        <v>7</v>
      </c>
      <c r="D4553" s="7" t="s">
        <v>9</v>
      </c>
      <c r="E4553" s="7" t="s">
        <v>8</v>
      </c>
      <c r="F4553" s="8">
        <v>664.0</v>
      </c>
      <c r="G4553" s="9">
        <v>332.0</v>
      </c>
    </row>
    <row r="4554" ht="14.25" hidden="1" customHeight="1">
      <c r="B4554" s="7" t="s">
        <v>20</v>
      </c>
      <c r="C4554" s="7" t="s">
        <v>30</v>
      </c>
      <c r="D4554" s="7" t="s">
        <v>31</v>
      </c>
      <c r="E4554" s="7" t="s">
        <v>28</v>
      </c>
      <c r="F4554" s="8">
        <v>656.0</v>
      </c>
      <c r="G4554" s="9">
        <v>328.0</v>
      </c>
    </row>
    <row r="4555" ht="14.25" hidden="1" customHeight="1">
      <c r="B4555" s="7" t="s">
        <v>20</v>
      </c>
      <c r="C4555" s="7" t="s">
        <v>7</v>
      </c>
      <c r="D4555" s="7" t="s">
        <v>25</v>
      </c>
      <c r="E4555" s="7" t="s">
        <v>10</v>
      </c>
      <c r="F4555" s="8">
        <v>640.0</v>
      </c>
      <c r="G4555" s="9">
        <v>320.0</v>
      </c>
    </row>
    <row r="4556" ht="14.25" hidden="1" customHeight="1">
      <c r="B4556" s="7" t="s">
        <v>20</v>
      </c>
      <c r="C4556" s="7" t="s">
        <v>30</v>
      </c>
      <c r="D4556" s="7" t="s">
        <v>31</v>
      </c>
      <c r="E4556" s="7" t="s">
        <v>25</v>
      </c>
      <c r="F4556" s="8">
        <v>602.0</v>
      </c>
      <c r="G4556" s="9">
        <v>301.0</v>
      </c>
    </row>
    <row r="4557" ht="14.25" hidden="1" customHeight="1">
      <c r="B4557" s="7" t="s">
        <v>20</v>
      </c>
      <c r="C4557" s="7" t="s">
        <v>7</v>
      </c>
      <c r="D4557" s="7" t="s">
        <v>10</v>
      </c>
      <c r="E4557" s="7" t="s">
        <v>28</v>
      </c>
      <c r="F4557" s="8">
        <v>576.0</v>
      </c>
      <c r="G4557" s="9">
        <v>288.0</v>
      </c>
    </row>
    <row r="4558" ht="14.25" hidden="1" customHeight="1">
      <c r="B4558" s="7" t="s">
        <v>20</v>
      </c>
      <c r="C4558" s="7" t="s">
        <v>7</v>
      </c>
      <c r="D4558" s="7" t="s">
        <v>8</v>
      </c>
      <c r="E4558" s="7" t="s">
        <v>33</v>
      </c>
      <c r="F4558" s="8">
        <v>566.0</v>
      </c>
      <c r="G4558" s="9">
        <v>283.0</v>
      </c>
    </row>
    <row r="4559" ht="14.25" hidden="1" customHeight="1">
      <c r="B4559" s="7" t="s">
        <v>20</v>
      </c>
      <c r="C4559" s="7" t="s">
        <v>29</v>
      </c>
      <c r="D4559" s="7" t="s">
        <v>32</v>
      </c>
      <c r="E4559" s="7" t="s">
        <v>28</v>
      </c>
      <c r="F4559" s="8">
        <v>553.0</v>
      </c>
      <c r="G4559" s="9">
        <v>553.0</v>
      </c>
    </row>
    <row r="4560" ht="14.25" hidden="1" customHeight="1">
      <c r="B4560" s="7" t="s">
        <v>20</v>
      </c>
      <c r="C4560" s="7" t="s">
        <v>29</v>
      </c>
      <c r="D4560" s="7" t="s">
        <v>8</v>
      </c>
      <c r="E4560" s="7" t="s">
        <v>9</v>
      </c>
      <c r="F4560" s="8">
        <v>552.0</v>
      </c>
      <c r="G4560" s="9">
        <v>552.0</v>
      </c>
    </row>
    <row r="4561" ht="14.25" hidden="1" customHeight="1">
      <c r="B4561" s="7" t="s">
        <v>20</v>
      </c>
      <c r="C4561" s="7" t="s">
        <v>7</v>
      </c>
      <c r="D4561" s="7" t="s">
        <v>8</v>
      </c>
      <c r="E4561" s="7" t="s">
        <v>10</v>
      </c>
      <c r="F4561" s="8">
        <v>552.0</v>
      </c>
      <c r="G4561" s="9">
        <v>276.0</v>
      </c>
    </row>
    <row r="4562" ht="14.25" hidden="1" customHeight="1">
      <c r="B4562" s="7" t="s">
        <v>20</v>
      </c>
      <c r="C4562" s="7" t="s">
        <v>29</v>
      </c>
      <c r="D4562" s="7" t="s">
        <v>8</v>
      </c>
      <c r="E4562" s="7" t="s">
        <v>11</v>
      </c>
      <c r="F4562" s="8">
        <v>548.0</v>
      </c>
      <c r="G4562" s="9">
        <v>548.0</v>
      </c>
    </row>
    <row r="4563" ht="14.25" hidden="1" customHeight="1">
      <c r="B4563" s="7" t="s">
        <v>20</v>
      </c>
      <c r="C4563" s="7" t="s">
        <v>7</v>
      </c>
      <c r="D4563" s="7" t="s">
        <v>31</v>
      </c>
      <c r="E4563" s="7" t="s">
        <v>28</v>
      </c>
      <c r="F4563" s="8">
        <v>536.0</v>
      </c>
      <c r="G4563" s="9">
        <v>268.0</v>
      </c>
    </row>
    <row r="4564" ht="14.25" hidden="1" customHeight="1">
      <c r="B4564" s="7" t="s">
        <v>20</v>
      </c>
      <c r="C4564" s="7" t="s">
        <v>29</v>
      </c>
      <c r="D4564" s="7" t="s">
        <v>33</v>
      </c>
      <c r="E4564" s="7" t="s">
        <v>8</v>
      </c>
      <c r="F4564" s="8">
        <v>511.0</v>
      </c>
      <c r="G4564" s="9">
        <v>511.0</v>
      </c>
    </row>
    <row r="4565" ht="14.25" hidden="1" customHeight="1">
      <c r="B4565" s="7" t="s">
        <v>20</v>
      </c>
      <c r="C4565" s="7" t="s">
        <v>7</v>
      </c>
      <c r="D4565" s="7" t="s">
        <v>9</v>
      </c>
      <c r="E4565" s="7" t="s">
        <v>25</v>
      </c>
      <c r="F4565" s="8">
        <v>500.0</v>
      </c>
      <c r="G4565" s="9">
        <v>250.0</v>
      </c>
    </row>
    <row r="4566" ht="14.25" hidden="1" customHeight="1">
      <c r="B4566" s="7" t="s">
        <v>20</v>
      </c>
      <c r="C4566" s="7" t="s">
        <v>29</v>
      </c>
      <c r="D4566" s="7" t="s">
        <v>8</v>
      </c>
      <c r="E4566" s="7" t="s">
        <v>24</v>
      </c>
      <c r="F4566" s="8">
        <v>491.0</v>
      </c>
      <c r="G4566" s="9">
        <v>491.0</v>
      </c>
    </row>
    <row r="4567" ht="14.25" hidden="1" customHeight="1">
      <c r="B4567" s="7" t="s">
        <v>20</v>
      </c>
      <c r="C4567" s="7" t="s">
        <v>7</v>
      </c>
      <c r="D4567" s="7" t="s">
        <v>9</v>
      </c>
      <c r="E4567" s="7" t="s">
        <v>31</v>
      </c>
      <c r="F4567" s="8">
        <v>486.0</v>
      </c>
      <c r="G4567" s="9">
        <v>243.0</v>
      </c>
    </row>
    <row r="4568" ht="14.25" hidden="1" customHeight="1">
      <c r="B4568" s="7" t="s">
        <v>20</v>
      </c>
      <c r="C4568" s="7" t="s">
        <v>7</v>
      </c>
      <c r="D4568" s="7" t="s">
        <v>32</v>
      </c>
      <c r="E4568" s="7" t="s">
        <v>9</v>
      </c>
      <c r="F4568" s="8">
        <v>486.0</v>
      </c>
      <c r="G4568" s="9">
        <v>243.0</v>
      </c>
    </row>
    <row r="4569" ht="14.25" customHeight="1">
      <c r="B4569" s="7" t="s">
        <v>20</v>
      </c>
      <c r="C4569" s="7" t="s">
        <v>7</v>
      </c>
      <c r="D4569" s="7" t="s">
        <v>8</v>
      </c>
      <c r="E4569" s="7" t="s">
        <v>31</v>
      </c>
      <c r="F4569" s="8">
        <v>476.0</v>
      </c>
      <c r="G4569" s="9">
        <v>238.0</v>
      </c>
    </row>
    <row r="4570" ht="14.25" hidden="1" customHeight="1">
      <c r="B4570" s="7" t="s">
        <v>20</v>
      </c>
      <c r="C4570" s="7" t="s">
        <v>30</v>
      </c>
      <c r="D4570" s="7" t="s">
        <v>8</v>
      </c>
      <c r="E4570" s="7" t="s">
        <v>9</v>
      </c>
      <c r="F4570" s="8">
        <v>474.0</v>
      </c>
      <c r="G4570" s="9">
        <v>237.0</v>
      </c>
    </row>
    <row r="4571" ht="14.25" hidden="1" customHeight="1">
      <c r="B4571" s="7" t="s">
        <v>20</v>
      </c>
      <c r="C4571" s="7" t="s">
        <v>7</v>
      </c>
      <c r="D4571" s="7" t="s">
        <v>9</v>
      </c>
      <c r="E4571" s="7" t="s">
        <v>8</v>
      </c>
      <c r="F4571" s="8">
        <v>472.0</v>
      </c>
      <c r="G4571" s="9">
        <v>236.0</v>
      </c>
    </row>
    <row r="4572" ht="14.25" hidden="1" customHeight="1">
      <c r="B4572" s="7" t="s">
        <v>20</v>
      </c>
      <c r="C4572" s="7" t="s">
        <v>29</v>
      </c>
      <c r="D4572" s="7" t="s">
        <v>28</v>
      </c>
      <c r="E4572" s="7" t="s">
        <v>8</v>
      </c>
      <c r="F4572" s="8">
        <v>468.0</v>
      </c>
      <c r="G4572" s="9">
        <v>468.0</v>
      </c>
    </row>
    <row r="4573" ht="14.25" customHeight="1">
      <c r="B4573" s="7" t="s">
        <v>20</v>
      </c>
      <c r="C4573" s="7" t="s">
        <v>7</v>
      </c>
      <c r="D4573" s="7" t="s">
        <v>8</v>
      </c>
      <c r="E4573" s="7" t="s">
        <v>31</v>
      </c>
      <c r="F4573" s="8">
        <v>468.0</v>
      </c>
      <c r="G4573" s="9">
        <v>234.0</v>
      </c>
    </row>
    <row r="4574" ht="14.25" hidden="1" customHeight="1">
      <c r="B4574" s="7" t="s">
        <v>20</v>
      </c>
      <c r="C4574" s="7" t="s">
        <v>7</v>
      </c>
      <c r="D4574" s="7" t="s">
        <v>25</v>
      </c>
      <c r="E4574" s="7" t="s">
        <v>31</v>
      </c>
      <c r="F4574" s="8">
        <v>466.0</v>
      </c>
      <c r="G4574" s="9">
        <v>233.0</v>
      </c>
    </row>
    <row r="4575" ht="14.25" customHeight="1">
      <c r="B4575" s="7" t="s">
        <v>20</v>
      </c>
      <c r="C4575" s="7" t="s">
        <v>30</v>
      </c>
      <c r="D4575" s="7" t="s">
        <v>8</v>
      </c>
      <c r="E4575" s="7" t="s">
        <v>31</v>
      </c>
      <c r="F4575" s="8">
        <v>462.0</v>
      </c>
      <c r="G4575" s="9">
        <v>231.0</v>
      </c>
    </row>
    <row r="4576" ht="14.25" hidden="1" customHeight="1">
      <c r="B4576" s="7" t="s">
        <v>20</v>
      </c>
      <c r="C4576" s="7" t="s">
        <v>7</v>
      </c>
      <c r="D4576" s="7" t="s">
        <v>31</v>
      </c>
      <c r="E4576" s="7" t="s">
        <v>33</v>
      </c>
      <c r="F4576" s="8">
        <v>460.0</v>
      </c>
      <c r="G4576" s="9">
        <v>230.0</v>
      </c>
    </row>
    <row r="4577" ht="14.25" hidden="1" customHeight="1">
      <c r="B4577" s="7" t="s">
        <v>20</v>
      </c>
      <c r="C4577" s="7" t="s">
        <v>29</v>
      </c>
      <c r="D4577" s="7" t="s">
        <v>9</v>
      </c>
      <c r="E4577" s="7" t="s">
        <v>8</v>
      </c>
      <c r="F4577" s="8">
        <v>452.0</v>
      </c>
      <c r="G4577" s="9">
        <v>452.0</v>
      </c>
    </row>
    <row r="4578" ht="14.25" hidden="1" customHeight="1">
      <c r="B4578" s="7" t="s">
        <v>20</v>
      </c>
      <c r="C4578" s="7" t="s">
        <v>7</v>
      </c>
      <c r="D4578" s="7" t="s">
        <v>28</v>
      </c>
      <c r="E4578" s="7" t="s">
        <v>25</v>
      </c>
      <c r="F4578" s="8">
        <v>434.0</v>
      </c>
      <c r="G4578" s="9">
        <v>217.0</v>
      </c>
    </row>
    <row r="4579" ht="14.25" hidden="1" customHeight="1">
      <c r="B4579" s="7" t="s">
        <v>20</v>
      </c>
      <c r="C4579" s="7" t="s">
        <v>29</v>
      </c>
      <c r="D4579" s="7" t="s">
        <v>8</v>
      </c>
      <c r="E4579" s="7" t="s">
        <v>28</v>
      </c>
      <c r="F4579" s="8">
        <v>415.0</v>
      </c>
      <c r="G4579" s="9">
        <v>415.0</v>
      </c>
    </row>
    <row r="4580" ht="14.25" hidden="1" customHeight="1">
      <c r="B4580" s="7" t="s">
        <v>20</v>
      </c>
      <c r="C4580" s="7" t="s">
        <v>29</v>
      </c>
      <c r="D4580" s="7" t="s">
        <v>32</v>
      </c>
      <c r="E4580" s="7" t="s">
        <v>9</v>
      </c>
      <c r="F4580" s="8">
        <v>409.0</v>
      </c>
      <c r="G4580" s="9">
        <v>409.0</v>
      </c>
    </row>
    <row r="4581" ht="14.25" hidden="1" customHeight="1">
      <c r="B4581" s="7" t="s">
        <v>20</v>
      </c>
      <c r="C4581" s="7" t="s">
        <v>7</v>
      </c>
      <c r="D4581" s="7" t="s">
        <v>25</v>
      </c>
      <c r="E4581" s="7" t="s">
        <v>33</v>
      </c>
      <c r="F4581" s="8">
        <v>404.0</v>
      </c>
      <c r="G4581" s="9">
        <v>202.0</v>
      </c>
    </row>
    <row r="4582" ht="14.25" hidden="1" customHeight="1">
      <c r="B4582" s="7" t="s">
        <v>20</v>
      </c>
      <c r="C4582" s="7" t="s">
        <v>7</v>
      </c>
      <c r="D4582" s="7" t="s">
        <v>33</v>
      </c>
      <c r="E4582" s="7" t="s">
        <v>8</v>
      </c>
      <c r="F4582" s="8">
        <v>398.0</v>
      </c>
      <c r="G4582" s="9">
        <v>199.0</v>
      </c>
    </row>
    <row r="4583" ht="14.25" hidden="1" customHeight="1">
      <c r="B4583" s="7" t="s">
        <v>20</v>
      </c>
      <c r="C4583" s="7" t="s">
        <v>7</v>
      </c>
      <c r="D4583" s="7" t="s">
        <v>32</v>
      </c>
      <c r="E4583" s="7" t="s">
        <v>28</v>
      </c>
      <c r="F4583" s="8">
        <v>394.0</v>
      </c>
      <c r="G4583" s="9">
        <v>197.0</v>
      </c>
    </row>
    <row r="4584" ht="14.25" hidden="1" customHeight="1">
      <c r="B4584" s="7" t="s">
        <v>20</v>
      </c>
      <c r="C4584" s="7" t="s">
        <v>7</v>
      </c>
      <c r="D4584" s="7" t="s">
        <v>25</v>
      </c>
      <c r="E4584" s="7" t="s">
        <v>10</v>
      </c>
      <c r="F4584" s="8">
        <v>392.0</v>
      </c>
      <c r="G4584" s="9">
        <v>196.0</v>
      </c>
    </row>
    <row r="4585" ht="14.25" hidden="1" customHeight="1">
      <c r="B4585" s="7" t="s">
        <v>20</v>
      </c>
      <c r="C4585" s="7" t="s">
        <v>29</v>
      </c>
      <c r="D4585" s="7" t="s">
        <v>32</v>
      </c>
      <c r="E4585" s="7" t="s">
        <v>33</v>
      </c>
      <c r="F4585" s="8">
        <v>390.0</v>
      </c>
      <c r="G4585" s="9">
        <v>390.0</v>
      </c>
    </row>
    <row r="4586" ht="14.25" hidden="1" customHeight="1">
      <c r="B4586" s="7" t="s">
        <v>20</v>
      </c>
      <c r="C4586" s="7" t="s">
        <v>7</v>
      </c>
      <c r="D4586" s="7" t="s">
        <v>9</v>
      </c>
      <c r="E4586" s="7" t="s">
        <v>31</v>
      </c>
      <c r="F4586" s="8">
        <v>368.0</v>
      </c>
      <c r="G4586" s="9">
        <v>184.0</v>
      </c>
    </row>
    <row r="4587" ht="14.25" hidden="1" customHeight="1">
      <c r="B4587" s="7" t="s">
        <v>20</v>
      </c>
      <c r="C4587" s="7" t="s">
        <v>7</v>
      </c>
      <c r="D4587" s="7" t="s">
        <v>11</v>
      </c>
      <c r="E4587" s="7" t="s">
        <v>10</v>
      </c>
      <c r="F4587" s="8">
        <v>366.0</v>
      </c>
      <c r="G4587" s="9">
        <v>183.0</v>
      </c>
    </row>
    <row r="4588" ht="14.25" hidden="1" customHeight="1">
      <c r="B4588" s="7" t="s">
        <v>20</v>
      </c>
      <c r="C4588" s="7" t="s">
        <v>30</v>
      </c>
      <c r="D4588" s="7" t="s">
        <v>8</v>
      </c>
      <c r="E4588" s="7" t="s">
        <v>24</v>
      </c>
      <c r="F4588" s="8">
        <v>360.0</v>
      </c>
      <c r="G4588" s="9">
        <v>180.0</v>
      </c>
    </row>
    <row r="4589" ht="14.25" hidden="1" customHeight="1">
      <c r="B4589" s="7" t="s">
        <v>20</v>
      </c>
      <c r="C4589" s="7" t="s">
        <v>7</v>
      </c>
      <c r="D4589" s="7" t="s">
        <v>28</v>
      </c>
      <c r="E4589" s="7" t="s">
        <v>9</v>
      </c>
      <c r="F4589" s="8">
        <v>356.0</v>
      </c>
      <c r="G4589" s="9">
        <v>178.0</v>
      </c>
    </row>
    <row r="4590" ht="14.25" hidden="1" customHeight="1">
      <c r="B4590" s="7" t="s">
        <v>20</v>
      </c>
      <c r="C4590" s="7" t="s">
        <v>7</v>
      </c>
      <c r="D4590" s="7" t="s">
        <v>8</v>
      </c>
      <c r="E4590" s="7" t="s">
        <v>25</v>
      </c>
      <c r="F4590" s="8">
        <v>352.0</v>
      </c>
      <c r="G4590" s="9">
        <v>176.0</v>
      </c>
    </row>
    <row r="4591" ht="14.25" hidden="1" customHeight="1">
      <c r="B4591" s="7" t="s">
        <v>20</v>
      </c>
      <c r="C4591" s="7" t="s">
        <v>7</v>
      </c>
      <c r="D4591" s="7" t="s">
        <v>11</v>
      </c>
      <c r="E4591" s="7" t="s">
        <v>8</v>
      </c>
      <c r="F4591" s="8">
        <v>346.0</v>
      </c>
      <c r="G4591" s="9">
        <v>173.0</v>
      </c>
    </row>
    <row r="4592" ht="14.25" hidden="1" customHeight="1">
      <c r="B4592" s="7" t="s">
        <v>20</v>
      </c>
      <c r="C4592" s="7" t="s">
        <v>7</v>
      </c>
      <c r="D4592" s="7" t="s">
        <v>31</v>
      </c>
      <c r="E4592" s="7" t="s">
        <v>25</v>
      </c>
      <c r="F4592" s="8">
        <v>342.0</v>
      </c>
      <c r="G4592" s="9">
        <v>171.0</v>
      </c>
    </row>
    <row r="4593" ht="14.25" hidden="1" customHeight="1">
      <c r="B4593" s="7" t="s">
        <v>20</v>
      </c>
      <c r="C4593" s="7" t="s">
        <v>29</v>
      </c>
      <c r="D4593" s="7" t="s">
        <v>31</v>
      </c>
      <c r="E4593" s="7" t="s">
        <v>33</v>
      </c>
      <c r="F4593" s="8">
        <v>337.0</v>
      </c>
      <c r="G4593" s="9">
        <v>337.0</v>
      </c>
    </row>
    <row r="4594" ht="14.25" hidden="1" customHeight="1">
      <c r="B4594" s="7" t="s">
        <v>20</v>
      </c>
      <c r="C4594" s="7" t="s">
        <v>7</v>
      </c>
      <c r="D4594" s="7" t="s">
        <v>28</v>
      </c>
      <c r="E4594" s="7" t="s">
        <v>8</v>
      </c>
      <c r="F4594" s="8">
        <v>336.0</v>
      </c>
      <c r="G4594" s="9">
        <v>168.0</v>
      </c>
    </row>
    <row r="4595" ht="14.25" hidden="1" customHeight="1">
      <c r="B4595" s="7" t="s">
        <v>20</v>
      </c>
      <c r="C4595" s="7" t="s">
        <v>7</v>
      </c>
      <c r="D4595" s="7" t="s">
        <v>31</v>
      </c>
      <c r="E4595" s="7" t="s">
        <v>24</v>
      </c>
      <c r="F4595" s="8">
        <v>330.0</v>
      </c>
      <c r="G4595" s="9">
        <v>165.0</v>
      </c>
    </row>
    <row r="4596" ht="14.25" hidden="1" customHeight="1">
      <c r="B4596" s="7" t="s">
        <v>20</v>
      </c>
      <c r="C4596" s="7" t="s">
        <v>7</v>
      </c>
      <c r="D4596" s="7" t="s">
        <v>10</v>
      </c>
      <c r="E4596" s="7" t="s">
        <v>31</v>
      </c>
      <c r="F4596" s="8">
        <v>328.0</v>
      </c>
      <c r="G4596" s="9">
        <v>164.0</v>
      </c>
    </row>
    <row r="4597" ht="14.25" hidden="1" customHeight="1">
      <c r="B4597" s="7" t="s">
        <v>20</v>
      </c>
      <c r="C4597" s="7" t="s">
        <v>7</v>
      </c>
      <c r="D4597" s="7" t="s">
        <v>32</v>
      </c>
      <c r="E4597" s="7" t="s">
        <v>33</v>
      </c>
      <c r="F4597" s="8">
        <v>320.0</v>
      </c>
      <c r="G4597" s="9">
        <v>160.0</v>
      </c>
    </row>
    <row r="4598" ht="14.25" hidden="1" customHeight="1">
      <c r="B4598" s="7" t="s">
        <v>20</v>
      </c>
      <c r="C4598" s="7" t="s">
        <v>30</v>
      </c>
      <c r="D4598" s="7" t="s">
        <v>8</v>
      </c>
      <c r="E4598" s="7" t="s">
        <v>25</v>
      </c>
      <c r="F4598" s="8">
        <v>304.0</v>
      </c>
      <c r="G4598" s="9">
        <v>152.0</v>
      </c>
    </row>
    <row r="4599" ht="14.25" hidden="1" customHeight="1">
      <c r="B4599" s="7" t="s">
        <v>20</v>
      </c>
      <c r="C4599" s="7" t="s">
        <v>29</v>
      </c>
      <c r="D4599" s="7" t="s">
        <v>34</v>
      </c>
      <c r="E4599" s="7" t="s">
        <v>8</v>
      </c>
      <c r="F4599" s="8">
        <v>286.0</v>
      </c>
      <c r="G4599" s="9">
        <v>286.0</v>
      </c>
    </row>
    <row r="4600" ht="14.25" hidden="1" customHeight="1">
      <c r="B4600" s="7" t="s">
        <v>20</v>
      </c>
      <c r="C4600" s="7" t="s">
        <v>7</v>
      </c>
      <c r="D4600" s="7" t="s">
        <v>8</v>
      </c>
      <c r="E4600" s="7" t="s">
        <v>9</v>
      </c>
      <c r="F4600" s="8">
        <v>284.0</v>
      </c>
      <c r="G4600" s="9">
        <v>142.0</v>
      </c>
    </row>
    <row r="4601" ht="14.25" hidden="1" customHeight="1">
      <c r="B4601" s="7" t="s">
        <v>20</v>
      </c>
      <c r="C4601" s="7" t="s">
        <v>29</v>
      </c>
      <c r="D4601" s="7" t="s">
        <v>28</v>
      </c>
      <c r="E4601" s="7" t="s">
        <v>31</v>
      </c>
      <c r="F4601" s="8">
        <v>281.0</v>
      </c>
      <c r="G4601" s="9">
        <v>281.0</v>
      </c>
    </row>
    <row r="4602" ht="14.25" hidden="1" customHeight="1">
      <c r="B4602" s="7" t="s">
        <v>20</v>
      </c>
      <c r="C4602" s="7" t="s">
        <v>7</v>
      </c>
      <c r="D4602" s="7" t="s">
        <v>25</v>
      </c>
      <c r="E4602" s="7" t="s">
        <v>31</v>
      </c>
      <c r="F4602" s="8">
        <v>280.0</v>
      </c>
      <c r="G4602" s="9">
        <v>140.0</v>
      </c>
    </row>
    <row r="4603" ht="14.25" hidden="1" customHeight="1">
      <c r="B4603" s="7" t="s">
        <v>20</v>
      </c>
      <c r="C4603" s="7" t="s">
        <v>7</v>
      </c>
      <c r="D4603" s="7" t="s">
        <v>34</v>
      </c>
      <c r="E4603" s="7" t="s">
        <v>28</v>
      </c>
      <c r="F4603" s="8">
        <v>266.0</v>
      </c>
      <c r="G4603" s="9">
        <v>133.0</v>
      </c>
    </row>
    <row r="4604" ht="14.25" hidden="1" customHeight="1">
      <c r="B4604" s="7" t="s">
        <v>20</v>
      </c>
      <c r="C4604" s="7" t="s">
        <v>29</v>
      </c>
      <c r="D4604" s="7" t="s">
        <v>8</v>
      </c>
      <c r="E4604" s="7" t="s">
        <v>10</v>
      </c>
      <c r="F4604" s="8">
        <v>266.0</v>
      </c>
      <c r="G4604" s="9">
        <v>266.0</v>
      </c>
    </row>
    <row r="4605" ht="14.25" hidden="1" customHeight="1">
      <c r="B4605" s="7" t="s">
        <v>20</v>
      </c>
      <c r="C4605" s="7" t="s">
        <v>29</v>
      </c>
      <c r="D4605" s="7" t="s">
        <v>28</v>
      </c>
      <c r="E4605" s="7" t="s">
        <v>8</v>
      </c>
      <c r="F4605" s="8">
        <v>255.0</v>
      </c>
      <c r="G4605" s="9">
        <v>255.0</v>
      </c>
    </row>
    <row r="4606" ht="14.25" hidden="1" customHeight="1">
      <c r="B4606" s="7" t="s">
        <v>20</v>
      </c>
      <c r="C4606" s="7" t="s">
        <v>29</v>
      </c>
      <c r="D4606" s="7" t="s">
        <v>9</v>
      </c>
      <c r="E4606" s="7" t="s">
        <v>33</v>
      </c>
      <c r="F4606" s="8">
        <v>252.0</v>
      </c>
      <c r="G4606" s="9">
        <v>252.0</v>
      </c>
    </row>
    <row r="4607" ht="14.25" hidden="1" customHeight="1">
      <c r="B4607" s="7" t="s">
        <v>20</v>
      </c>
      <c r="C4607" s="7" t="s">
        <v>29</v>
      </c>
      <c r="D4607" s="7" t="s">
        <v>34</v>
      </c>
      <c r="E4607" s="7" t="s">
        <v>28</v>
      </c>
      <c r="F4607" s="8">
        <v>251.0</v>
      </c>
      <c r="G4607" s="9">
        <v>251.0</v>
      </c>
    </row>
    <row r="4608" ht="14.25" hidden="1" customHeight="1">
      <c r="B4608" s="7" t="s">
        <v>20</v>
      </c>
      <c r="C4608" s="7" t="s">
        <v>7</v>
      </c>
      <c r="D4608" s="7" t="s">
        <v>28</v>
      </c>
      <c r="E4608" s="7" t="s">
        <v>31</v>
      </c>
      <c r="F4608" s="8">
        <v>246.0</v>
      </c>
      <c r="G4608" s="9">
        <v>123.0</v>
      </c>
    </row>
    <row r="4609" ht="14.25" hidden="1" customHeight="1">
      <c r="B4609" s="7" t="s">
        <v>20</v>
      </c>
      <c r="C4609" s="7" t="s">
        <v>7</v>
      </c>
      <c r="D4609" s="7" t="s">
        <v>9</v>
      </c>
      <c r="E4609" s="7" t="s">
        <v>28</v>
      </c>
      <c r="F4609" s="8">
        <v>242.0</v>
      </c>
      <c r="G4609" s="9">
        <v>121.0</v>
      </c>
    </row>
    <row r="4610" ht="14.25" hidden="1" customHeight="1">
      <c r="B4610" s="7" t="s">
        <v>20</v>
      </c>
      <c r="C4610" s="7" t="s">
        <v>30</v>
      </c>
      <c r="D4610" s="7" t="s">
        <v>31</v>
      </c>
      <c r="E4610" s="7" t="s">
        <v>33</v>
      </c>
      <c r="F4610" s="8">
        <v>226.0</v>
      </c>
      <c r="G4610" s="9">
        <v>113.0</v>
      </c>
    </row>
    <row r="4611" ht="14.25" hidden="1" customHeight="1">
      <c r="B4611" s="7" t="s">
        <v>20</v>
      </c>
      <c r="C4611" s="7" t="s">
        <v>7</v>
      </c>
      <c r="D4611" s="7" t="s">
        <v>10</v>
      </c>
      <c r="E4611" s="7" t="s">
        <v>33</v>
      </c>
      <c r="F4611" s="8">
        <v>224.0</v>
      </c>
      <c r="G4611" s="9">
        <v>112.0</v>
      </c>
    </row>
    <row r="4612" ht="14.25" hidden="1" customHeight="1">
      <c r="B4612" s="7" t="s">
        <v>20</v>
      </c>
      <c r="C4612" s="7" t="s">
        <v>7</v>
      </c>
      <c r="D4612" s="7" t="s">
        <v>10</v>
      </c>
      <c r="E4612" s="7" t="s">
        <v>25</v>
      </c>
      <c r="F4612" s="8">
        <v>218.0</v>
      </c>
      <c r="G4612" s="9">
        <v>109.0</v>
      </c>
    </row>
    <row r="4613" ht="14.25" hidden="1" customHeight="1">
      <c r="B4613" s="7" t="s">
        <v>20</v>
      </c>
      <c r="C4613" s="7" t="s">
        <v>7</v>
      </c>
      <c r="D4613" s="7" t="s">
        <v>9</v>
      </c>
      <c r="E4613" s="7" t="s">
        <v>10</v>
      </c>
      <c r="F4613" s="8">
        <v>214.0</v>
      </c>
      <c r="G4613" s="9">
        <v>107.0</v>
      </c>
    </row>
    <row r="4614" ht="14.25" hidden="1" customHeight="1">
      <c r="B4614" s="7" t="s">
        <v>20</v>
      </c>
      <c r="C4614" s="7" t="s">
        <v>7</v>
      </c>
      <c r="D4614" s="7" t="s">
        <v>33</v>
      </c>
      <c r="E4614" s="7" t="s">
        <v>31</v>
      </c>
      <c r="F4614" s="8">
        <v>208.0</v>
      </c>
      <c r="G4614" s="9">
        <v>104.0</v>
      </c>
    </row>
    <row r="4615" ht="14.25" hidden="1" customHeight="1">
      <c r="B4615" s="7" t="s">
        <v>20</v>
      </c>
      <c r="C4615" s="7" t="s">
        <v>29</v>
      </c>
      <c r="D4615" s="7" t="s">
        <v>25</v>
      </c>
      <c r="E4615" s="7" t="s">
        <v>28</v>
      </c>
      <c r="F4615" s="8">
        <v>205.0</v>
      </c>
      <c r="G4615" s="9">
        <v>205.0</v>
      </c>
    </row>
    <row r="4616" ht="14.25" hidden="1" customHeight="1">
      <c r="B4616" s="7" t="s">
        <v>20</v>
      </c>
      <c r="C4616" s="7" t="s">
        <v>7</v>
      </c>
      <c r="D4616" s="7" t="s">
        <v>9</v>
      </c>
      <c r="E4616" s="7" t="s">
        <v>32</v>
      </c>
      <c r="F4616" s="8">
        <v>202.0</v>
      </c>
      <c r="G4616" s="9">
        <v>101.0</v>
      </c>
    </row>
    <row r="4617" ht="14.25" hidden="1" customHeight="1">
      <c r="B4617" s="7" t="s">
        <v>20</v>
      </c>
      <c r="C4617" s="7" t="s">
        <v>7</v>
      </c>
      <c r="D4617" s="7" t="s">
        <v>33</v>
      </c>
      <c r="E4617" s="7" t="s">
        <v>31</v>
      </c>
      <c r="F4617" s="8">
        <v>200.0</v>
      </c>
      <c r="G4617" s="9">
        <v>100.0</v>
      </c>
    </row>
    <row r="4618" ht="14.25" customHeight="1">
      <c r="B4618" s="7" t="s">
        <v>20</v>
      </c>
      <c r="C4618" s="7" t="s">
        <v>7</v>
      </c>
      <c r="D4618" s="7" t="s">
        <v>8</v>
      </c>
      <c r="E4618" s="7" t="s">
        <v>31</v>
      </c>
      <c r="F4618" s="8">
        <v>198.0</v>
      </c>
      <c r="G4618" s="9">
        <v>99.0</v>
      </c>
    </row>
    <row r="4619" ht="14.25" hidden="1" customHeight="1">
      <c r="B4619" s="7" t="s">
        <v>20</v>
      </c>
      <c r="C4619" s="7" t="s">
        <v>30</v>
      </c>
      <c r="D4619" s="7" t="s">
        <v>34</v>
      </c>
      <c r="E4619" s="7" t="s">
        <v>28</v>
      </c>
      <c r="F4619" s="8">
        <v>188.0</v>
      </c>
      <c r="G4619" s="9">
        <v>94.0</v>
      </c>
    </row>
    <row r="4620" ht="14.25" hidden="1" customHeight="1">
      <c r="B4620" s="7" t="s">
        <v>20</v>
      </c>
      <c r="C4620" s="7" t="s">
        <v>7</v>
      </c>
      <c r="D4620" s="7" t="s">
        <v>8</v>
      </c>
      <c r="E4620" s="7" t="s">
        <v>10</v>
      </c>
      <c r="F4620" s="8">
        <v>184.0</v>
      </c>
      <c r="G4620" s="9">
        <v>92.0</v>
      </c>
    </row>
    <row r="4621" ht="14.25" hidden="1" customHeight="1">
      <c r="B4621" s="7" t="s">
        <v>20</v>
      </c>
      <c r="C4621" s="7" t="s">
        <v>7</v>
      </c>
      <c r="D4621" s="7" t="s">
        <v>33</v>
      </c>
      <c r="E4621" s="7" t="s">
        <v>25</v>
      </c>
      <c r="F4621" s="8">
        <v>180.0</v>
      </c>
      <c r="G4621" s="9">
        <v>90.0</v>
      </c>
    </row>
    <row r="4622" ht="14.25" hidden="1" customHeight="1">
      <c r="B4622" s="7" t="s">
        <v>20</v>
      </c>
      <c r="C4622" s="7" t="s">
        <v>29</v>
      </c>
      <c r="D4622" s="7" t="s">
        <v>28</v>
      </c>
      <c r="E4622" s="7" t="s">
        <v>10</v>
      </c>
      <c r="F4622" s="8">
        <v>175.0</v>
      </c>
      <c r="G4622" s="9">
        <v>175.0</v>
      </c>
    </row>
    <row r="4623" ht="14.25" hidden="1" customHeight="1">
      <c r="B4623" s="7" t="s">
        <v>20</v>
      </c>
      <c r="C4623" s="7" t="s">
        <v>7</v>
      </c>
      <c r="D4623" s="7" t="s">
        <v>11</v>
      </c>
      <c r="E4623" s="7" t="s">
        <v>10</v>
      </c>
      <c r="F4623" s="8">
        <v>174.0</v>
      </c>
      <c r="G4623" s="9">
        <v>87.0</v>
      </c>
    </row>
    <row r="4624" ht="14.25" hidden="1" customHeight="1">
      <c r="B4624" s="7" t="s">
        <v>20</v>
      </c>
      <c r="C4624" s="7" t="s">
        <v>7</v>
      </c>
      <c r="D4624" s="7" t="s">
        <v>32</v>
      </c>
      <c r="E4624" s="7" t="s">
        <v>25</v>
      </c>
      <c r="F4624" s="8">
        <v>174.0</v>
      </c>
      <c r="G4624" s="9">
        <v>87.0</v>
      </c>
    </row>
    <row r="4625" ht="14.25" hidden="1" customHeight="1">
      <c r="B4625" s="7" t="s">
        <v>20</v>
      </c>
      <c r="C4625" s="7" t="s">
        <v>29</v>
      </c>
      <c r="D4625" s="7" t="s">
        <v>8</v>
      </c>
      <c r="E4625" s="7" t="s">
        <v>25</v>
      </c>
      <c r="F4625" s="8">
        <v>174.0</v>
      </c>
      <c r="G4625" s="9">
        <v>174.0</v>
      </c>
    </row>
    <row r="4626" ht="14.25" hidden="1" customHeight="1">
      <c r="B4626" s="7" t="s">
        <v>20</v>
      </c>
      <c r="C4626" s="7" t="s">
        <v>29</v>
      </c>
      <c r="D4626" s="7" t="s">
        <v>8</v>
      </c>
      <c r="E4626" s="7" t="s">
        <v>25</v>
      </c>
      <c r="F4626" s="8">
        <v>174.0</v>
      </c>
      <c r="G4626" s="9">
        <v>174.0</v>
      </c>
    </row>
    <row r="4627" ht="14.25" hidden="1" customHeight="1">
      <c r="B4627" s="7" t="s">
        <v>20</v>
      </c>
      <c r="C4627" s="7" t="s">
        <v>29</v>
      </c>
      <c r="D4627" s="7" t="s">
        <v>9</v>
      </c>
      <c r="E4627" s="7" t="s">
        <v>25</v>
      </c>
      <c r="F4627" s="8">
        <v>170.0</v>
      </c>
      <c r="G4627" s="9">
        <v>170.0</v>
      </c>
    </row>
    <row r="4628" ht="14.25" hidden="1" customHeight="1">
      <c r="B4628" s="7" t="s">
        <v>20</v>
      </c>
      <c r="C4628" s="7" t="s">
        <v>7</v>
      </c>
      <c r="D4628" s="7" t="s">
        <v>24</v>
      </c>
      <c r="E4628" s="7" t="s">
        <v>31</v>
      </c>
      <c r="F4628" s="8">
        <v>170.0</v>
      </c>
      <c r="G4628" s="9">
        <v>85.0</v>
      </c>
    </row>
    <row r="4629" ht="14.25" customHeight="1">
      <c r="B4629" s="7" t="s">
        <v>20</v>
      </c>
      <c r="C4629" s="7" t="s">
        <v>29</v>
      </c>
      <c r="D4629" s="7" t="s">
        <v>8</v>
      </c>
      <c r="E4629" s="7" t="s">
        <v>31</v>
      </c>
      <c r="F4629" s="8">
        <v>166.0</v>
      </c>
      <c r="G4629" s="9">
        <v>166.0</v>
      </c>
    </row>
    <row r="4630" ht="14.25" hidden="1" customHeight="1">
      <c r="B4630" s="7" t="s">
        <v>20</v>
      </c>
      <c r="C4630" s="7" t="s">
        <v>29</v>
      </c>
      <c r="D4630" s="7" t="s">
        <v>11</v>
      </c>
      <c r="E4630" s="7" t="s">
        <v>8</v>
      </c>
      <c r="F4630" s="8">
        <v>165.0</v>
      </c>
      <c r="G4630" s="9">
        <v>165.0</v>
      </c>
    </row>
    <row r="4631" ht="14.25" hidden="1" customHeight="1">
      <c r="B4631" s="7" t="s">
        <v>20</v>
      </c>
      <c r="C4631" s="7" t="s">
        <v>7</v>
      </c>
      <c r="D4631" s="7" t="s">
        <v>32</v>
      </c>
      <c r="E4631" s="7" t="s">
        <v>25</v>
      </c>
      <c r="F4631" s="8">
        <v>160.0</v>
      </c>
      <c r="G4631" s="9">
        <v>80.0</v>
      </c>
    </row>
    <row r="4632" ht="14.25" hidden="1" customHeight="1">
      <c r="B4632" s="7" t="s">
        <v>20</v>
      </c>
      <c r="C4632" s="7" t="s">
        <v>7</v>
      </c>
      <c r="D4632" s="7" t="s">
        <v>9</v>
      </c>
      <c r="E4632" s="7" t="s">
        <v>28</v>
      </c>
      <c r="F4632" s="8">
        <v>158.0</v>
      </c>
      <c r="G4632" s="9">
        <v>79.0</v>
      </c>
    </row>
    <row r="4633" ht="14.25" hidden="1" customHeight="1">
      <c r="B4633" s="7" t="s">
        <v>20</v>
      </c>
      <c r="C4633" s="7" t="s">
        <v>29</v>
      </c>
      <c r="D4633" s="7" t="s">
        <v>25</v>
      </c>
      <c r="E4633" s="7" t="s">
        <v>8</v>
      </c>
      <c r="F4633" s="8">
        <v>157.0</v>
      </c>
      <c r="G4633" s="9">
        <v>157.0</v>
      </c>
    </row>
    <row r="4634" ht="14.25" hidden="1" customHeight="1">
      <c r="B4634" s="7" t="s">
        <v>20</v>
      </c>
      <c r="C4634" s="7" t="s">
        <v>29</v>
      </c>
      <c r="D4634" s="7" t="s">
        <v>28</v>
      </c>
      <c r="E4634" s="7" t="s">
        <v>25</v>
      </c>
      <c r="F4634" s="8">
        <v>156.0</v>
      </c>
      <c r="G4634" s="9">
        <v>156.0</v>
      </c>
    </row>
    <row r="4635" ht="14.25" hidden="1" customHeight="1">
      <c r="B4635" s="7" t="s">
        <v>20</v>
      </c>
      <c r="C4635" s="7" t="s">
        <v>7</v>
      </c>
      <c r="D4635" s="7" t="s">
        <v>28</v>
      </c>
      <c r="E4635" s="7" t="s">
        <v>31</v>
      </c>
      <c r="F4635" s="8">
        <v>154.0</v>
      </c>
      <c r="G4635" s="9">
        <v>77.0</v>
      </c>
    </row>
    <row r="4636" ht="14.25" hidden="1" customHeight="1">
      <c r="B4636" s="7" t="s">
        <v>20</v>
      </c>
      <c r="C4636" s="7" t="s">
        <v>7</v>
      </c>
      <c r="D4636" s="7" t="s">
        <v>28</v>
      </c>
      <c r="E4636" s="7" t="s">
        <v>8</v>
      </c>
      <c r="F4636" s="8">
        <v>152.0</v>
      </c>
      <c r="G4636" s="9">
        <v>76.0</v>
      </c>
    </row>
    <row r="4637" ht="14.25" hidden="1" customHeight="1">
      <c r="B4637" s="7" t="s">
        <v>20</v>
      </c>
      <c r="C4637" s="7" t="s">
        <v>29</v>
      </c>
      <c r="D4637" s="7" t="s">
        <v>33</v>
      </c>
      <c r="E4637" s="7" t="s">
        <v>8</v>
      </c>
      <c r="F4637" s="8">
        <v>149.0</v>
      </c>
      <c r="G4637" s="9">
        <v>149.0</v>
      </c>
    </row>
    <row r="4638" ht="14.25" hidden="1" customHeight="1">
      <c r="B4638" s="7" t="s">
        <v>20</v>
      </c>
      <c r="C4638" s="7" t="s">
        <v>7</v>
      </c>
      <c r="D4638" s="7" t="s">
        <v>33</v>
      </c>
      <c r="E4638" s="7" t="s">
        <v>28</v>
      </c>
      <c r="F4638" s="8">
        <v>148.0</v>
      </c>
      <c r="G4638" s="9">
        <v>74.0</v>
      </c>
    </row>
    <row r="4639" ht="14.25" hidden="1" customHeight="1">
      <c r="B4639" s="7" t="s">
        <v>20</v>
      </c>
      <c r="C4639" s="7" t="s">
        <v>30</v>
      </c>
      <c r="D4639" s="7" t="s">
        <v>33</v>
      </c>
      <c r="E4639" s="7" t="s">
        <v>8</v>
      </c>
      <c r="F4639" s="8">
        <v>144.0</v>
      </c>
      <c r="G4639" s="9">
        <v>72.0</v>
      </c>
    </row>
    <row r="4640" ht="14.25" hidden="1" customHeight="1">
      <c r="B4640" s="7" t="s">
        <v>20</v>
      </c>
      <c r="C4640" s="7" t="s">
        <v>7</v>
      </c>
      <c r="D4640" s="7" t="s">
        <v>34</v>
      </c>
      <c r="E4640" s="7" t="s">
        <v>8</v>
      </c>
      <c r="F4640" s="8">
        <v>142.0</v>
      </c>
      <c r="G4640" s="9">
        <v>71.0</v>
      </c>
    </row>
    <row r="4641" ht="14.25" hidden="1" customHeight="1">
      <c r="B4641" s="7" t="s">
        <v>20</v>
      </c>
      <c r="C4641" s="7" t="s">
        <v>30</v>
      </c>
      <c r="D4641" s="7" t="s">
        <v>9</v>
      </c>
      <c r="E4641" s="7" t="s">
        <v>25</v>
      </c>
      <c r="F4641" s="8">
        <v>142.0</v>
      </c>
      <c r="G4641" s="9">
        <v>71.0</v>
      </c>
    </row>
    <row r="4642" ht="14.25" hidden="1" customHeight="1">
      <c r="B4642" s="7" t="s">
        <v>20</v>
      </c>
      <c r="C4642" s="7" t="s">
        <v>7</v>
      </c>
      <c r="D4642" s="7" t="s">
        <v>33</v>
      </c>
      <c r="E4642" s="7" t="s">
        <v>31</v>
      </c>
      <c r="F4642" s="8">
        <v>130.0</v>
      </c>
      <c r="G4642" s="9">
        <v>65.0</v>
      </c>
    </row>
    <row r="4643" ht="14.25" hidden="1" customHeight="1">
      <c r="B4643" s="7" t="s">
        <v>20</v>
      </c>
      <c r="C4643" s="7" t="s">
        <v>7</v>
      </c>
      <c r="D4643" s="7" t="s">
        <v>33</v>
      </c>
      <c r="E4643" s="7" t="s">
        <v>25</v>
      </c>
      <c r="F4643" s="8">
        <v>122.0</v>
      </c>
      <c r="G4643" s="9">
        <v>61.0</v>
      </c>
    </row>
    <row r="4644" ht="14.25" hidden="1" customHeight="1">
      <c r="B4644" s="7" t="s">
        <v>20</v>
      </c>
      <c r="C4644" s="7" t="s">
        <v>7</v>
      </c>
      <c r="D4644" s="7" t="s">
        <v>28</v>
      </c>
      <c r="E4644" s="7" t="s">
        <v>31</v>
      </c>
      <c r="F4644" s="8">
        <v>122.0</v>
      </c>
      <c r="G4644" s="9">
        <v>61.0</v>
      </c>
    </row>
    <row r="4645" ht="14.25" hidden="1" customHeight="1">
      <c r="B4645" s="7" t="s">
        <v>20</v>
      </c>
      <c r="C4645" s="7" t="s">
        <v>29</v>
      </c>
      <c r="D4645" s="7" t="s">
        <v>8</v>
      </c>
      <c r="E4645" s="7" t="s">
        <v>28</v>
      </c>
      <c r="F4645" s="8">
        <v>122.0</v>
      </c>
      <c r="G4645" s="9">
        <v>122.0</v>
      </c>
    </row>
    <row r="4646" ht="14.25" hidden="1" customHeight="1">
      <c r="B4646" s="7" t="s">
        <v>20</v>
      </c>
      <c r="C4646" s="7" t="s">
        <v>29</v>
      </c>
      <c r="D4646" s="7" t="s">
        <v>33</v>
      </c>
      <c r="E4646" s="7" t="s">
        <v>8</v>
      </c>
      <c r="F4646" s="8">
        <v>119.0</v>
      </c>
      <c r="G4646" s="9">
        <v>119.0</v>
      </c>
    </row>
    <row r="4647" ht="14.25" hidden="1" customHeight="1">
      <c r="B4647" s="7" t="s">
        <v>20</v>
      </c>
      <c r="C4647" s="7" t="s">
        <v>29</v>
      </c>
      <c r="D4647" s="7" t="s">
        <v>9</v>
      </c>
      <c r="E4647" s="7" t="s">
        <v>10</v>
      </c>
      <c r="F4647" s="8">
        <v>119.0</v>
      </c>
      <c r="G4647" s="9">
        <v>119.0</v>
      </c>
    </row>
    <row r="4648" ht="14.25" hidden="1" customHeight="1">
      <c r="B4648" s="7" t="s">
        <v>20</v>
      </c>
      <c r="C4648" s="7" t="s">
        <v>7</v>
      </c>
      <c r="D4648" s="7" t="s">
        <v>32</v>
      </c>
      <c r="E4648" s="7" t="s">
        <v>28</v>
      </c>
      <c r="F4648" s="8">
        <v>118.0</v>
      </c>
      <c r="G4648" s="9">
        <v>59.0</v>
      </c>
    </row>
    <row r="4649" ht="14.25" hidden="1" customHeight="1">
      <c r="B4649" s="7" t="s">
        <v>20</v>
      </c>
      <c r="C4649" s="7" t="s">
        <v>30</v>
      </c>
      <c r="D4649" s="7" t="s">
        <v>8</v>
      </c>
      <c r="E4649" s="7" t="s">
        <v>10</v>
      </c>
      <c r="F4649" s="8">
        <v>116.0</v>
      </c>
      <c r="G4649" s="9">
        <v>58.0</v>
      </c>
    </row>
    <row r="4650" ht="14.25" hidden="1" customHeight="1">
      <c r="B4650" s="7" t="s">
        <v>20</v>
      </c>
      <c r="C4650" s="7" t="s">
        <v>29</v>
      </c>
      <c r="D4650" s="7" t="s">
        <v>33</v>
      </c>
      <c r="E4650" s="7" t="s">
        <v>8</v>
      </c>
      <c r="F4650" s="8">
        <v>112.0</v>
      </c>
      <c r="G4650" s="9">
        <v>112.0</v>
      </c>
    </row>
    <row r="4651" ht="14.25" hidden="1" customHeight="1">
      <c r="B4651" s="7" t="s">
        <v>20</v>
      </c>
      <c r="C4651" s="7" t="s">
        <v>7</v>
      </c>
      <c r="D4651" s="7" t="s">
        <v>11</v>
      </c>
      <c r="E4651" s="7" t="s">
        <v>8</v>
      </c>
      <c r="F4651" s="8">
        <v>108.0</v>
      </c>
      <c r="G4651" s="9">
        <v>54.0</v>
      </c>
    </row>
    <row r="4652" ht="14.25" hidden="1" customHeight="1">
      <c r="B4652" s="7" t="s">
        <v>20</v>
      </c>
      <c r="C4652" s="7" t="s">
        <v>29</v>
      </c>
      <c r="D4652" s="7" t="s">
        <v>31</v>
      </c>
      <c r="E4652" s="7" t="s">
        <v>24</v>
      </c>
      <c r="F4652" s="8">
        <v>104.0</v>
      </c>
      <c r="G4652" s="9">
        <v>104.0</v>
      </c>
    </row>
    <row r="4653" ht="14.25" hidden="1" customHeight="1">
      <c r="B4653" s="7" t="s">
        <v>20</v>
      </c>
      <c r="C4653" s="7" t="s">
        <v>29</v>
      </c>
      <c r="D4653" s="7" t="s">
        <v>8</v>
      </c>
      <c r="E4653" s="7" t="s">
        <v>33</v>
      </c>
      <c r="F4653" s="8">
        <v>102.0</v>
      </c>
      <c r="G4653" s="9">
        <v>102.0</v>
      </c>
    </row>
    <row r="4654" ht="14.25" hidden="1" customHeight="1">
      <c r="B4654" s="7" t="s">
        <v>20</v>
      </c>
      <c r="C4654" s="7" t="s">
        <v>7</v>
      </c>
      <c r="D4654" s="7" t="s">
        <v>32</v>
      </c>
      <c r="E4654" s="7" t="s">
        <v>8</v>
      </c>
      <c r="F4654" s="8">
        <v>98.0</v>
      </c>
      <c r="G4654" s="9">
        <v>49.0</v>
      </c>
    </row>
    <row r="4655" ht="14.25" hidden="1" customHeight="1">
      <c r="B4655" s="7" t="s">
        <v>20</v>
      </c>
      <c r="C4655" s="7" t="s">
        <v>7</v>
      </c>
      <c r="D4655" s="7" t="s">
        <v>25</v>
      </c>
      <c r="E4655" s="7" t="s">
        <v>32</v>
      </c>
      <c r="F4655" s="8">
        <v>96.0</v>
      </c>
      <c r="G4655" s="9">
        <v>48.0</v>
      </c>
    </row>
    <row r="4656" ht="14.25" hidden="1" customHeight="1">
      <c r="B4656" s="7" t="s">
        <v>20</v>
      </c>
      <c r="C4656" s="7" t="s">
        <v>29</v>
      </c>
      <c r="D4656" s="7" t="s">
        <v>8</v>
      </c>
      <c r="E4656" s="7" t="s">
        <v>28</v>
      </c>
      <c r="F4656" s="8">
        <v>96.0</v>
      </c>
      <c r="G4656" s="9">
        <v>96.0</v>
      </c>
    </row>
    <row r="4657" ht="14.25" hidden="1" customHeight="1">
      <c r="B4657" s="7" t="s">
        <v>20</v>
      </c>
      <c r="C4657" s="7" t="s">
        <v>7</v>
      </c>
      <c r="D4657" s="7" t="s">
        <v>10</v>
      </c>
      <c r="E4657" s="7" t="s">
        <v>8</v>
      </c>
      <c r="F4657" s="8">
        <v>90.0</v>
      </c>
      <c r="G4657" s="9">
        <v>45.0</v>
      </c>
    </row>
    <row r="4658" ht="14.25" hidden="1" customHeight="1">
      <c r="B4658" s="7" t="s">
        <v>20</v>
      </c>
      <c r="C4658" s="7" t="s">
        <v>7</v>
      </c>
      <c r="D4658" s="7" t="s">
        <v>33</v>
      </c>
      <c r="E4658" s="7" t="s">
        <v>32</v>
      </c>
      <c r="F4658" s="8">
        <v>86.0</v>
      </c>
      <c r="G4658" s="9">
        <v>43.0</v>
      </c>
    </row>
    <row r="4659" ht="14.25" hidden="1" customHeight="1">
      <c r="B4659" s="7" t="s">
        <v>20</v>
      </c>
      <c r="C4659" s="7" t="s">
        <v>7</v>
      </c>
      <c r="D4659" s="7" t="s">
        <v>28</v>
      </c>
      <c r="E4659" s="7" t="s">
        <v>32</v>
      </c>
      <c r="F4659" s="8">
        <v>86.0</v>
      </c>
      <c r="G4659" s="9">
        <v>43.0</v>
      </c>
    </row>
    <row r="4660" ht="14.25" hidden="1" customHeight="1">
      <c r="B4660" s="7" t="s">
        <v>20</v>
      </c>
      <c r="C4660" s="7" t="s">
        <v>29</v>
      </c>
      <c r="D4660" s="7" t="s">
        <v>11</v>
      </c>
      <c r="E4660" s="7" t="s">
        <v>8</v>
      </c>
      <c r="F4660" s="8">
        <v>84.0</v>
      </c>
      <c r="G4660" s="9">
        <v>84.0</v>
      </c>
    </row>
    <row r="4661" ht="14.25" customHeight="1">
      <c r="B4661" s="7" t="s">
        <v>20</v>
      </c>
      <c r="C4661" s="7" t="s">
        <v>29</v>
      </c>
      <c r="D4661" s="7" t="s">
        <v>8</v>
      </c>
      <c r="E4661" s="7" t="s">
        <v>31</v>
      </c>
      <c r="F4661" s="8">
        <v>83.0</v>
      </c>
      <c r="G4661" s="9">
        <v>83.0</v>
      </c>
    </row>
    <row r="4662" ht="14.25" hidden="1" customHeight="1">
      <c r="B4662" s="7" t="s">
        <v>20</v>
      </c>
      <c r="C4662" s="7" t="s">
        <v>7</v>
      </c>
      <c r="D4662" s="7" t="s">
        <v>28</v>
      </c>
      <c r="E4662" s="7" t="s">
        <v>10</v>
      </c>
      <c r="F4662" s="8">
        <v>80.0</v>
      </c>
      <c r="G4662" s="9">
        <v>40.0</v>
      </c>
    </row>
    <row r="4663" ht="14.25" hidden="1" customHeight="1">
      <c r="B4663" s="7" t="s">
        <v>20</v>
      </c>
      <c r="C4663" s="7" t="s">
        <v>7</v>
      </c>
      <c r="D4663" s="7" t="s">
        <v>31</v>
      </c>
      <c r="E4663" s="7" t="s">
        <v>31</v>
      </c>
      <c r="F4663" s="8">
        <v>80.0</v>
      </c>
      <c r="G4663" s="9">
        <v>40.0</v>
      </c>
    </row>
    <row r="4664" ht="14.25" hidden="1" customHeight="1">
      <c r="B4664" s="7" t="s">
        <v>20</v>
      </c>
      <c r="C4664" s="7" t="s">
        <v>7</v>
      </c>
      <c r="D4664" s="7" t="s">
        <v>10</v>
      </c>
      <c r="E4664" s="7" t="s">
        <v>8</v>
      </c>
      <c r="F4664" s="8">
        <v>76.0</v>
      </c>
      <c r="G4664" s="9">
        <v>38.0</v>
      </c>
    </row>
    <row r="4665" ht="14.25" hidden="1" customHeight="1">
      <c r="B4665" s="7" t="s">
        <v>20</v>
      </c>
      <c r="C4665" s="7" t="s">
        <v>7</v>
      </c>
      <c r="D4665" s="7" t="s">
        <v>28</v>
      </c>
      <c r="E4665" s="7" t="s">
        <v>34</v>
      </c>
      <c r="F4665" s="8">
        <v>74.0</v>
      </c>
      <c r="G4665" s="9">
        <v>37.0</v>
      </c>
    </row>
    <row r="4666" ht="14.25" hidden="1" customHeight="1">
      <c r="B4666" s="7" t="s">
        <v>20</v>
      </c>
      <c r="C4666" s="7" t="s">
        <v>7</v>
      </c>
      <c r="D4666" s="7" t="s">
        <v>10</v>
      </c>
      <c r="E4666" s="7" t="s">
        <v>25</v>
      </c>
      <c r="F4666" s="8">
        <v>74.0</v>
      </c>
      <c r="G4666" s="9">
        <v>37.0</v>
      </c>
    </row>
    <row r="4667" ht="14.25" hidden="1" customHeight="1">
      <c r="B4667" s="7" t="s">
        <v>20</v>
      </c>
      <c r="C4667" s="7" t="s">
        <v>7</v>
      </c>
      <c r="D4667" s="7" t="s">
        <v>32</v>
      </c>
      <c r="E4667" s="7" t="s">
        <v>33</v>
      </c>
      <c r="F4667" s="8">
        <v>74.0</v>
      </c>
      <c r="G4667" s="9">
        <v>37.0</v>
      </c>
    </row>
    <row r="4668" ht="14.25" hidden="1" customHeight="1">
      <c r="B4668" s="7" t="s">
        <v>20</v>
      </c>
      <c r="C4668" s="7" t="s">
        <v>7</v>
      </c>
      <c r="D4668" s="7" t="s">
        <v>33</v>
      </c>
      <c r="E4668" s="7" t="s">
        <v>9</v>
      </c>
      <c r="F4668" s="8">
        <v>70.0</v>
      </c>
      <c r="G4668" s="9">
        <v>35.0</v>
      </c>
    </row>
    <row r="4669" ht="14.25" hidden="1" customHeight="1">
      <c r="B4669" s="7" t="s">
        <v>20</v>
      </c>
      <c r="C4669" s="7" t="s">
        <v>29</v>
      </c>
      <c r="D4669" s="7" t="s">
        <v>31</v>
      </c>
      <c r="E4669" s="7" t="s">
        <v>31</v>
      </c>
      <c r="F4669" s="8">
        <v>70.0</v>
      </c>
      <c r="G4669" s="9">
        <v>70.0</v>
      </c>
    </row>
    <row r="4670" ht="14.25" hidden="1" customHeight="1">
      <c r="B4670" s="7" t="s">
        <v>20</v>
      </c>
      <c r="C4670" s="7" t="s">
        <v>29</v>
      </c>
      <c r="D4670" s="7" t="s">
        <v>28</v>
      </c>
      <c r="E4670" s="7" t="s">
        <v>32</v>
      </c>
      <c r="F4670" s="8">
        <v>68.0</v>
      </c>
      <c r="G4670" s="9">
        <v>68.0</v>
      </c>
    </row>
    <row r="4671" ht="14.25" hidden="1" customHeight="1">
      <c r="B4671" s="7" t="s">
        <v>20</v>
      </c>
      <c r="C4671" s="7" t="s">
        <v>29</v>
      </c>
      <c r="D4671" s="7" t="s">
        <v>10</v>
      </c>
      <c r="E4671" s="7" t="s">
        <v>31</v>
      </c>
      <c r="F4671" s="8">
        <v>68.0</v>
      </c>
      <c r="G4671" s="9">
        <v>68.0</v>
      </c>
    </row>
    <row r="4672" ht="14.25" hidden="1" customHeight="1">
      <c r="B4672" s="7" t="s">
        <v>20</v>
      </c>
      <c r="C4672" s="7" t="s">
        <v>7</v>
      </c>
      <c r="D4672" s="7" t="s">
        <v>8</v>
      </c>
      <c r="E4672" s="7" t="s">
        <v>33</v>
      </c>
      <c r="F4672" s="8">
        <v>66.0</v>
      </c>
      <c r="G4672" s="9">
        <v>33.0</v>
      </c>
    </row>
    <row r="4673" ht="14.25" hidden="1" customHeight="1">
      <c r="B4673" s="7" t="s">
        <v>20</v>
      </c>
      <c r="C4673" s="7" t="s">
        <v>7</v>
      </c>
      <c r="D4673" s="7" t="s">
        <v>31</v>
      </c>
      <c r="E4673" s="7" t="s">
        <v>31</v>
      </c>
      <c r="F4673" s="8">
        <v>62.0</v>
      </c>
      <c r="G4673" s="9">
        <v>31.0</v>
      </c>
    </row>
    <row r="4674" ht="14.25" hidden="1" customHeight="1">
      <c r="B4674" s="7" t="s">
        <v>20</v>
      </c>
      <c r="C4674" s="7" t="s">
        <v>7</v>
      </c>
      <c r="D4674" s="7" t="s">
        <v>32</v>
      </c>
      <c r="E4674" s="7" t="s">
        <v>24</v>
      </c>
      <c r="F4674" s="8">
        <v>60.0</v>
      </c>
      <c r="G4674" s="9">
        <v>30.0</v>
      </c>
    </row>
    <row r="4675" ht="14.25" hidden="1" customHeight="1">
      <c r="B4675" s="7" t="s">
        <v>20</v>
      </c>
      <c r="C4675" s="7" t="s">
        <v>30</v>
      </c>
      <c r="D4675" s="7" t="s">
        <v>8</v>
      </c>
      <c r="E4675" s="7" t="s">
        <v>33</v>
      </c>
      <c r="F4675" s="8">
        <v>60.0</v>
      </c>
      <c r="G4675" s="9">
        <v>30.0</v>
      </c>
    </row>
    <row r="4676" ht="14.25" hidden="1" customHeight="1">
      <c r="B4676" s="7" t="s">
        <v>20</v>
      </c>
      <c r="C4676" s="7" t="s">
        <v>29</v>
      </c>
      <c r="D4676" s="7" t="s">
        <v>31</v>
      </c>
      <c r="E4676" s="7" t="s">
        <v>9</v>
      </c>
      <c r="F4676" s="8">
        <v>59.0</v>
      </c>
      <c r="G4676" s="9">
        <v>59.0</v>
      </c>
    </row>
    <row r="4677" ht="14.25" hidden="1" customHeight="1">
      <c r="B4677" s="7" t="s">
        <v>20</v>
      </c>
      <c r="C4677" s="7" t="s">
        <v>29</v>
      </c>
      <c r="D4677" s="7" t="s">
        <v>9</v>
      </c>
      <c r="E4677" s="7" t="s">
        <v>25</v>
      </c>
      <c r="F4677" s="8">
        <v>57.0</v>
      </c>
      <c r="G4677" s="9">
        <v>57.0</v>
      </c>
    </row>
    <row r="4678" ht="14.25" hidden="1" customHeight="1">
      <c r="B4678" s="7" t="s">
        <v>20</v>
      </c>
      <c r="C4678" s="7" t="s">
        <v>7</v>
      </c>
      <c r="D4678" s="7" t="s">
        <v>8</v>
      </c>
      <c r="E4678" s="7" t="s">
        <v>28</v>
      </c>
      <c r="F4678" s="8">
        <v>56.0</v>
      </c>
      <c r="G4678" s="9">
        <v>28.0</v>
      </c>
    </row>
    <row r="4679" ht="14.25" hidden="1" customHeight="1">
      <c r="B4679" s="7" t="s">
        <v>20</v>
      </c>
      <c r="C4679" s="7" t="s">
        <v>7</v>
      </c>
      <c r="D4679" s="7" t="s">
        <v>8</v>
      </c>
      <c r="E4679" s="7" t="s">
        <v>28</v>
      </c>
      <c r="F4679" s="8">
        <v>54.0</v>
      </c>
      <c r="G4679" s="9">
        <v>27.0</v>
      </c>
    </row>
    <row r="4680" ht="14.25" hidden="1" customHeight="1">
      <c r="B4680" s="7" t="s">
        <v>20</v>
      </c>
      <c r="C4680" s="7" t="s">
        <v>29</v>
      </c>
      <c r="D4680" s="7" t="s">
        <v>31</v>
      </c>
      <c r="E4680" s="7" t="s">
        <v>25</v>
      </c>
      <c r="F4680" s="8">
        <v>53.0</v>
      </c>
      <c r="G4680" s="9">
        <v>53.0</v>
      </c>
    </row>
    <row r="4681" ht="14.25" hidden="1" customHeight="1">
      <c r="B4681" s="7" t="s">
        <v>20</v>
      </c>
      <c r="C4681" s="7" t="s">
        <v>29</v>
      </c>
      <c r="D4681" s="7" t="s">
        <v>33</v>
      </c>
      <c r="E4681" s="7" t="s">
        <v>31</v>
      </c>
      <c r="F4681" s="8">
        <v>52.0</v>
      </c>
      <c r="G4681" s="9">
        <v>52.0</v>
      </c>
    </row>
    <row r="4682" ht="14.25" hidden="1" customHeight="1">
      <c r="B4682" s="7" t="s">
        <v>20</v>
      </c>
      <c r="C4682" s="7" t="s">
        <v>29</v>
      </c>
      <c r="D4682" s="7" t="s">
        <v>11</v>
      </c>
      <c r="E4682" s="7" t="s">
        <v>8</v>
      </c>
      <c r="F4682" s="8">
        <v>51.0</v>
      </c>
      <c r="G4682" s="9">
        <v>51.0</v>
      </c>
    </row>
    <row r="4683" ht="14.25" hidden="1" customHeight="1">
      <c r="B4683" s="7" t="s">
        <v>20</v>
      </c>
      <c r="C4683" s="7" t="s">
        <v>29</v>
      </c>
      <c r="D4683" s="7" t="s">
        <v>8</v>
      </c>
      <c r="E4683" s="7" t="s">
        <v>10</v>
      </c>
      <c r="F4683" s="8">
        <v>51.0</v>
      </c>
      <c r="G4683" s="9">
        <v>51.0</v>
      </c>
    </row>
    <row r="4684" ht="14.25" hidden="1" customHeight="1">
      <c r="B4684" s="7" t="s">
        <v>20</v>
      </c>
      <c r="C4684" s="7" t="s">
        <v>7</v>
      </c>
      <c r="D4684" s="7" t="s">
        <v>10</v>
      </c>
      <c r="E4684" s="7" t="s">
        <v>8</v>
      </c>
      <c r="F4684" s="8">
        <v>50.0</v>
      </c>
      <c r="G4684" s="9">
        <v>25.0</v>
      </c>
    </row>
    <row r="4685" ht="14.25" hidden="1" customHeight="1">
      <c r="B4685" s="7" t="s">
        <v>20</v>
      </c>
      <c r="C4685" s="7" t="s">
        <v>29</v>
      </c>
      <c r="D4685" s="7" t="s">
        <v>31</v>
      </c>
      <c r="E4685" s="7" t="s">
        <v>28</v>
      </c>
      <c r="F4685" s="8">
        <v>50.0</v>
      </c>
      <c r="G4685" s="9">
        <v>50.0</v>
      </c>
    </row>
    <row r="4686" ht="14.25" hidden="1" customHeight="1">
      <c r="B4686" s="7" t="s">
        <v>20</v>
      </c>
      <c r="C4686" s="7" t="s">
        <v>7</v>
      </c>
      <c r="D4686" s="7" t="s">
        <v>25</v>
      </c>
      <c r="E4686" s="7" t="s">
        <v>8</v>
      </c>
      <c r="F4686" s="8">
        <v>48.0</v>
      </c>
      <c r="G4686" s="9">
        <v>48.0</v>
      </c>
    </row>
    <row r="4687" ht="14.25" hidden="1" customHeight="1">
      <c r="B4687" s="7" t="s">
        <v>20</v>
      </c>
      <c r="C4687" s="7" t="s">
        <v>29</v>
      </c>
      <c r="D4687" s="7" t="s">
        <v>28</v>
      </c>
      <c r="E4687" s="7" t="s">
        <v>25</v>
      </c>
      <c r="F4687" s="8">
        <v>48.0</v>
      </c>
      <c r="G4687" s="9">
        <v>48.0</v>
      </c>
    </row>
    <row r="4688" ht="14.25" hidden="1" customHeight="1">
      <c r="B4688" s="7" t="s">
        <v>20</v>
      </c>
      <c r="C4688" s="7" t="s">
        <v>7</v>
      </c>
      <c r="D4688" s="7" t="s">
        <v>9</v>
      </c>
      <c r="E4688" s="7" t="s">
        <v>31</v>
      </c>
      <c r="F4688" s="8">
        <v>48.0</v>
      </c>
      <c r="G4688" s="9">
        <v>24.0</v>
      </c>
    </row>
    <row r="4689" ht="14.25" hidden="1" customHeight="1">
      <c r="B4689" s="7" t="s">
        <v>20</v>
      </c>
      <c r="C4689" s="7" t="s">
        <v>29</v>
      </c>
      <c r="D4689" s="7" t="s">
        <v>28</v>
      </c>
      <c r="E4689" s="7" t="s">
        <v>33</v>
      </c>
      <c r="F4689" s="8">
        <v>46.0</v>
      </c>
      <c r="G4689" s="9">
        <v>46.0</v>
      </c>
    </row>
    <row r="4690" ht="14.25" hidden="1" customHeight="1">
      <c r="B4690" s="7" t="s">
        <v>20</v>
      </c>
      <c r="C4690" s="7" t="s">
        <v>29</v>
      </c>
      <c r="D4690" s="7" t="s">
        <v>8</v>
      </c>
      <c r="E4690" s="7" t="s">
        <v>33</v>
      </c>
      <c r="F4690" s="8">
        <v>46.0</v>
      </c>
      <c r="G4690" s="9">
        <v>46.0</v>
      </c>
    </row>
    <row r="4691" ht="14.25" customHeight="1">
      <c r="B4691" s="7" t="s">
        <v>20</v>
      </c>
      <c r="C4691" s="7" t="s">
        <v>7</v>
      </c>
      <c r="D4691" s="7" t="s">
        <v>8</v>
      </c>
      <c r="E4691" s="7" t="s">
        <v>31</v>
      </c>
      <c r="F4691" s="8">
        <v>44.0</v>
      </c>
      <c r="G4691" s="9">
        <v>22.0</v>
      </c>
    </row>
    <row r="4692" ht="14.25" hidden="1" customHeight="1">
      <c r="B4692" s="7" t="s">
        <v>20</v>
      </c>
      <c r="C4692" s="7" t="s">
        <v>29</v>
      </c>
      <c r="D4692" s="7" t="s">
        <v>9</v>
      </c>
      <c r="E4692" s="7" t="s">
        <v>31</v>
      </c>
      <c r="F4692" s="8">
        <v>42.0</v>
      </c>
      <c r="G4692" s="9">
        <v>42.0</v>
      </c>
    </row>
    <row r="4693" ht="14.25" hidden="1" customHeight="1">
      <c r="B4693" s="7" t="s">
        <v>20</v>
      </c>
      <c r="C4693" s="7" t="s">
        <v>29</v>
      </c>
      <c r="D4693" s="7" t="s">
        <v>24</v>
      </c>
      <c r="E4693" s="7" t="s">
        <v>31</v>
      </c>
      <c r="F4693" s="8">
        <v>42.0</v>
      </c>
      <c r="G4693" s="9">
        <v>42.0</v>
      </c>
    </row>
    <row r="4694" ht="14.25" hidden="1" customHeight="1">
      <c r="B4694" s="7" t="s">
        <v>20</v>
      </c>
      <c r="C4694" s="7" t="s">
        <v>7</v>
      </c>
      <c r="D4694" s="7" t="s">
        <v>10</v>
      </c>
      <c r="E4694" s="7" t="s">
        <v>24</v>
      </c>
      <c r="F4694" s="8">
        <v>42.0</v>
      </c>
      <c r="G4694" s="9">
        <v>21.0</v>
      </c>
    </row>
    <row r="4695" ht="14.25" customHeight="1">
      <c r="B4695" s="7" t="s">
        <v>20</v>
      </c>
      <c r="C4695" s="7" t="s">
        <v>7</v>
      </c>
      <c r="D4695" s="7" t="s">
        <v>8</v>
      </c>
      <c r="E4695" s="7" t="s">
        <v>31</v>
      </c>
      <c r="F4695" s="8">
        <v>42.0</v>
      </c>
      <c r="G4695" s="9">
        <v>21.0</v>
      </c>
    </row>
    <row r="4696" ht="14.25" hidden="1" customHeight="1">
      <c r="B4696" s="7" t="s">
        <v>20</v>
      </c>
      <c r="C4696" s="7" t="s">
        <v>30</v>
      </c>
      <c r="D4696" s="7" t="s">
        <v>33</v>
      </c>
      <c r="E4696" s="7" t="s">
        <v>25</v>
      </c>
      <c r="F4696" s="8">
        <v>40.0</v>
      </c>
      <c r="G4696" s="9">
        <v>20.0</v>
      </c>
    </row>
    <row r="4697" ht="14.25" hidden="1" customHeight="1">
      <c r="B4697" s="7" t="s">
        <v>20</v>
      </c>
      <c r="C4697" s="7" t="s">
        <v>30</v>
      </c>
      <c r="D4697" s="7" t="s">
        <v>31</v>
      </c>
      <c r="E4697" s="7" t="s">
        <v>24</v>
      </c>
      <c r="F4697" s="8">
        <v>40.0</v>
      </c>
      <c r="G4697" s="9">
        <v>20.0</v>
      </c>
    </row>
    <row r="4698" ht="14.25" customHeight="1">
      <c r="B4698" s="7" t="s">
        <v>20</v>
      </c>
      <c r="C4698" s="7" t="s">
        <v>30</v>
      </c>
      <c r="D4698" s="7" t="s">
        <v>8</v>
      </c>
      <c r="E4698" s="7" t="s">
        <v>31</v>
      </c>
      <c r="F4698" s="8">
        <v>40.0</v>
      </c>
      <c r="G4698" s="9">
        <v>20.0</v>
      </c>
    </row>
    <row r="4699" ht="14.25" hidden="1" customHeight="1">
      <c r="B4699" s="7" t="s">
        <v>20</v>
      </c>
      <c r="C4699" s="7" t="s">
        <v>7</v>
      </c>
      <c r="D4699" s="7" t="s">
        <v>8</v>
      </c>
      <c r="E4699" s="7" t="s">
        <v>9</v>
      </c>
      <c r="F4699" s="8">
        <v>38.0</v>
      </c>
      <c r="G4699" s="9">
        <v>19.0</v>
      </c>
    </row>
    <row r="4700" ht="14.25" hidden="1" customHeight="1">
      <c r="B4700" s="7" t="s">
        <v>20</v>
      </c>
      <c r="C4700" s="7" t="s">
        <v>7</v>
      </c>
      <c r="D4700" s="7" t="s">
        <v>25</v>
      </c>
      <c r="E4700" s="7" t="s">
        <v>33</v>
      </c>
      <c r="F4700" s="8">
        <v>36.0</v>
      </c>
      <c r="G4700" s="9">
        <v>18.0</v>
      </c>
    </row>
    <row r="4701" ht="14.25" hidden="1" customHeight="1">
      <c r="B4701" s="7" t="s">
        <v>20</v>
      </c>
      <c r="C4701" s="7" t="s">
        <v>29</v>
      </c>
      <c r="D4701" s="7" t="s">
        <v>9</v>
      </c>
      <c r="E4701" s="7" t="s">
        <v>32</v>
      </c>
      <c r="F4701" s="8">
        <v>36.0</v>
      </c>
      <c r="G4701" s="9">
        <v>36.0</v>
      </c>
    </row>
    <row r="4702" ht="14.25" hidden="1" customHeight="1">
      <c r="B4702" s="7" t="s">
        <v>20</v>
      </c>
      <c r="C4702" s="7" t="s">
        <v>7</v>
      </c>
      <c r="D4702" s="7" t="s">
        <v>8</v>
      </c>
      <c r="E4702" s="7" t="s">
        <v>25</v>
      </c>
      <c r="F4702" s="8">
        <v>36.0</v>
      </c>
      <c r="G4702" s="9">
        <v>36.0</v>
      </c>
    </row>
    <row r="4703" ht="14.25" hidden="1" customHeight="1">
      <c r="B4703" s="7" t="s">
        <v>20</v>
      </c>
      <c r="C4703" s="7" t="s">
        <v>7</v>
      </c>
      <c r="D4703" s="7" t="s">
        <v>11</v>
      </c>
      <c r="E4703" s="7" t="s">
        <v>25</v>
      </c>
      <c r="F4703" s="8">
        <v>34.0</v>
      </c>
      <c r="G4703" s="9">
        <v>17.0</v>
      </c>
    </row>
    <row r="4704" ht="14.25" hidden="1" customHeight="1">
      <c r="B4704" s="7" t="s">
        <v>20</v>
      </c>
      <c r="C4704" s="7" t="s">
        <v>29</v>
      </c>
      <c r="D4704" s="7" t="s">
        <v>31</v>
      </c>
      <c r="E4704" s="7" t="s">
        <v>25</v>
      </c>
      <c r="F4704" s="8">
        <v>33.0</v>
      </c>
      <c r="G4704" s="9">
        <v>33.0</v>
      </c>
    </row>
    <row r="4705" ht="14.25" hidden="1" customHeight="1">
      <c r="B4705" s="7" t="s">
        <v>20</v>
      </c>
      <c r="C4705" s="7" t="s">
        <v>7</v>
      </c>
      <c r="D4705" s="7" t="s">
        <v>25</v>
      </c>
      <c r="E4705" s="7" t="s">
        <v>28</v>
      </c>
      <c r="F4705" s="8">
        <v>32.0</v>
      </c>
      <c r="G4705" s="9">
        <v>16.0</v>
      </c>
    </row>
    <row r="4706" ht="14.25" hidden="1" customHeight="1">
      <c r="B4706" s="7" t="s">
        <v>20</v>
      </c>
      <c r="C4706" s="7" t="s">
        <v>30</v>
      </c>
      <c r="D4706" s="7" t="s">
        <v>28</v>
      </c>
      <c r="E4706" s="7" t="s">
        <v>10</v>
      </c>
      <c r="F4706" s="8">
        <v>32.0</v>
      </c>
      <c r="G4706" s="9">
        <v>16.0</v>
      </c>
    </row>
    <row r="4707" ht="14.25" hidden="1" customHeight="1">
      <c r="B4707" s="7" t="s">
        <v>20</v>
      </c>
      <c r="C4707" s="7" t="s">
        <v>7</v>
      </c>
      <c r="D4707" s="7" t="s">
        <v>9</v>
      </c>
      <c r="E4707" s="7" t="s">
        <v>10</v>
      </c>
      <c r="F4707" s="8">
        <v>32.0</v>
      </c>
      <c r="G4707" s="9">
        <v>16.0</v>
      </c>
    </row>
    <row r="4708" ht="14.25" hidden="1" customHeight="1">
      <c r="B4708" s="7" t="s">
        <v>20</v>
      </c>
      <c r="C4708" s="7" t="s">
        <v>29</v>
      </c>
      <c r="D4708" s="7" t="s">
        <v>9</v>
      </c>
      <c r="E4708" s="7" t="s">
        <v>8</v>
      </c>
      <c r="F4708" s="8">
        <v>31.0</v>
      </c>
      <c r="G4708" s="9">
        <v>31.0</v>
      </c>
    </row>
    <row r="4709" ht="14.25" hidden="1" customHeight="1">
      <c r="B4709" s="7" t="s">
        <v>20</v>
      </c>
      <c r="C4709" s="7" t="s">
        <v>29</v>
      </c>
      <c r="D4709" s="7" t="s">
        <v>8</v>
      </c>
      <c r="E4709" s="7" t="s">
        <v>9</v>
      </c>
      <c r="F4709" s="8">
        <v>31.0</v>
      </c>
      <c r="G4709" s="9">
        <v>31.0</v>
      </c>
    </row>
    <row r="4710" ht="14.25" hidden="1" customHeight="1">
      <c r="B4710" s="7" t="s">
        <v>20</v>
      </c>
      <c r="C4710" s="7" t="s">
        <v>30</v>
      </c>
      <c r="D4710" s="7" t="s">
        <v>28</v>
      </c>
      <c r="E4710" s="7" t="s">
        <v>25</v>
      </c>
      <c r="F4710" s="8">
        <v>30.0</v>
      </c>
      <c r="G4710" s="9">
        <v>15.0</v>
      </c>
    </row>
    <row r="4711" ht="14.25" hidden="1" customHeight="1">
      <c r="B4711" s="7" t="s">
        <v>20</v>
      </c>
      <c r="C4711" s="7" t="s">
        <v>30</v>
      </c>
      <c r="D4711" s="7" t="s">
        <v>28</v>
      </c>
      <c r="E4711" s="7" t="s">
        <v>8</v>
      </c>
      <c r="F4711" s="8">
        <v>30.0</v>
      </c>
      <c r="G4711" s="9">
        <v>15.0</v>
      </c>
    </row>
    <row r="4712" ht="14.25" hidden="1" customHeight="1">
      <c r="B4712" s="7" t="s">
        <v>20</v>
      </c>
      <c r="C4712" s="7" t="s">
        <v>7</v>
      </c>
      <c r="D4712" s="7" t="s">
        <v>34</v>
      </c>
      <c r="E4712" s="7" t="s">
        <v>28</v>
      </c>
      <c r="F4712" s="8">
        <v>30.0</v>
      </c>
      <c r="G4712" s="9">
        <v>15.0</v>
      </c>
    </row>
    <row r="4713" ht="14.25" hidden="1" customHeight="1">
      <c r="B4713" s="7" t="s">
        <v>20</v>
      </c>
      <c r="C4713" s="7" t="s">
        <v>30</v>
      </c>
      <c r="D4713" s="7" t="s">
        <v>24</v>
      </c>
      <c r="E4713" s="7" t="s">
        <v>31</v>
      </c>
      <c r="F4713" s="8">
        <v>30.0</v>
      </c>
      <c r="G4713" s="9">
        <v>15.0</v>
      </c>
    </row>
    <row r="4714" ht="14.25" hidden="1" customHeight="1">
      <c r="B4714" s="7" t="s">
        <v>20</v>
      </c>
      <c r="C4714" s="7" t="s">
        <v>7</v>
      </c>
      <c r="D4714" s="7" t="s">
        <v>11</v>
      </c>
      <c r="E4714" s="7" t="s">
        <v>25</v>
      </c>
      <c r="F4714" s="8">
        <v>28.0</v>
      </c>
      <c r="G4714" s="9">
        <v>14.0</v>
      </c>
    </row>
    <row r="4715" ht="14.25" hidden="1" customHeight="1">
      <c r="B4715" s="7" t="s">
        <v>20</v>
      </c>
      <c r="C4715" s="7" t="s">
        <v>30</v>
      </c>
      <c r="D4715" s="7" t="s">
        <v>28</v>
      </c>
      <c r="E4715" s="7" t="s">
        <v>31</v>
      </c>
      <c r="F4715" s="8">
        <v>26.0</v>
      </c>
      <c r="G4715" s="9">
        <v>13.0</v>
      </c>
    </row>
    <row r="4716" ht="14.25" hidden="1" customHeight="1">
      <c r="B4716" s="7" t="s">
        <v>20</v>
      </c>
      <c r="C4716" s="7" t="s">
        <v>29</v>
      </c>
      <c r="D4716" s="7" t="s">
        <v>10</v>
      </c>
      <c r="E4716" s="7" t="s">
        <v>9</v>
      </c>
      <c r="F4716" s="8">
        <v>26.0</v>
      </c>
      <c r="G4716" s="9">
        <v>26.0</v>
      </c>
    </row>
    <row r="4717" ht="14.25" hidden="1" customHeight="1">
      <c r="B4717" s="7" t="s">
        <v>20</v>
      </c>
      <c r="C4717" s="7" t="s">
        <v>30</v>
      </c>
      <c r="D4717" s="7" t="s">
        <v>10</v>
      </c>
      <c r="E4717" s="7" t="s">
        <v>31</v>
      </c>
      <c r="F4717" s="8">
        <v>26.0</v>
      </c>
      <c r="G4717" s="9">
        <v>13.0</v>
      </c>
    </row>
    <row r="4718" ht="14.25" hidden="1" customHeight="1">
      <c r="B4718" s="7" t="s">
        <v>20</v>
      </c>
      <c r="C4718" s="7" t="s">
        <v>7</v>
      </c>
      <c r="D4718" s="7" t="s">
        <v>8</v>
      </c>
      <c r="E4718" s="7" t="s">
        <v>28</v>
      </c>
      <c r="F4718" s="8">
        <v>26.0</v>
      </c>
      <c r="G4718" s="9">
        <v>13.0</v>
      </c>
    </row>
    <row r="4719" ht="14.25" hidden="1" customHeight="1">
      <c r="B4719" s="7" t="s">
        <v>20</v>
      </c>
      <c r="C4719" s="7" t="s">
        <v>7</v>
      </c>
      <c r="D4719" s="7" t="s">
        <v>8</v>
      </c>
      <c r="E4719" s="7" t="s">
        <v>10</v>
      </c>
      <c r="F4719" s="8">
        <v>26.0</v>
      </c>
      <c r="G4719" s="9">
        <v>13.0</v>
      </c>
    </row>
    <row r="4720" ht="14.25" hidden="1" customHeight="1">
      <c r="B4720" s="7" t="s">
        <v>20</v>
      </c>
      <c r="C4720" s="7" t="s">
        <v>29</v>
      </c>
      <c r="D4720" s="7" t="s">
        <v>9</v>
      </c>
      <c r="E4720" s="7" t="s">
        <v>10</v>
      </c>
      <c r="F4720" s="8">
        <v>25.0</v>
      </c>
      <c r="G4720" s="9">
        <v>25.0</v>
      </c>
    </row>
    <row r="4721" ht="14.25" hidden="1" customHeight="1">
      <c r="B4721" s="7" t="s">
        <v>20</v>
      </c>
      <c r="C4721" s="7" t="s">
        <v>29</v>
      </c>
      <c r="D4721" s="7" t="s">
        <v>8</v>
      </c>
      <c r="E4721" s="7" t="s">
        <v>25</v>
      </c>
      <c r="F4721" s="8">
        <v>25.0</v>
      </c>
      <c r="G4721" s="9">
        <v>25.0</v>
      </c>
    </row>
    <row r="4722" ht="14.25" hidden="1" customHeight="1">
      <c r="B4722" s="7" t="s">
        <v>20</v>
      </c>
      <c r="C4722" s="7" t="s">
        <v>30</v>
      </c>
      <c r="D4722" s="7" t="s">
        <v>25</v>
      </c>
      <c r="E4722" s="7" t="s">
        <v>31</v>
      </c>
      <c r="F4722" s="8">
        <v>24.0</v>
      </c>
      <c r="G4722" s="9">
        <v>12.0</v>
      </c>
    </row>
    <row r="4723" ht="14.25" hidden="1" customHeight="1">
      <c r="B4723" s="7" t="s">
        <v>20</v>
      </c>
      <c r="C4723" s="7" t="s">
        <v>7</v>
      </c>
      <c r="D4723" s="7" t="s">
        <v>33</v>
      </c>
      <c r="E4723" s="7" t="s">
        <v>11</v>
      </c>
      <c r="F4723" s="8">
        <v>24.0</v>
      </c>
      <c r="G4723" s="9">
        <v>12.0</v>
      </c>
    </row>
    <row r="4724" ht="14.25" hidden="1" customHeight="1">
      <c r="B4724" s="7" t="s">
        <v>20</v>
      </c>
      <c r="C4724" s="7" t="s">
        <v>29</v>
      </c>
      <c r="D4724" s="7" t="s">
        <v>34</v>
      </c>
      <c r="E4724" s="7" t="s">
        <v>28</v>
      </c>
      <c r="F4724" s="8">
        <v>24.0</v>
      </c>
      <c r="G4724" s="9">
        <v>24.0</v>
      </c>
    </row>
    <row r="4725" ht="14.25" hidden="1" customHeight="1">
      <c r="B4725" s="7" t="s">
        <v>20</v>
      </c>
      <c r="C4725" s="7" t="s">
        <v>30</v>
      </c>
      <c r="D4725" s="7" t="s">
        <v>34</v>
      </c>
      <c r="E4725" s="7" t="s">
        <v>8</v>
      </c>
      <c r="F4725" s="8">
        <v>24.0</v>
      </c>
      <c r="G4725" s="9">
        <v>12.0</v>
      </c>
    </row>
    <row r="4726" ht="14.25" hidden="1" customHeight="1">
      <c r="B4726" s="7" t="s">
        <v>20</v>
      </c>
      <c r="C4726" s="7" t="s">
        <v>29</v>
      </c>
      <c r="D4726" s="7" t="s">
        <v>9</v>
      </c>
      <c r="E4726" s="7" t="s">
        <v>31</v>
      </c>
      <c r="F4726" s="8">
        <v>24.0</v>
      </c>
      <c r="G4726" s="9">
        <v>24.0</v>
      </c>
    </row>
    <row r="4727" ht="14.25" hidden="1" customHeight="1">
      <c r="B4727" s="7" t="s">
        <v>20</v>
      </c>
      <c r="C4727" s="7" t="s">
        <v>7</v>
      </c>
      <c r="D4727" s="7" t="s">
        <v>9</v>
      </c>
      <c r="E4727" s="7" t="s">
        <v>8</v>
      </c>
      <c r="F4727" s="8">
        <v>24.0</v>
      </c>
      <c r="G4727" s="9">
        <v>12.0</v>
      </c>
    </row>
    <row r="4728" ht="14.25" hidden="1" customHeight="1">
      <c r="B4728" s="7" t="s">
        <v>20</v>
      </c>
      <c r="C4728" s="7" t="s">
        <v>30</v>
      </c>
      <c r="D4728" s="7" t="s">
        <v>31</v>
      </c>
      <c r="E4728" s="7" t="s">
        <v>10</v>
      </c>
      <c r="F4728" s="8">
        <v>24.0</v>
      </c>
      <c r="G4728" s="9">
        <v>12.0</v>
      </c>
    </row>
    <row r="4729" ht="14.25" hidden="1" customHeight="1">
      <c r="B4729" s="7" t="s">
        <v>20</v>
      </c>
      <c r="C4729" s="7" t="s">
        <v>7</v>
      </c>
      <c r="D4729" s="7" t="s">
        <v>8</v>
      </c>
      <c r="E4729" s="7" t="s">
        <v>10</v>
      </c>
      <c r="F4729" s="8">
        <v>24.0</v>
      </c>
      <c r="G4729" s="9">
        <v>12.0</v>
      </c>
    </row>
    <row r="4730" ht="14.25" hidden="1" customHeight="1">
      <c r="B4730" s="7" t="s">
        <v>20</v>
      </c>
      <c r="C4730" s="7" t="s">
        <v>29</v>
      </c>
      <c r="D4730" s="7" t="s">
        <v>9</v>
      </c>
      <c r="E4730" s="7" t="s">
        <v>8</v>
      </c>
      <c r="F4730" s="8">
        <v>23.0</v>
      </c>
      <c r="G4730" s="9">
        <v>23.0</v>
      </c>
    </row>
    <row r="4731" ht="14.25" hidden="1" customHeight="1">
      <c r="B4731" s="7" t="s">
        <v>20</v>
      </c>
      <c r="C4731" s="7" t="s">
        <v>29</v>
      </c>
      <c r="D4731" s="7" t="s">
        <v>10</v>
      </c>
      <c r="E4731" s="7" t="s">
        <v>8</v>
      </c>
      <c r="F4731" s="8">
        <v>23.0</v>
      </c>
      <c r="G4731" s="9">
        <v>23.0</v>
      </c>
    </row>
    <row r="4732" ht="14.25" hidden="1" customHeight="1">
      <c r="B4732" s="7" t="s">
        <v>20</v>
      </c>
      <c r="C4732" s="7" t="s">
        <v>29</v>
      </c>
      <c r="D4732" s="7" t="s">
        <v>10</v>
      </c>
      <c r="E4732" s="7" t="s">
        <v>25</v>
      </c>
      <c r="F4732" s="8">
        <v>22.0</v>
      </c>
      <c r="G4732" s="9">
        <v>22.0</v>
      </c>
    </row>
    <row r="4733" ht="14.25" hidden="1" customHeight="1">
      <c r="B4733" s="7" t="s">
        <v>20</v>
      </c>
      <c r="C4733" s="7" t="s">
        <v>7</v>
      </c>
      <c r="D4733" s="7" t="s">
        <v>10</v>
      </c>
      <c r="E4733" s="7" t="s">
        <v>33</v>
      </c>
      <c r="F4733" s="8">
        <v>22.0</v>
      </c>
      <c r="G4733" s="9">
        <v>11.0</v>
      </c>
    </row>
    <row r="4734" ht="14.25" hidden="1" customHeight="1">
      <c r="B4734" s="7" t="s">
        <v>20</v>
      </c>
      <c r="C4734" s="7" t="s">
        <v>30</v>
      </c>
      <c r="D4734" s="7" t="s">
        <v>32</v>
      </c>
      <c r="E4734" s="7" t="s">
        <v>28</v>
      </c>
      <c r="F4734" s="8">
        <v>22.0</v>
      </c>
      <c r="G4734" s="9">
        <v>11.0</v>
      </c>
    </row>
    <row r="4735" ht="14.25" hidden="1" customHeight="1">
      <c r="B4735" s="7" t="s">
        <v>20</v>
      </c>
      <c r="C4735" s="7" t="s">
        <v>30</v>
      </c>
      <c r="D4735" s="7" t="s">
        <v>32</v>
      </c>
      <c r="E4735" s="7" t="s">
        <v>9</v>
      </c>
      <c r="F4735" s="8">
        <v>22.0</v>
      </c>
      <c r="G4735" s="9">
        <v>11.0</v>
      </c>
    </row>
    <row r="4736" ht="14.25" hidden="1" customHeight="1">
      <c r="B4736" s="7" t="s">
        <v>20</v>
      </c>
      <c r="C4736" s="7" t="s">
        <v>7</v>
      </c>
      <c r="D4736" s="7" t="s">
        <v>31</v>
      </c>
      <c r="E4736" s="7" t="s">
        <v>25</v>
      </c>
      <c r="F4736" s="8">
        <v>22.0</v>
      </c>
      <c r="G4736" s="9">
        <v>22.0</v>
      </c>
    </row>
    <row r="4737" ht="14.25" hidden="1" customHeight="1">
      <c r="B4737" s="7" t="s">
        <v>20</v>
      </c>
      <c r="C4737" s="7" t="s">
        <v>7</v>
      </c>
      <c r="D4737" s="7" t="s">
        <v>31</v>
      </c>
      <c r="E4737" s="7" t="s">
        <v>9</v>
      </c>
      <c r="F4737" s="8">
        <v>22.0</v>
      </c>
      <c r="G4737" s="9">
        <v>11.0</v>
      </c>
    </row>
    <row r="4738" ht="14.25" hidden="1" customHeight="1">
      <c r="B4738" s="7" t="s">
        <v>20</v>
      </c>
      <c r="C4738" s="7" t="s">
        <v>7</v>
      </c>
      <c r="D4738" s="7" t="s">
        <v>8</v>
      </c>
      <c r="E4738" s="7" t="s">
        <v>10</v>
      </c>
      <c r="F4738" s="8">
        <v>22.0</v>
      </c>
      <c r="G4738" s="9">
        <v>11.0</v>
      </c>
    </row>
    <row r="4739" ht="14.25" hidden="1" customHeight="1">
      <c r="B4739" s="7" t="s">
        <v>20</v>
      </c>
      <c r="C4739" s="7" t="s">
        <v>29</v>
      </c>
      <c r="D4739" s="7" t="s">
        <v>31</v>
      </c>
      <c r="E4739" s="7" t="s">
        <v>33</v>
      </c>
      <c r="F4739" s="8">
        <v>21.0</v>
      </c>
      <c r="G4739" s="9">
        <v>21.0</v>
      </c>
    </row>
    <row r="4740" ht="14.25" hidden="1" customHeight="1">
      <c r="B4740" s="7" t="s">
        <v>20</v>
      </c>
      <c r="C4740" s="7" t="s">
        <v>7</v>
      </c>
      <c r="D4740" s="7" t="s">
        <v>8</v>
      </c>
      <c r="E4740" s="7" t="s">
        <v>25</v>
      </c>
      <c r="F4740" s="8">
        <v>20.0</v>
      </c>
      <c r="G4740" s="9">
        <v>10.0</v>
      </c>
    </row>
    <row r="4741" ht="14.25" hidden="1" customHeight="1">
      <c r="B4741" s="7" t="s">
        <v>20</v>
      </c>
      <c r="C4741" s="7" t="s">
        <v>29</v>
      </c>
      <c r="D4741" s="7" t="s">
        <v>25</v>
      </c>
      <c r="E4741" s="7" t="s">
        <v>10</v>
      </c>
      <c r="F4741" s="8">
        <v>19.0</v>
      </c>
      <c r="G4741" s="9">
        <v>19.0</v>
      </c>
    </row>
    <row r="4742" ht="14.25" hidden="1" customHeight="1">
      <c r="B4742" s="7" t="s">
        <v>20</v>
      </c>
      <c r="C4742" s="7" t="s">
        <v>29</v>
      </c>
      <c r="D4742" s="7" t="s">
        <v>28</v>
      </c>
      <c r="E4742" s="7" t="s">
        <v>31</v>
      </c>
      <c r="F4742" s="8">
        <v>19.0</v>
      </c>
      <c r="G4742" s="9">
        <v>19.0</v>
      </c>
    </row>
    <row r="4743" ht="14.25" hidden="1" customHeight="1">
      <c r="B4743" s="7" t="s">
        <v>20</v>
      </c>
      <c r="C4743" s="7" t="s">
        <v>29</v>
      </c>
      <c r="D4743" s="7" t="s">
        <v>8</v>
      </c>
      <c r="E4743" s="7" t="s">
        <v>10</v>
      </c>
      <c r="F4743" s="8">
        <v>19.0</v>
      </c>
      <c r="G4743" s="9">
        <v>19.0</v>
      </c>
    </row>
    <row r="4744" ht="14.25" hidden="1" customHeight="1">
      <c r="B4744" s="7" t="s">
        <v>20</v>
      </c>
      <c r="C4744" s="7" t="s">
        <v>29</v>
      </c>
      <c r="D4744" s="7" t="s">
        <v>25</v>
      </c>
      <c r="E4744" s="7" t="s">
        <v>8</v>
      </c>
      <c r="F4744" s="8">
        <v>18.0</v>
      </c>
      <c r="G4744" s="9">
        <v>18.0</v>
      </c>
    </row>
    <row r="4745" ht="14.25" hidden="1" customHeight="1">
      <c r="B4745" s="7" t="s">
        <v>20</v>
      </c>
      <c r="C4745" s="7" t="s">
        <v>29</v>
      </c>
      <c r="D4745" s="7" t="s">
        <v>33</v>
      </c>
      <c r="E4745" s="7" t="s">
        <v>28</v>
      </c>
      <c r="F4745" s="8">
        <v>18.0</v>
      </c>
      <c r="G4745" s="9">
        <v>18.0</v>
      </c>
    </row>
    <row r="4746" ht="14.25" hidden="1" customHeight="1">
      <c r="B4746" s="7" t="s">
        <v>20</v>
      </c>
      <c r="C4746" s="7" t="s">
        <v>29</v>
      </c>
      <c r="D4746" s="7" t="s">
        <v>33</v>
      </c>
      <c r="E4746" s="7" t="s">
        <v>31</v>
      </c>
      <c r="F4746" s="8">
        <v>18.0</v>
      </c>
      <c r="G4746" s="9">
        <v>18.0</v>
      </c>
    </row>
    <row r="4747" ht="14.25" hidden="1" customHeight="1">
      <c r="B4747" s="7" t="s">
        <v>20</v>
      </c>
      <c r="C4747" s="7" t="s">
        <v>30</v>
      </c>
      <c r="D4747" s="7" t="s">
        <v>9</v>
      </c>
      <c r="E4747" s="7" t="s">
        <v>28</v>
      </c>
      <c r="F4747" s="8">
        <v>18.0</v>
      </c>
      <c r="G4747" s="9">
        <v>9.0</v>
      </c>
    </row>
    <row r="4748" ht="14.25" hidden="1" customHeight="1">
      <c r="B4748" s="7" t="s">
        <v>20</v>
      </c>
      <c r="C4748" s="7" t="s">
        <v>29</v>
      </c>
      <c r="D4748" s="7" t="s">
        <v>10</v>
      </c>
      <c r="E4748" s="7" t="s">
        <v>33</v>
      </c>
      <c r="F4748" s="8">
        <v>18.0</v>
      </c>
      <c r="G4748" s="9">
        <v>18.0</v>
      </c>
    </row>
    <row r="4749" ht="14.25" hidden="1" customHeight="1">
      <c r="B4749" s="7" t="s">
        <v>20</v>
      </c>
      <c r="C4749" s="7" t="s">
        <v>7</v>
      </c>
      <c r="D4749" s="7" t="s">
        <v>31</v>
      </c>
      <c r="E4749" s="7" t="s">
        <v>9</v>
      </c>
      <c r="F4749" s="8">
        <v>18.0</v>
      </c>
      <c r="G4749" s="9">
        <v>9.0</v>
      </c>
    </row>
    <row r="4750" ht="14.25" hidden="1" customHeight="1">
      <c r="B4750" s="7" t="s">
        <v>20</v>
      </c>
      <c r="C4750" s="7" t="s">
        <v>29</v>
      </c>
      <c r="D4750" s="7" t="s">
        <v>10</v>
      </c>
      <c r="E4750" s="7" t="s">
        <v>9</v>
      </c>
      <c r="F4750" s="8">
        <v>17.0</v>
      </c>
      <c r="G4750" s="9">
        <v>17.0</v>
      </c>
    </row>
    <row r="4751" ht="14.25" hidden="1" customHeight="1">
      <c r="B4751" s="7" t="s">
        <v>20</v>
      </c>
      <c r="C4751" s="7" t="s">
        <v>29</v>
      </c>
      <c r="D4751" s="7" t="s">
        <v>8</v>
      </c>
      <c r="E4751" s="7" t="s">
        <v>9</v>
      </c>
      <c r="F4751" s="8">
        <v>17.0</v>
      </c>
      <c r="G4751" s="9">
        <v>17.0</v>
      </c>
    </row>
    <row r="4752" ht="14.25" hidden="1" customHeight="1">
      <c r="B4752" s="7" t="s">
        <v>20</v>
      </c>
      <c r="C4752" s="7" t="s">
        <v>29</v>
      </c>
      <c r="D4752" s="7" t="s">
        <v>25</v>
      </c>
      <c r="E4752" s="7" t="s">
        <v>10</v>
      </c>
      <c r="F4752" s="8">
        <v>16.0</v>
      </c>
      <c r="G4752" s="9">
        <v>16.0</v>
      </c>
    </row>
    <row r="4753" ht="14.25" hidden="1" customHeight="1">
      <c r="B4753" s="7" t="s">
        <v>20</v>
      </c>
      <c r="C4753" s="7" t="s">
        <v>30</v>
      </c>
      <c r="D4753" s="7" t="s">
        <v>33</v>
      </c>
      <c r="E4753" s="7" t="s">
        <v>9</v>
      </c>
      <c r="F4753" s="8">
        <v>16.0</v>
      </c>
      <c r="G4753" s="9">
        <v>8.0</v>
      </c>
    </row>
    <row r="4754" ht="14.25" hidden="1" customHeight="1">
      <c r="B4754" s="7" t="s">
        <v>20</v>
      </c>
      <c r="C4754" s="7" t="s">
        <v>29</v>
      </c>
      <c r="D4754" s="7" t="s">
        <v>33</v>
      </c>
      <c r="E4754" s="7" t="s">
        <v>31</v>
      </c>
      <c r="F4754" s="8">
        <v>16.0</v>
      </c>
      <c r="G4754" s="9">
        <v>16.0</v>
      </c>
    </row>
    <row r="4755" ht="14.25" hidden="1" customHeight="1">
      <c r="B4755" s="7" t="s">
        <v>20</v>
      </c>
      <c r="C4755" s="7" t="s">
        <v>29</v>
      </c>
      <c r="D4755" s="7" t="s">
        <v>11</v>
      </c>
      <c r="E4755" s="7" t="s">
        <v>25</v>
      </c>
      <c r="F4755" s="8">
        <v>16.0</v>
      </c>
      <c r="G4755" s="9">
        <v>16.0</v>
      </c>
    </row>
    <row r="4756" ht="14.25" hidden="1" customHeight="1">
      <c r="B4756" s="7" t="s">
        <v>20</v>
      </c>
      <c r="C4756" s="7" t="s">
        <v>7</v>
      </c>
      <c r="D4756" s="7" t="s">
        <v>10</v>
      </c>
      <c r="E4756" s="7" t="s">
        <v>28</v>
      </c>
      <c r="F4756" s="8">
        <v>16.0</v>
      </c>
      <c r="G4756" s="9">
        <v>8.0</v>
      </c>
    </row>
    <row r="4757" ht="14.25" hidden="1" customHeight="1">
      <c r="B4757" s="7" t="s">
        <v>20</v>
      </c>
      <c r="C4757" s="7" t="s">
        <v>29</v>
      </c>
      <c r="D4757" s="7" t="s">
        <v>31</v>
      </c>
      <c r="E4757" s="7" t="s">
        <v>9</v>
      </c>
      <c r="F4757" s="8">
        <v>16.0</v>
      </c>
      <c r="G4757" s="9">
        <v>16.0</v>
      </c>
    </row>
    <row r="4758" ht="14.25" hidden="1" customHeight="1">
      <c r="B4758" s="7" t="s">
        <v>20</v>
      </c>
      <c r="C4758" s="7" t="s">
        <v>7</v>
      </c>
      <c r="D4758" s="7" t="s">
        <v>8</v>
      </c>
      <c r="E4758" s="7" t="s">
        <v>33</v>
      </c>
      <c r="F4758" s="8">
        <v>16.0</v>
      </c>
      <c r="G4758" s="9">
        <v>8.0</v>
      </c>
    </row>
    <row r="4759" ht="14.25" hidden="1" customHeight="1">
      <c r="B4759" s="7" t="s">
        <v>20</v>
      </c>
      <c r="C4759" s="7" t="s">
        <v>7</v>
      </c>
      <c r="D4759" s="7" t="s">
        <v>8</v>
      </c>
      <c r="E4759" s="7" t="s">
        <v>10</v>
      </c>
      <c r="F4759" s="8">
        <v>16.0</v>
      </c>
      <c r="G4759" s="9">
        <v>8.0</v>
      </c>
    </row>
    <row r="4760" ht="14.25" hidden="1" customHeight="1">
      <c r="B4760" s="7" t="s">
        <v>20</v>
      </c>
      <c r="C4760" s="7" t="s">
        <v>29</v>
      </c>
      <c r="D4760" s="7" t="s">
        <v>28</v>
      </c>
      <c r="E4760" s="7" t="s">
        <v>8</v>
      </c>
      <c r="F4760" s="8">
        <v>15.0</v>
      </c>
      <c r="G4760" s="9">
        <v>15.0</v>
      </c>
    </row>
    <row r="4761" ht="14.25" hidden="1" customHeight="1">
      <c r="B4761" s="7" t="s">
        <v>20</v>
      </c>
      <c r="C4761" s="7" t="s">
        <v>29</v>
      </c>
      <c r="D4761" s="7" t="s">
        <v>31</v>
      </c>
      <c r="E4761" s="7" t="s">
        <v>10</v>
      </c>
      <c r="F4761" s="8">
        <v>15.0</v>
      </c>
      <c r="G4761" s="9">
        <v>15.0</v>
      </c>
    </row>
    <row r="4762" ht="14.25" hidden="1" customHeight="1">
      <c r="B4762" s="7" t="s">
        <v>20</v>
      </c>
      <c r="C4762" s="7" t="s">
        <v>29</v>
      </c>
      <c r="D4762" s="7" t="s">
        <v>11</v>
      </c>
      <c r="E4762" s="7" t="s">
        <v>10</v>
      </c>
      <c r="F4762" s="8">
        <v>14.0</v>
      </c>
      <c r="G4762" s="9">
        <v>14.0</v>
      </c>
    </row>
    <row r="4763" ht="14.25" hidden="1" customHeight="1">
      <c r="B4763" s="7" t="s">
        <v>20</v>
      </c>
      <c r="C4763" s="7" t="s">
        <v>7</v>
      </c>
      <c r="D4763" s="7" t="s">
        <v>10</v>
      </c>
      <c r="E4763" s="7" t="s">
        <v>9</v>
      </c>
      <c r="F4763" s="8">
        <v>14.0</v>
      </c>
      <c r="G4763" s="9">
        <v>7.0</v>
      </c>
    </row>
    <row r="4764" ht="14.25" hidden="1" customHeight="1">
      <c r="B4764" s="7" t="s">
        <v>20</v>
      </c>
      <c r="C4764" s="7" t="s">
        <v>30</v>
      </c>
      <c r="D4764" s="7" t="s">
        <v>10</v>
      </c>
      <c r="E4764" s="7" t="s">
        <v>9</v>
      </c>
      <c r="F4764" s="8">
        <v>14.0</v>
      </c>
      <c r="G4764" s="9">
        <v>7.0</v>
      </c>
    </row>
    <row r="4765" ht="14.25" hidden="1" customHeight="1">
      <c r="B4765" s="7" t="s">
        <v>20</v>
      </c>
      <c r="C4765" s="7" t="s">
        <v>30</v>
      </c>
      <c r="D4765" s="7" t="s">
        <v>32</v>
      </c>
      <c r="E4765" s="7" t="s">
        <v>24</v>
      </c>
      <c r="F4765" s="8">
        <v>14.0</v>
      </c>
      <c r="G4765" s="9">
        <v>7.0</v>
      </c>
    </row>
    <row r="4766" ht="14.25" hidden="1" customHeight="1">
      <c r="B4766" s="7" t="s">
        <v>20</v>
      </c>
      <c r="C4766" s="7" t="s">
        <v>7</v>
      </c>
      <c r="D4766" s="7" t="s">
        <v>31</v>
      </c>
      <c r="E4766" s="7" t="s">
        <v>33</v>
      </c>
      <c r="F4766" s="8">
        <v>14.0</v>
      </c>
      <c r="G4766" s="9">
        <v>7.0</v>
      </c>
    </row>
    <row r="4767" ht="14.25" hidden="1" customHeight="1">
      <c r="B4767" s="7" t="s">
        <v>20</v>
      </c>
      <c r="C4767" s="7" t="s">
        <v>7</v>
      </c>
      <c r="D4767" s="7" t="s">
        <v>31</v>
      </c>
      <c r="E4767" s="7" t="s">
        <v>33</v>
      </c>
      <c r="F4767" s="8">
        <v>14.0</v>
      </c>
      <c r="G4767" s="9">
        <v>7.0</v>
      </c>
    </row>
    <row r="4768" ht="14.25" hidden="1" customHeight="1">
      <c r="B4768" s="7" t="s">
        <v>20</v>
      </c>
      <c r="C4768" s="7" t="s">
        <v>29</v>
      </c>
      <c r="D4768" s="7" t="s">
        <v>33</v>
      </c>
      <c r="E4768" s="7" t="s">
        <v>28</v>
      </c>
      <c r="F4768" s="8">
        <v>13.0</v>
      </c>
      <c r="G4768" s="9">
        <v>13.0</v>
      </c>
    </row>
    <row r="4769" ht="14.25" hidden="1" customHeight="1">
      <c r="B4769" s="7" t="s">
        <v>20</v>
      </c>
      <c r="C4769" s="7" t="s">
        <v>29</v>
      </c>
      <c r="D4769" s="7" t="s">
        <v>10</v>
      </c>
      <c r="E4769" s="7" t="s">
        <v>28</v>
      </c>
      <c r="F4769" s="8">
        <v>13.0</v>
      </c>
      <c r="G4769" s="9">
        <v>13.0</v>
      </c>
    </row>
    <row r="4770" ht="14.25" hidden="1" customHeight="1">
      <c r="B4770" s="7" t="s">
        <v>20</v>
      </c>
      <c r="C4770" s="7" t="s">
        <v>29</v>
      </c>
      <c r="D4770" s="7" t="s">
        <v>32</v>
      </c>
      <c r="E4770" s="7" t="s">
        <v>33</v>
      </c>
      <c r="F4770" s="8">
        <v>13.0</v>
      </c>
      <c r="G4770" s="9">
        <v>13.0</v>
      </c>
    </row>
    <row r="4771" ht="14.25" hidden="1" customHeight="1">
      <c r="B4771" s="7" t="s">
        <v>20</v>
      </c>
      <c r="C4771" s="7" t="s">
        <v>7</v>
      </c>
      <c r="D4771" s="7" t="s">
        <v>25</v>
      </c>
      <c r="E4771" s="7" t="s">
        <v>33</v>
      </c>
      <c r="F4771" s="8">
        <v>12.0</v>
      </c>
      <c r="G4771" s="9">
        <v>6.0</v>
      </c>
    </row>
    <row r="4772" ht="14.25" hidden="1" customHeight="1">
      <c r="B4772" s="7" t="s">
        <v>20</v>
      </c>
      <c r="C4772" s="7" t="s">
        <v>7</v>
      </c>
      <c r="D4772" s="7" t="s">
        <v>33</v>
      </c>
      <c r="E4772" s="7" t="s">
        <v>8</v>
      </c>
      <c r="F4772" s="8">
        <v>12.0</v>
      </c>
      <c r="G4772" s="9">
        <v>6.0</v>
      </c>
    </row>
    <row r="4773" ht="14.25" hidden="1" customHeight="1">
      <c r="B4773" s="7" t="s">
        <v>20</v>
      </c>
      <c r="C4773" s="7" t="s">
        <v>7</v>
      </c>
      <c r="D4773" s="7" t="s">
        <v>28</v>
      </c>
      <c r="E4773" s="7" t="s">
        <v>33</v>
      </c>
      <c r="F4773" s="8">
        <v>12.0</v>
      </c>
      <c r="G4773" s="9">
        <v>6.0</v>
      </c>
    </row>
    <row r="4774" ht="14.25" hidden="1" customHeight="1">
      <c r="B4774" s="7" t="s">
        <v>20</v>
      </c>
      <c r="C4774" s="7" t="s">
        <v>7</v>
      </c>
      <c r="D4774" s="7" t="s">
        <v>28</v>
      </c>
      <c r="E4774" s="7" t="s">
        <v>8</v>
      </c>
      <c r="F4774" s="8">
        <v>12.0</v>
      </c>
      <c r="G4774" s="9">
        <v>12.0</v>
      </c>
    </row>
    <row r="4775" ht="14.25" hidden="1" customHeight="1">
      <c r="B4775" s="7" t="s">
        <v>20</v>
      </c>
      <c r="C4775" s="7" t="s">
        <v>29</v>
      </c>
      <c r="D4775" s="7" t="s">
        <v>11</v>
      </c>
      <c r="E4775" s="7" t="s">
        <v>25</v>
      </c>
      <c r="F4775" s="8">
        <v>12.0</v>
      </c>
      <c r="G4775" s="9">
        <v>12.0</v>
      </c>
    </row>
    <row r="4776" ht="14.25" hidden="1" customHeight="1">
      <c r="B4776" s="7" t="s">
        <v>20</v>
      </c>
      <c r="C4776" s="7" t="s">
        <v>7</v>
      </c>
      <c r="D4776" s="7" t="s">
        <v>9</v>
      </c>
      <c r="E4776" s="7" t="s">
        <v>33</v>
      </c>
      <c r="F4776" s="8">
        <v>12.0</v>
      </c>
      <c r="G4776" s="9">
        <v>6.0</v>
      </c>
    </row>
    <row r="4777" ht="14.25" hidden="1" customHeight="1">
      <c r="B4777" s="7" t="s">
        <v>20</v>
      </c>
      <c r="C4777" s="7" t="s">
        <v>29</v>
      </c>
      <c r="D4777" s="7" t="s">
        <v>10</v>
      </c>
      <c r="E4777" s="7" t="s">
        <v>24</v>
      </c>
      <c r="F4777" s="8">
        <v>12.0</v>
      </c>
      <c r="G4777" s="9">
        <v>12.0</v>
      </c>
    </row>
    <row r="4778" ht="14.25" hidden="1" customHeight="1">
      <c r="B4778" s="7" t="s">
        <v>20</v>
      </c>
      <c r="C4778" s="7" t="s">
        <v>30</v>
      </c>
      <c r="D4778" s="7" t="s">
        <v>31</v>
      </c>
      <c r="E4778" s="7" t="s">
        <v>33</v>
      </c>
      <c r="F4778" s="8">
        <v>12.0</v>
      </c>
      <c r="G4778" s="9">
        <v>6.0</v>
      </c>
    </row>
    <row r="4779" ht="14.25" customHeight="1">
      <c r="B4779" s="7" t="s">
        <v>20</v>
      </c>
      <c r="C4779" s="7" t="s">
        <v>7</v>
      </c>
      <c r="D4779" s="7" t="s">
        <v>8</v>
      </c>
      <c r="E4779" s="7" t="s">
        <v>31</v>
      </c>
      <c r="F4779" s="8">
        <v>12.0</v>
      </c>
      <c r="G4779" s="9">
        <v>6.0</v>
      </c>
    </row>
    <row r="4780" ht="14.25" hidden="1" customHeight="1">
      <c r="B4780" s="7" t="s">
        <v>20</v>
      </c>
      <c r="C4780" s="7" t="s">
        <v>29</v>
      </c>
      <c r="D4780" s="7" t="s">
        <v>25</v>
      </c>
      <c r="E4780" s="7" t="s">
        <v>33</v>
      </c>
      <c r="F4780" s="8">
        <v>11.0</v>
      </c>
      <c r="G4780" s="9">
        <v>11.0</v>
      </c>
    </row>
    <row r="4781" ht="14.25" hidden="1" customHeight="1">
      <c r="B4781" s="7" t="s">
        <v>20</v>
      </c>
      <c r="C4781" s="7" t="s">
        <v>29</v>
      </c>
      <c r="D4781" s="7" t="s">
        <v>25</v>
      </c>
      <c r="E4781" s="7" t="s">
        <v>9</v>
      </c>
      <c r="F4781" s="8">
        <v>11.0</v>
      </c>
      <c r="G4781" s="9">
        <v>11.0</v>
      </c>
    </row>
    <row r="4782" ht="14.25" hidden="1" customHeight="1">
      <c r="B4782" s="7" t="s">
        <v>20</v>
      </c>
      <c r="C4782" s="7" t="s">
        <v>29</v>
      </c>
      <c r="D4782" s="7" t="s">
        <v>11</v>
      </c>
      <c r="E4782" s="7" t="s">
        <v>10</v>
      </c>
      <c r="F4782" s="8">
        <v>11.0</v>
      </c>
      <c r="G4782" s="9">
        <v>11.0</v>
      </c>
    </row>
    <row r="4783" ht="14.25" hidden="1" customHeight="1">
      <c r="B4783" s="7" t="s">
        <v>20</v>
      </c>
      <c r="C4783" s="7" t="s">
        <v>29</v>
      </c>
      <c r="D4783" s="7" t="s">
        <v>9</v>
      </c>
      <c r="E4783" s="7" t="s">
        <v>8</v>
      </c>
      <c r="F4783" s="8">
        <v>11.0</v>
      </c>
      <c r="G4783" s="9">
        <v>11.0</v>
      </c>
    </row>
    <row r="4784" ht="14.25" hidden="1" customHeight="1">
      <c r="B4784" s="7" t="s">
        <v>20</v>
      </c>
      <c r="C4784" s="7" t="s">
        <v>29</v>
      </c>
      <c r="D4784" s="7" t="s">
        <v>10</v>
      </c>
      <c r="E4784" s="7" t="s">
        <v>8</v>
      </c>
      <c r="F4784" s="8">
        <v>11.0</v>
      </c>
      <c r="G4784" s="9">
        <v>11.0</v>
      </c>
    </row>
    <row r="4785" ht="14.25" hidden="1" customHeight="1">
      <c r="B4785" s="7" t="s">
        <v>20</v>
      </c>
      <c r="C4785" s="7" t="s">
        <v>29</v>
      </c>
      <c r="D4785" s="7" t="s">
        <v>8</v>
      </c>
      <c r="E4785" s="7" t="s">
        <v>25</v>
      </c>
      <c r="F4785" s="8">
        <v>11.0</v>
      </c>
      <c r="G4785" s="9">
        <v>11.0</v>
      </c>
    </row>
    <row r="4786" ht="14.25" hidden="1" customHeight="1">
      <c r="B4786" s="7" t="s">
        <v>20</v>
      </c>
      <c r="C4786" s="7" t="s">
        <v>29</v>
      </c>
      <c r="D4786" s="7" t="s">
        <v>8</v>
      </c>
      <c r="E4786" s="7" t="s">
        <v>9</v>
      </c>
      <c r="F4786" s="8">
        <v>11.0</v>
      </c>
      <c r="G4786" s="9">
        <v>11.0</v>
      </c>
    </row>
    <row r="4787" ht="14.25" hidden="1" customHeight="1">
      <c r="B4787" s="7" t="s">
        <v>20</v>
      </c>
      <c r="C4787" s="7" t="s">
        <v>30</v>
      </c>
      <c r="D4787" s="7" t="s">
        <v>33</v>
      </c>
      <c r="E4787" s="7" t="s">
        <v>28</v>
      </c>
      <c r="F4787" s="8">
        <v>10.0</v>
      </c>
      <c r="G4787" s="9">
        <v>5.0</v>
      </c>
    </row>
    <row r="4788" ht="14.25" hidden="1" customHeight="1">
      <c r="B4788" s="7" t="s">
        <v>20</v>
      </c>
      <c r="C4788" s="7" t="s">
        <v>7</v>
      </c>
      <c r="D4788" s="7" t="s">
        <v>33</v>
      </c>
      <c r="E4788" s="7" t="s">
        <v>31</v>
      </c>
      <c r="F4788" s="8">
        <v>10.0</v>
      </c>
      <c r="G4788" s="9">
        <v>5.0</v>
      </c>
    </row>
    <row r="4789" ht="14.25" hidden="1" customHeight="1">
      <c r="B4789" s="7" t="s">
        <v>20</v>
      </c>
      <c r="C4789" s="7" t="s">
        <v>30</v>
      </c>
      <c r="D4789" s="7" t="s">
        <v>11</v>
      </c>
      <c r="E4789" s="7" t="s">
        <v>10</v>
      </c>
      <c r="F4789" s="8">
        <v>10.0</v>
      </c>
      <c r="G4789" s="9">
        <v>5.0</v>
      </c>
    </row>
    <row r="4790" ht="14.25" hidden="1" customHeight="1">
      <c r="B4790" s="7" t="s">
        <v>20</v>
      </c>
      <c r="C4790" s="7" t="s">
        <v>7</v>
      </c>
      <c r="D4790" s="7" t="s">
        <v>9</v>
      </c>
      <c r="E4790" s="7" t="s">
        <v>31</v>
      </c>
      <c r="F4790" s="8">
        <v>10.0</v>
      </c>
      <c r="G4790" s="9">
        <v>5.0</v>
      </c>
    </row>
    <row r="4791" ht="14.25" hidden="1" customHeight="1">
      <c r="B4791" s="7" t="s">
        <v>20</v>
      </c>
      <c r="C4791" s="7" t="s">
        <v>29</v>
      </c>
      <c r="D4791" s="7" t="s">
        <v>9</v>
      </c>
      <c r="E4791" s="7" t="s">
        <v>8</v>
      </c>
      <c r="F4791" s="8">
        <v>10.0</v>
      </c>
      <c r="G4791" s="9">
        <v>10.0</v>
      </c>
    </row>
    <row r="4792" ht="14.25" hidden="1" customHeight="1">
      <c r="B4792" s="7" t="s">
        <v>20</v>
      </c>
      <c r="C4792" s="7" t="s">
        <v>7</v>
      </c>
      <c r="D4792" s="7" t="s">
        <v>24</v>
      </c>
      <c r="E4792" s="7" t="s">
        <v>31</v>
      </c>
      <c r="F4792" s="8">
        <v>10.0</v>
      </c>
      <c r="G4792" s="9">
        <v>5.0</v>
      </c>
    </row>
    <row r="4793" ht="14.25" hidden="1" customHeight="1">
      <c r="B4793" s="7" t="s">
        <v>20</v>
      </c>
      <c r="C4793" s="7" t="s">
        <v>30</v>
      </c>
      <c r="D4793" s="7" t="s">
        <v>10</v>
      </c>
      <c r="E4793" s="7" t="s">
        <v>24</v>
      </c>
      <c r="F4793" s="8">
        <v>10.0</v>
      </c>
      <c r="G4793" s="9">
        <v>5.0</v>
      </c>
    </row>
    <row r="4794" ht="14.25" hidden="1" customHeight="1">
      <c r="B4794" s="7" t="s">
        <v>20</v>
      </c>
      <c r="C4794" s="7" t="s">
        <v>29</v>
      </c>
      <c r="D4794" s="7" t="s">
        <v>32</v>
      </c>
      <c r="E4794" s="7" t="s">
        <v>24</v>
      </c>
      <c r="F4794" s="8">
        <v>10.0</v>
      </c>
      <c r="G4794" s="9">
        <v>10.0</v>
      </c>
    </row>
    <row r="4795" ht="14.25" hidden="1" customHeight="1">
      <c r="B4795" s="7" t="s">
        <v>20</v>
      </c>
      <c r="C4795" s="7" t="s">
        <v>7</v>
      </c>
      <c r="D4795" s="7" t="s">
        <v>32</v>
      </c>
      <c r="E4795" s="7" t="s">
        <v>31</v>
      </c>
      <c r="F4795" s="8">
        <v>10.0</v>
      </c>
      <c r="G4795" s="9">
        <v>5.0</v>
      </c>
    </row>
    <row r="4796" ht="14.25" hidden="1" customHeight="1">
      <c r="B4796" s="7" t="s">
        <v>20</v>
      </c>
      <c r="C4796" s="7" t="s">
        <v>29</v>
      </c>
      <c r="D4796" s="7" t="s">
        <v>31</v>
      </c>
      <c r="E4796" s="7" t="s">
        <v>28</v>
      </c>
      <c r="F4796" s="8">
        <v>10.0</v>
      </c>
      <c r="G4796" s="9">
        <v>10.0</v>
      </c>
    </row>
    <row r="4797" ht="14.25" hidden="1" customHeight="1">
      <c r="B4797" s="7" t="s">
        <v>20</v>
      </c>
      <c r="C4797" s="7" t="s">
        <v>7</v>
      </c>
      <c r="D4797" s="7" t="s">
        <v>31</v>
      </c>
      <c r="E4797" s="7" t="s">
        <v>10</v>
      </c>
      <c r="F4797" s="8">
        <v>10.0</v>
      </c>
      <c r="G4797" s="9">
        <v>5.0</v>
      </c>
    </row>
    <row r="4798" ht="14.25" hidden="1" customHeight="1">
      <c r="B4798" s="7" t="s">
        <v>20</v>
      </c>
      <c r="C4798" s="7" t="s">
        <v>30</v>
      </c>
      <c r="D4798" s="7" t="s">
        <v>31</v>
      </c>
      <c r="E4798" s="7" t="s">
        <v>31</v>
      </c>
      <c r="F4798" s="8">
        <v>10.0</v>
      </c>
      <c r="G4798" s="9">
        <v>5.0</v>
      </c>
    </row>
    <row r="4799" ht="14.25" hidden="1" customHeight="1">
      <c r="B4799" s="7" t="s">
        <v>20</v>
      </c>
      <c r="C4799" s="7" t="s">
        <v>29</v>
      </c>
      <c r="D4799" s="7" t="s">
        <v>31</v>
      </c>
      <c r="E4799" s="7" t="s">
        <v>8</v>
      </c>
      <c r="F4799" s="8">
        <v>10.0</v>
      </c>
      <c r="G4799" s="9">
        <v>10.0</v>
      </c>
    </row>
    <row r="4800" ht="14.25" hidden="1" customHeight="1">
      <c r="B4800" s="7" t="s">
        <v>20</v>
      </c>
      <c r="C4800" s="7" t="s">
        <v>29</v>
      </c>
      <c r="D4800" s="7" t="s">
        <v>9</v>
      </c>
      <c r="E4800" s="7" t="s">
        <v>31</v>
      </c>
      <c r="F4800" s="8">
        <v>9.0</v>
      </c>
      <c r="G4800" s="9">
        <v>9.0</v>
      </c>
    </row>
    <row r="4801" ht="14.25" hidden="1" customHeight="1">
      <c r="B4801" s="7" t="s">
        <v>20</v>
      </c>
      <c r="C4801" s="7" t="s">
        <v>30</v>
      </c>
      <c r="D4801" s="7" t="s">
        <v>25</v>
      </c>
      <c r="E4801" s="7" t="s">
        <v>8</v>
      </c>
      <c r="F4801" s="8">
        <v>8.0</v>
      </c>
      <c r="G4801" s="9">
        <v>4.0</v>
      </c>
    </row>
    <row r="4802" ht="14.25" hidden="1" customHeight="1">
      <c r="B4802" s="7" t="s">
        <v>20</v>
      </c>
      <c r="C4802" s="7" t="s">
        <v>30</v>
      </c>
      <c r="D4802" s="7" t="s">
        <v>28</v>
      </c>
      <c r="E4802" s="7" t="s">
        <v>31</v>
      </c>
      <c r="F4802" s="8">
        <v>8.0</v>
      </c>
      <c r="G4802" s="9">
        <v>4.0</v>
      </c>
    </row>
    <row r="4803" ht="14.25" hidden="1" customHeight="1">
      <c r="B4803" s="7" t="s">
        <v>20</v>
      </c>
      <c r="C4803" s="7" t="s">
        <v>7</v>
      </c>
      <c r="D4803" s="7" t="s">
        <v>11</v>
      </c>
      <c r="E4803" s="7" t="s">
        <v>8</v>
      </c>
      <c r="F4803" s="8">
        <v>8.0</v>
      </c>
      <c r="G4803" s="9">
        <v>4.0</v>
      </c>
    </row>
    <row r="4804" ht="14.25" hidden="1" customHeight="1">
      <c r="B4804" s="7" t="s">
        <v>20</v>
      </c>
      <c r="C4804" s="7" t="s">
        <v>29</v>
      </c>
      <c r="D4804" s="7" t="s">
        <v>9</v>
      </c>
      <c r="E4804" s="7" t="s">
        <v>25</v>
      </c>
      <c r="F4804" s="8">
        <v>8.0</v>
      </c>
      <c r="G4804" s="9">
        <v>8.0</v>
      </c>
    </row>
    <row r="4805" ht="14.25" hidden="1" customHeight="1">
      <c r="B4805" s="7" t="s">
        <v>20</v>
      </c>
      <c r="C4805" s="7" t="s">
        <v>7</v>
      </c>
      <c r="D4805" s="7" t="s">
        <v>24</v>
      </c>
      <c r="E4805" s="7" t="s">
        <v>10</v>
      </c>
      <c r="F4805" s="8">
        <v>8.0</v>
      </c>
      <c r="G4805" s="9">
        <v>4.0</v>
      </c>
    </row>
    <row r="4806" ht="14.25" hidden="1" customHeight="1">
      <c r="B4806" s="7" t="s">
        <v>20</v>
      </c>
      <c r="C4806" s="7" t="s">
        <v>7</v>
      </c>
      <c r="D4806" s="7" t="s">
        <v>10</v>
      </c>
      <c r="E4806" s="7" t="s">
        <v>33</v>
      </c>
      <c r="F4806" s="8">
        <v>8.0</v>
      </c>
      <c r="G4806" s="9">
        <v>4.0</v>
      </c>
    </row>
    <row r="4807" ht="14.25" hidden="1" customHeight="1">
      <c r="B4807" s="7" t="s">
        <v>20</v>
      </c>
      <c r="C4807" s="7" t="s">
        <v>7</v>
      </c>
      <c r="D4807" s="7" t="s">
        <v>10</v>
      </c>
      <c r="E4807" s="7" t="s">
        <v>31</v>
      </c>
      <c r="F4807" s="8">
        <v>8.0</v>
      </c>
      <c r="G4807" s="9">
        <v>4.0</v>
      </c>
    </row>
    <row r="4808" ht="14.25" hidden="1" customHeight="1">
      <c r="B4808" s="7" t="s">
        <v>20</v>
      </c>
      <c r="C4808" s="7" t="s">
        <v>7</v>
      </c>
      <c r="D4808" s="7" t="s">
        <v>32</v>
      </c>
      <c r="E4808" s="7" t="s">
        <v>33</v>
      </c>
      <c r="F4808" s="8">
        <v>8.0</v>
      </c>
      <c r="G4808" s="9">
        <v>4.0</v>
      </c>
    </row>
    <row r="4809" ht="14.25" hidden="1" customHeight="1">
      <c r="B4809" s="7" t="s">
        <v>20</v>
      </c>
      <c r="C4809" s="7" t="s">
        <v>7</v>
      </c>
      <c r="D4809" s="7" t="s">
        <v>32</v>
      </c>
      <c r="E4809" s="7" t="s">
        <v>9</v>
      </c>
      <c r="F4809" s="8">
        <v>8.0</v>
      </c>
      <c r="G4809" s="9">
        <v>4.0</v>
      </c>
    </row>
    <row r="4810" ht="14.25" hidden="1" customHeight="1">
      <c r="B4810" s="7" t="s">
        <v>20</v>
      </c>
      <c r="C4810" s="7" t="s">
        <v>7</v>
      </c>
      <c r="D4810" s="7" t="s">
        <v>32</v>
      </c>
      <c r="E4810" s="7" t="s">
        <v>10</v>
      </c>
      <c r="F4810" s="8">
        <v>8.0</v>
      </c>
      <c r="G4810" s="9">
        <v>4.0</v>
      </c>
    </row>
    <row r="4811" ht="14.25" hidden="1" customHeight="1">
      <c r="B4811" s="7" t="s">
        <v>20</v>
      </c>
      <c r="C4811" s="7" t="s">
        <v>7</v>
      </c>
      <c r="D4811" s="7" t="s">
        <v>32</v>
      </c>
      <c r="E4811" s="7" t="s">
        <v>31</v>
      </c>
      <c r="F4811" s="8">
        <v>8.0</v>
      </c>
      <c r="G4811" s="9">
        <v>4.0</v>
      </c>
    </row>
    <row r="4812" ht="14.25" hidden="1" customHeight="1">
      <c r="B4812" s="7" t="s">
        <v>20</v>
      </c>
      <c r="C4812" s="7" t="s">
        <v>29</v>
      </c>
      <c r="D4812" s="7" t="s">
        <v>31</v>
      </c>
      <c r="E4812" s="7" t="s">
        <v>33</v>
      </c>
      <c r="F4812" s="8">
        <v>8.0</v>
      </c>
      <c r="G4812" s="9">
        <v>8.0</v>
      </c>
    </row>
    <row r="4813" ht="14.25" hidden="1" customHeight="1">
      <c r="B4813" s="7" t="s">
        <v>20</v>
      </c>
      <c r="C4813" s="7" t="s">
        <v>7</v>
      </c>
      <c r="D4813" s="7" t="s">
        <v>31</v>
      </c>
      <c r="E4813" s="7" t="s">
        <v>10</v>
      </c>
      <c r="F4813" s="8">
        <v>8.0</v>
      </c>
      <c r="G4813" s="9">
        <v>4.0</v>
      </c>
    </row>
    <row r="4814" ht="14.25" hidden="1" customHeight="1">
      <c r="B4814" s="7" t="s">
        <v>20</v>
      </c>
      <c r="C4814" s="7" t="s">
        <v>7</v>
      </c>
      <c r="D4814" s="7" t="s">
        <v>31</v>
      </c>
      <c r="E4814" s="7" t="s">
        <v>31</v>
      </c>
      <c r="F4814" s="8">
        <v>8.0</v>
      </c>
      <c r="G4814" s="9">
        <v>4.0</v>
      </c>
    </row>
    <row r="4815" ht="14.25" hidden="1" customHeight="1">
      <c r="B4815" s="7" t="s">
        <v>20</v>
      </c>
      <c r="C4815" s="7" t="s">
        <v>30</v>
      </c>
      <c r="D4815" s="7" t="s">
        <v>31</v>
      </c>
      <c r="E4815" s="7" t="s">
        <v>8</v>
      </c>
      <c r="F4815" s="8">
        <v>8.0</v>
      </c>
      <c r="G4815" s="9">
        <v>4.0</v>
      </c>
    </row>
    <row r="4816" ht="14.25" hidden="1" customHeight="1">
      <c r="B4816" s="7" t="s">
        <v>20</v>
      </c>
      <c r="C4816" s="7" t="s">
        <v>7</v>
      </c>
      <c r="D4816" s="7" t="s">
        <v>8</v>
      </c>
      <c r="E4816" s="7" t="s">
        <v>9</v>
      </c>
      <c r="F4816" s="8">
        <v>8.0</v>
      </c>
      <c r="G4816" s="9">
        <v>4.0</v>
      </c>
    </row>
    <row r="4817" ht="14.25" hidden="1" customHeight="1">
      <c r="B4817" s="7" t="s">
        <v>20</v>
      </c>
      <c r="C4817" s="7" t="s">
        <v>29</v>
      </c>
      <c r="D4817" s="7" t="s">
        <v>25</v>
      </c>
      <c r="E4817" s="7" t="s">
        <v>28</v>
      </c>
      <c r="F4817" s="8">
        <v>7.0</v>
      </c>
      <c r="G4817" s="9">
        <v>7.0</v>
      </c>
    </row>
    <row r="4818" ht="14.25" hidden="1" customHeight="1">
      <c r="B4818" s="7" t="s">
        <v>20</v>
      </c>
      <c r="C4818" s="7" t="s">
        <v>29</v>
      </c>
      <c r="D4818" s="7" t="s">
        <v>32</v>
      </c>
      <c r="E4818" s="7" t="s">
        <v>25</v>
      </c>
      <c r="F4818" s="8">
        <v>7.0</v>
      </c>
      <c r="G4818" s="9">
        <v>7.0</v>
      </c>
    </row>
    <row r="4819" ht="14.25" hidden="1" customHeight="1">
      <c r="B4819" s="7" t="s">
        <v>20</v>
      </c>
      <c r="C4819" s="7" t="s">
        <v>29</v>
      </c>
      <c r="D4819" s="7" t="s">
        <v>31</v>
      </c>
      <c r="E4819" s="7" t="s">
        <v>28</v>
      </c>
      <c r="F4819" s="8">
        <v>7.0</v>
      </c>
      <c r="G4819" s="9">
        <v>7.0</v>
      </c>
    </row>
    <row r="4820" ht="14.25" hidden="1" customHeight="1">
      <c r="B4820" s="7" t="s">
        <v>20</v>
      </c>
      <c r="C4820" s="7" t="s">
        <v>29</v>
      </c>
      <c r="D4820" s="7" t="s">
        <v>31</v>
      </c>
      <c r="E4820" s="7" t="s">
        <v>31</v>
      </c>
      <c r="F4820" s="8">
        <v>7.0</v>
      </c>
      <c r="G4820" s="9">
        <v>7.0</v>
      </c>
    </row>
    <row r="4821" ht="14.25" customHeight="1">
      <c r="B4821" s="7" t="s">
        <v>20</v>
      </c>
      <c r="C4821" s="7" t="s">
        <v>29</v>
      </c>
      <c r="D4821" s="7" t="s">
        <v>8</v>
      </c>
      <c r="E4821" s="7" t="s">
        <v>31</v>
      </c>
      <c r="F4821" s="8">
        <v>7.0</v>
      </c>
      <c r="G4821" s="9">
        <v>7.0</v>
      </c>
    </row>
    <row r="4822" ht="14.25" hidden="1" customHeight="1">
      <c r="B4822" s="7" t="s">
        <v>20</v>
      </c>
      <c r="C4822" s="7" t="s">
        <v>7</v>
      </c>
      <c r="D4822" s="7" t="s">
        <v>25</v>
      </c>
      <c r="E4822" s="7" t="s">
        <v>33</v>
      </c>
      <c r="F4822" s="8">
        <v>6.0</v>
      </c>
      <c r="G4822" s="9">
        <v>3.0</v>
      </c>
    </row>
    <row r="4823" ht="14.25" hidden="1" customHeight="1">
      <c r="B4823" s="7" t="s">
        <v>20</v>
      </c>
      <c r="C4823" s="7" t="s">
        <v>29</v>
      </c>
      <c r="D4823" s="7" t="s">
        <v>25</v>
      </c>
      <c r="E4823" s="7" t="s">
        <v>28</v>
      </c>
      <c r="F4823" s="8">
        <v>6.0</v>
      </c>
      <c r="G4823" s="9">
        <v>6.0</v>
      </c>
    </row>
    <row r="4824" ht="14.25" hidden="1" customHeight="1">
      <c r="B4824" s="7" t="s">
        <v>20</v>
      </c>
      <c r="C4824" s="7" t="s">
        <v>29</v>
      </c>
      <c r="D4824" s="7" t="s">
        <v>25</v>
      </c>
      <c r="E4824" s="7" t="s">
        <v>10</v>
      </c>
      <c r="F4824" s="8">
        <v>6.0</v>
      </c>
      <c r="G4824" s="9">
        <v>6.0</v>
      </c>
    </row>
    <row r="4825" ht="14.25" hidden="1" customHeight="1">
      <c r="B4825" s="7" t="s">
        <v>20</v>
      </c>
      <c r="C4825" s="7" t="s">
        <v>7</v>
      </c>
      <c r="D4825" s="7" t="s">
        <v>33</v>
      </c>
      <c r="E4825" s="7" t="s">
        <v>31</v>
      </c>
      <c r="F4825" s="8">
        <v>6.0</v>
      </c>
      <c r="G4825" s="9">
        <v>3.0</v>
      </c>
    </row>
    <row r="4826" ht="14.25" hidden="1" customHeight="1">
      <c r="B4826" s="7" t="s">
        <v>20</v>
      </c>
      <c r="C4826" s="7" t="s">
        <v>7</v>
      </c>
      <c r="D4826" s="7" t="s">
        <v>28</v>
      </c>
      <c r="E4826" s="7" t="s">
        <v>31</v>
      </c>
      <c r="F4826" s="8">
        <v>6.0</v>
      </c>
      <c r="G4826" s="9">
        <v>3.0</v>
      </c>
    </row>
    <row r="4827" ht="14.25" hidden="1" customHeight="1">
      <c r="B4827" s="7" t="s">
        <v>20</v>
      </c>
      <c r="C4827" s="7" t="s">
        <v>7</v>
      </c>
      <c r="D4827" s="7" t="s">
        <v>28</v>
      </c>
      <c r="E4827" s="7" t="s">
        <v>8</v>
      </c>
      <c r="F4827" s="8">
        <v>6.0</v>
      </c>
      <c r="G4827" s="9">
        <v>3.0</v>
      </c>
    </row>
    <row r="4828" ht="14.25" hidden="1" customHeight="1">
      <c r="B4828" s="7" t="s">
        <v>20</v>
      </c>
      <c r="C4828" s="7" t="s">
        <v>29</v>
      </c>
      <c r="D4828" s="7" t="s">
        <v>11</v>
      </c>
      <c r="E4828" s="7" t="s">
        <v>8</v>
      </c>
      <c r="F4828" s="8">
        <v>6.0</v>
      </c>
      <c r="G4828" s="9">
        <v>6.0</v>
      </c>
    </row>
    <row r="4829" ht="14.25" hidden="1" customHeight="1">
      <c r="B4829" s="7" t="s">
        <v>20</v>
      </c>
      <c r="C4829" s="7" t="s">
        <v>7</v>
      </c>
      <c r="D4829" s="7" t="s">
        <v>34</v>
      </c>
      <c r="E4829" s="7" t="s">
        <v>32</v>
      </c>
      <c r="F4829" s="8">
        <v>6.0</v>
      </c>
      <c r="G4829" s="9">
        <v>3.0</v>
      </c>
    </row>
    <row r="4830" ht="14.25" hidden="1" customHeight="1">
      <c r="B4830" s="7" t="s">
        <v>20</v>
      </c>
      <c r="C4830" s="7" t="s">
        <v>7</v>
      </c>
      <c r="D4830" s="7" t="s">
        <v>9</v>
      </c>
      <c r="E4830" s="7" t="s">
        <v>33</v>
      </c>
      <c r="F4830" s="8">
        <v>6.0</v>
      </c>
      <c r="G4830" s="9">
        <v>3.0</v>
      </c>
    </row>
    <row r="4831" ht="14.25" hidden="1" customHeight="1">
      <c r="B4831" s="7" t="s">
        <v>20</v>
      </c>
      <c r="C4831" s="7" t="s">
        <v>7</v>
      </c>
      <c r="D4831" s="7" t="s">
        <v>9</v>
      </c>
      <c r="E4831" s="7" t="s">
        <v>8</v>
      </c>
      <c r="F4831" s="8">
        <v>6.0</v>
      </c>
      <c r="G4831" s="9">
        <v>3.0</v>
      </c>
    </row>
    <row r="4832" ht="14.25" hidden="1" customHeight="1">
      <c r="B4832" s="7" t="s">
        <v>20</v>
      </c>
      <c r="C4832" s="7" t="s">
        <v>29</v>
      </c>
      <c r="D4832" s="7" t="s">
        <v>10</v>
      </c>
      <c r="E4832" s="7" t="s">
        <v>25</v>
      </c>
      <c r="F4832" s="8">
        <v>6.0</v>
      </c>
      <c r="G4832" s="9">
        <v>6.0</v>
      </c>
    </row>
    <row r="4833" ht="14.25" hidden="1" customHeight="1">
      <c r="B4833" s="7" t="s">
        <v>20</v>
      </c>
      <c r="C4833" s="7" t="s">
        <v>7</v>
      </c>
      <c r="D4833" s="7" t="s">
        <v>10</v>
      </c>
      <c r="E4833" s="7" t="s">
        <v>28</v>
      </c>
      <c r="F4833" s="8">
        <v>6.0</v>
      </c>
      <c r="G4833" s="9">
        <v>3.0</v>
      </c>
    </row>
    <row r="4834" ht="14.25" hidden="1" customHeight="1">
      <c r="B4834" s="7" t="s">
        <v>20</v>
      </c>
      <c r="C4834" s="7" t="s">
        <v>7</v>
      </c>
      <c r="D4834" s="7" t="s">
        <v>32</v>
      </c>
      <c r="E4834" s="7" t="s">
        <v>28</v>
      </c>
      <c r="F4834" s="8">
        <v>6.0</v>
      </c>
      <c r="G4834" s="9">
        <v>3.0</v>
      </c>
    </row>
    <row r="4835" ht="14.25" hidden="1" customHeight="1">
      <c r="B4835" s="7" t="s">
        <v>20</v>
      </c>
      <c r="C4835" s="7" t="s">
        <v>7</v>
      </c>
      <c r="D4835" s="7" t="s">
        <v>32</v>
      </c>
      <c r="E4835" s="7" t="s">
        <v>31</v>
      </c>
      <c r="F4835" s="8">
        <v>6.0</v>
      </c>
      <c r="G4835" s="9">
        <v>3.0</v>
      </c>
    </row>
    <row r="4836" ht="14.25" hidden="1" customHeight="1">
      <c r="B4836" s="7" t="s">
        <v>20</v>
      </c>
      <c r="C4836" s="7" t="s">
        <v>7</v>
      </c>
      <c r="D4836" s="7" t="s">
        <v>31</v>
      </c>
      <c r="E4836" s="7" t="s">
        <v>28</v>
      </c>
      <c r="F4836" s="8">
        <v>6.0</v>
      </c>
      <c r="G4836" s="9">
        <v>3.0</v>
      </c>
    </row>
    <row r="4837" ht="14.25" hidden="1" customHeight="1">
      <c r="B4837" s="7" t="s">
        <v>20</v>
      </c>
      <c r="C4837" s="7" t="s">
        <v>29</v>
      </c>
      <c r="D4837" s="7" t="s">
        <v>31</v>
      </c>
      <c r="E4837" s="7" t="s">
        <v>9</v>
      </c>
      <c r="F4837" s="8">
        <v>6.0</v>
      </c>
      <c r="G4837" s="9">
        <v>6.0</v>
      </c>
    </row>
    <row r="4838" ht="14.25" hidden="1" customHeight="1">
      <c r="B4838" s="7" t="s">
        <v>20</v>
      </c>
      <c r="C4838" s="7" t="s">
        <v>36</v>
      </c>
      <c r="D4838" s="7" t="s">
        <v>8</v>
      </c>
      <c r="E4838" s="7" t="s">
        <v>28</v>
      </c>
      <c r="F4838" s="8">
        <v>6.0</v>
      </c>
      <c r="G4838" s="9">
        <v>6.0</v>
      </c>
    </row>
    <row r="4839" ht="14.25" hidden="1" customHeight="1">
      <c r="B4839" s="7" t="s">
        <v>20</v>
      </c>
      <c r="C4839" s="7" t="s">
        <v>7</v>
      </c>
      <c r="D4839" s="7" t="s">
        <v>8</v>
      </c>
      <c r="E4839" s="7" t="s">
        <v>28</v>
      </c>
      <c r="F4839" s="8">
        <v>6.0</v>
      </c>
      <c r="G4839" s="9">
        <v>3.0</v>
      </c>
    </row>
    <row r="4840" ht="14.25" hidden="1" customHeight="1">
      <c r="B4840" s="7" t="s">
        <v>20</v>
      </c>
      <c r="C4840" s="7" t="s">
        <v>7</v>
      </c>
      <c r="D4840" s="7" t="s">
        <v>8</v>
      </c>
      <c r="E4840" s="7" t="s">
        <v>9</v>
      </c>
      <c r="F4840" s="8">
        <v>6.0</v>
      </c>
      <c r="G4840" s="9">
        <v>3.0</v>
      </c>
    </row>
    <row r="4841" ht="14.25" customHeight="1">
      <c r="B4841" s="7" t="s">
        <v>20</v>
      </c>
      <c r="C4841" s="7" t="s">
        <v>29</v>
      </c>
      <c r="D4841" s="7" t="s">
        <v>8</v>
      </c>
      <c r="E4841" s="7" t="s">
        <v>31</v>
      </c>
      <c r="F4841" s="8">
        <v>6.0</v>
      </c>
      <c r="G4841" s="9">
        <v>6.0</v>
      </c>
    </row>
    <row r="4842" ht="14.25" hidden="1" customHeight="1">
      <c r="B4842" s="7" t="s">
        <v>20</v>
      </c>
      <c r="C4842" s="7" t="s">
        <v>29</v>
      </c>
      <c r="D4842" s="7" t="s">
        <v>25</v>
      </c>
      <c r="E4842" s="7" t="s">
        <v>8</v>
      </c>
      <c r="F4842" s="8">
        <v>5.0</v>
      </c>
      <c r="G4842" s="9">
        <v>5.0</v>
      </c>
    </row>
    <row r="4843" ht="14.25" hidden="1" customHeight="1">
      <c r="B4843" s="7" t="s">
        <v>20</v>
      </c>
      <c r="C4843" s="7" t="s">
        <v>29</v>
      </c>
      <c r="D4843" s="7" t="s">
        <v>28</v>
      </c>
      <c r="E4843" s="7" t="s">
        <v>34</v>
      </c>
      <c r="F4843" s="8">
        <v>5.0</v>
      </c>
      <c r="G4843" s="9">
        <v>5.0</v>
      </c>
    </row>
    <row r="4844" ht="14.25" hidden="1" customHeight="1">
      <c r="B4844" s="7" t="s">
        <v>20</v>
      </c>
      <c r="C4844" s="7" t="s">
        <v>29</v>
      </c>
      <c r="D4844" s="7" t="s">
        <v>28</v>
      </c>
      <c r="E4844" s="7" t="s">
        <v>31</v>
      </c>
      <c r="F4844" s="8">
        <v>5.0</v>
      </c>
      <c r="G4844" s="9">
        <v>5.0</v>
      </c>
    </row>
    <row r="4845" ht="14.25" hidden="1" customHeight="1">
      <c r="B4845" s="7" t="s">
        <v>20</v>
      </c>
      <c r="C4845" s="7" t="s">
        <v>29</v>
      </c>
      <c r="D4845" s="7" t="s">
        <v>34</v>
      </c>
      <c r="E4845" s="7" t="s">
        <v>28</v>
      </c>
      <c r="F4845" s="8">
        <v>5.0</v>
      </c>
      <c r="G4845" s="9">
        <v>5.0</v>
      </c>
    </row>
    <row r="4846" ht="14.25" hidden="1" customHeight="1">
      <c r="B4846" s="7" t="s">
        <v>20</v>
      </c>
      <c r="C4846" s="7" t="s">
        <v>29</v>
      </c>
      <c r="D4846" s="7" t="s">
        <v>32</v>
      </c>
      <c r="E4846" s="7" t="s">
        <v>28</v>
      </c>
      <c r="F4846" s="8">
        <v>5.0</v>
      </c>
      <c r="G4846" s="9">
        <v>5.0</v>
      </c>
    </row>
    <row r="4847" ht="14.25" hidden="1" customHeight="1">
      <c r="B4847" s="7" t="s">
        <v>20</v>
      </c>
      <c r="C4847" s="7" t="s">
        <v>7</v>
      </c>
      <c r="D4847" s="7" t="s">
        <v>25</v>
      </c>
      <c r="E4847" s="7" t="s">
        <v>9</v>
      </c>
      <c r="F4847" s="8">
        <v>4.0</v>
      </c>
      <c r="G4847" s="9">
        <v>4.0</v>
      </c>
    </row>
    <row r="4848" ht="14.25" hidden="1" customHeight="1">
      <c r="B4848" s="7" t="s">
        <v>20</v>
      </c>
      <c r="C4848" s="7" t="s">
        <v>29</v>
      </c>
      <c r="D4848" s="7" t="s">
        <v>33</v>
      </c>
      <c r="E4848" s="7" t="s">
        <v>9</v>
      </c>
      <c r="F4848" s="8">
        <v>4.0</v>
      </c>
      <c r="G4848" s="9">
        <v>4.0</v>
      </c>
    </row>
    <row r="4849" ht="14.25" hidden="1" customHeight="1">
      <c r="B4849" s="7" t="s">
        <v>20</v>
      </c>
      <c r="C4849" s="7" t="s">
        <v>7</v>
      </c>
      <c r="D4849" s="7" t="s">
        <v>11</v>
      </c>
      <c r="E4849" s="7" t="s">
        <v>10</v>
      </c>
      <c r="F4849" s="8">
        <v>4.0</v>
      </c>
      <c r="G4849" s="9">
        <v>2.0</v>
      </c>
    </row>
    <row r="4850" ht="14.25" hidden="1" customHeight="1">
      <c r="B4850" s="7" t="s">
        <v>20</v>
      </c>
      <c r="C4850" s="7" t="s">
        <v>7</v>
      </c>
      <c r="D4850" s="7" t="s">
        <v>24</v>
      </c>
      <c r="E4850" s="7" t="s">
        <v>10</v>
      </c>
      <c r="F4850" s="8">
        <v>4.0</v>
      </c>
      <c r="G4850" s="9">
        <v>2.0</v>
      </c>
    </row>
    <row r="4851" ht="14.25" hidden="1" customHeight="1">
      <c r="B4851" s="7" t="s">
        <v>20</v>
      </c>
      <c r="C4851" s="7" t="s">
        <v>30</v>
      </c>
      <c r="D4851" s="7" t="s">
        <v>24</v>
      </c>
      <c r="E4851" s="7" t="s">
        <v>8</v>
      </c>
      <c r="F4851" s="8">
        <v>4.0</v>
      </c>
      <c r="G4851" s="9">
        <v>2.0</v>
      </c>
    </row>
    <row r="4852" ht="14.25" hidden="1" customHeight="1">
      <c r="B4852" s="7" t="s">
        <v>20</v>
      </c>
      <c r="C4852" s="7" t="s">
        <v>30</v>
      </c>
      <c r="D4852" s="7" t="s">
        <v>10</v>
      </c>
      <c r="E4852" s="7" t="s">
        <v>28</v>
      </c>
      <c r="F4852" s="8">
        <v>4.0</v>
      </c>
      <c r="G4852" s="9">
        <v>2.0</v>
      </c>
    </row>
    <row r="4853" ht="14.25" hidden="1" customHeight="1">
      <c r="B4853" s="7" t="s">
        <v>20</v>
      </c>
      <c r="C4853" s="7" t="s">
        <v>7</v>
      </c>
      <c r="D4853" s="7" t="s">
        <v>10</v>
      </c>
      <c r="E4853" s="7" t="s">
        <v>31</v>
      </c>
      <c r="F4853" s="8">
        <v>4.0</v>
      </c>
      <c r="G4853" s="9">
        <v>2.0</v>
      </c>
    </row>
    <row r="4854" ht="14.25" hidden="1" customHeight="1">
      <c r="B4854" s="7" t="s">
        <v>20</v>
      </c>
      <c r="C4854" s="7" t="s">
        <v>7</v>
      </c>
      <c r="D4854" s="7" t="s">
        <v>10</v>
      </c>
      <c r="E4854" s="7" t="s">
        <v>8</v>
      </c>
      <c r="F4854" s="8">
        <v>4.0</v>
      </c>
      <c r="G4854" s="9">
        <v>2.0</v>
      </c>
    </row>
    <row r="4855" ht="14.25" hidden="1" customHeight="1">
      <c r="B4855" s="7" t="s">
        <v>20</v>
      </c>
      <c r="C4855" s="7" t="s">
        <v>7</v>
      </c>
      <c r="D4855" s="7" t="s">
        <v>32</v>
      </c>
      <c r="E4855" s="7" t="s">
        <v>33</v>
      </c>
      <c r="F4855" s="8">
        <v>4.0</v>
      </c>
      <c r="G4855" s="9">
        <v>4.0</v>
      </c>
    </row>
    <row r="4856" ht="14.25" hidden="1" customHeight="1">
      <c r="B4856" s="7" t="s">
        <v>20</v>
      </c>
      <c r="C4856" s="7" t="s">
        <v>7</v>
      </c>
      <c r="D4856" s="7" t="s">
        <v>32</v>
      </c>
      <c r="E4856" s="7" t="s">
        <v>33</v>
      </c>
      <c r="F4856" s="8">
        <v>4.0</v>
      </c>
      <c r="G4856" s="9">
        <v>2.0</v>
      </c>
    </row>
    <row r="4857" ht="14.25" hidden="1" customHeight="1">
      <c r="B4857" s="7" t="s">
        <v>20</v>
      </c>
      <c r="C4857" s="7" t="s">
        <v>29</v>
      </c>
      <c r="D4857" s="7" t="s">
        <v>32</v>
      </c>
      <c r="E4857" s="7" t="s">
        <v>8</v>
      </c>
      <c r="F4857" s="8">
        <v>4.0</v>
      </c>
      <c r="G4857" s="9">
        <v>4.0</v>
      </c>
    </row>
    <row r="4858" ht="14.25" hidden="1" customHeight="1">
      <c r="B4858" s="7" t="s">
        <v>20</v>
      </c>
      <c r="C4858" s="7" t="s">
        <v>30</v>
      </c>
      <c r="D4858" s="7" t="s">
        <v>32</v>
      </c>
      <c r="E4858" s="7" t="s">
        <v>8</v>
      </c>
      <c r="F4858" s="8">
        <v>4.0</v>
      </c>
      <c r="G4858" s="9">
        <v>2.0</v>
      </c>
    </row>
    <row r="4859" ht="14.25" hidden="1" customHeight="1">
      <c r="B4859" s="7" t="s">
        <v>20</v>
      </c>
      <c r="C4859" s="7" t="s">
        <v>7</v>
      </c>
      <c r="D4859" s="7" t="s">
        <v>31</v>
      </c>
      <c r="E4859" s="7" t="s">
        <v>28</v>
      </c>
      <c r="F4859" s="8">
        <v>4.0</v>
      </c>
      <c r="G4859" s="9">
        <v>2.0</v>
      </c>
    </row>
    <row r="4860" ht="14.25" hidden="1" customHeight="1">
      <c r="B4860" s="7" t="s">
        <v>20</v>
      </c>
      <c r="C4860" s="7" t="s">
        <v>7</v>
      </c>
      <c r="D4860" s="7" t="s">
        <v>31</v>
      </c>
      <c r="E4860" s="7" t="s">
        <v>31</v>
      </c>
      <c r="F4860" s="8">
        <v>4.0</v>
      </c>
      <c r="G4860" s="9">
        <v>2.0</v>
      </c>
    </row>
    <row r="4861" ht="14.25" hidden="1" customHeight="1">
      <c r="B4861" s="7" t="s">
        <v>20</v>
      </c>
      <c r="C4861" s="7" t="s">
        <v>7</v>
      </c>
      <c r="D4861" s="7" t="s">
        <v>8</v>
      </c>
      <c r="E4861" s="7" t="s">
        <v>25</v>
      </c>
      <c r="F4861" s="8">
        <v>4.0</v>
      </c>
      <c r="G4861" s="9">
        <v>2.0</v>
      </c>
    </row>
    <row r="4862" ht="14.25" hidden="1" customHeight="1">
      <c r="B4862" s="7" t="s">
        <v>20</v>
      </c>
      <c r="C4862" s="7" t="s">
        <v>7</v>
      </c>
      <c r="D4862" s="7" t="s">
        <v>8</v>
      </c>
      <c r="E4862" s="7" t="s">
        <v>9</v>
      </c>
      <c r="F4862" s="8">
        <v>4.0</v>
      </c>
      <c r="G4862" s="9">
        <v>4.0</v>
      </c>
    </row>
    <row r="4863" ht="14.25" hidden="1" customHeight="1">
      <c r="B4863" s="7" t="s">
        <v>20</v>
      </c>
      <c r="C4863" s="7" t="s">
        <v>7</v>
      </c>
      <c r="D4863" s="7" t="s">
        <v>8</v>
      </c>
      <c r="E4863" s="7" t="s">
        <v>9</v>
      </c>
      <c r="F4863" s="8">
        <v>4.0</v>
      </c>
      <c r="G4863" s="9">
        <v>2.0</v>
      </c>
    </row>
    <row r="4864" ht="14.25" hidden="1" customHeight="1">
      <c r="B4864" s="7" t="s">
        <v>20</v>
      </c>
      <c r="C4864" s="7" t="s">
        <v>7</v>
      </c>
      <c r="D4864" s="7" t="s">
        <v>8</v>
      </c>
      <c r="E4864" s="7" t="s">
        <v>9</v>
      </c>
      <c r="F4864" s="8">
        <v>4.0</v>
      </c>
      <c r="G4864" s="9">
        <v>2.0</v>
      </c>
    </row>
    <row r="4865" ht="14.25" hidden="1" customHeight="1">
      <c r="B4865" s="7" t="s">
        <v>20</v>
      </c>
      <c r="C4865" s="7" t="s">
        <v>29</v>
      </c>
      <c r="D4865" s="7" t="s">
        <v>33</v>
      </c>
      <c r="E4865" s="7" t="s">
        <v>25</v>
      </c>
      <c r="F4865" s="8">
        <v>3.0</v>
      </c>
      <c r="G4865" s="9">
        <v>3.0</v>
      </c>
    </row>
    <row r="4866" ht="14.25" hidden="1" customHeight="1">
      <c r="B4866" s="7" t="s">
        <v>20</v>
      </c>
      <c r="C4866" s="7" t="s">
        <v>29</v>
      </c>
      <c r="D4866" s="7" t="s">
        <v>33</v>
      </c>
      <c r="E4866" s="7" t="s">
        <v>32</v>
      </c>
      <c r="F4866" s="8">
        <v>3.0</v>
      </c>
      <c r="G4866" s="9">
        <v>3.0</v>
      </c>
    </row>
    <row r="4867" ht="14.25" hidden="1" customHeight="1">
      <c r="B4867" s="7" t="s">
        <v>20</v>
      </c>
      <c r="C4867" s="7" t="s">
        <v>29</v>
      </c>
      <c r="D4867" s="7" t="s">
        <v>9</v>
      </c>
      <c r="E4867" s="7" t="s">
        <v>28</v>
      </c>
      <c r="F4867" s="8">
        <v>3.0</v>
      </c>
      <c r="G4867" s="9">
        <v>3.0</v>
      </c>
    </row>
    <row r="4868" ht="14.25" hidden="1" customHeight="1">
      <c r="B4868" s="7" t="s">
        <v>20</v>
      </c>
      <c r="C4868" s="7" t="s">
        <v>29</v>
      </c>
      <c r="D4868" s="7" t="s">
        <v>10</v>
      </c>
      <c r="E4868" s="7" t="s">
        <v>25</v>
      </c>
      <c r="F4868" s="8">
        <v>3.0</v>
      </c>
      <c r="G4868" s="9">
        <v>3.0</v>
      </c>
    </row>
    <row r="4869" ht="14.25" hidden="1" customHeight="1">
      <c r="B4869" s="7" t="s">
        <v>20</v>
      </c>
      <c r="C4869" s="7" t="s">
        <v>29</v>
      </c>
      <c r="D4869" s="7" t="s">
        <v>32</v>
      </c>
      <c r="E4869" s="7" t="s">
        <v>25</v>
      </c>
      <c r="F4869" s="8">
        <v>3.0</v>
      </c>
      <c r="G4869" s="9">
        <v>3.0</v>
      </c>
    </row>
    <row r="4870" ht="14.25" hidden="1" customHeight="1">
      <c r="B4870" s="7" t="s">
        <v>20</v>
      </c>
      <c r="C4870" s="7" t="s">
        <v>29</v>
      </c>
      <c r="D4870" s="7" t="s">
        <v>32</v>
      </c>
      <c r="E4870" s="7" t="s">
        <v>9</v>
      </c>
      <c r="F4870" s="8">
        <v>3.0</v>
      </c>
      <c r="G4870" s="9">
        <v>3.0</v>
      </c>
    </row>
    <row r="4871" ht="14.25" hidden="1" customHeight="1">
      <c r="B4871" s="7" t="s">
        <v>20</v>
      </c>
      <c r="C4871" s="7" t="s">
        <v>29</v>
      </c>
      <c r="D4871" s="7" t="s">
        <v>32</v>
      </c>
      <c r="E4871" s="7" t="s">
        <v>31</v>
      </c>
      <c r="F4871" s="8">
        <v>3.0</v>
      </c>
      <c r="G4871" s="9">
        <v>3.0</v>
      </c>
    </row>
    <row r="4872" ht="14.25" hidden="1" customHeight="1">
      <c r="B4872" s="7" t="s">
        <v>20</v>
      </c>
      <c r="C4872" s="7" t="s">
        <v>29</v>
      </c>
      <c r="D4872" s="7" t="s">
        <v>31</v>
      </c>
      <c r="E4872" s="7" t="s">
        <v>10</v>
      </c>
      <c r="F4872" s="8">
        <v>3.0</v>
      </c>
      <c r="G4872" s="9">
        <v>3.0</v>
      </c>
    </row>
    <row r="4873" ht="14.25" hidden="1" customHeight="1">
      <c r="B4873" s="7" t="s">
        <v>20</v>
      </c>
      <c r="C4873" s="7" t="s">
        <v>29</v>
      </c>
      <c r="D4873" s="7" t="s">
        <v>8</v>
      </c>
      <c r="E4873" s="7" t="s">
        <v>33</v>
      </c>
      <c r="F4873" s="8">
        <v>3.0</v>
      </c>
      <c r="G4873" s="9">
        <v>3.0</v>
      </c>
    </row>
    <row r="4874" ht="14.25" hidden="1" customHeight="1">
      <c r="B4874" s="7" t="s">
        <v>20</v>
      </c>
      <c r="C4874" s="7" t="s">
        <v>29</v>
      </c>
      <c r="D4874" s="7" t="s">
        <v>8</v>
      </c>
      <c r="E4874" s="7" t="s">
        <v>9</v>
      </c>
      <c r="F4874" s="8">
        <v>3.0</v>
      </c>
      <c r="G4874" s="9">
        <v>3.0</v>
      </c>
    </row>
    <row r="4875" ht="14.25" hidden="1" customHeight="1">
      <c r="B4875" s="7" t="s">
        <v>20</v>
      </c>
      <c r="C4875" s="7" t="s">
        <v>36</v>
      </c>
      <c r="D4875" s="7" t="s">
        <v>8</v>
      </c>
      <c r="E4875" s="7" t="s">
        <v>9</v>
      </c>
      <c r="F4875" s="8">
        <v>3.0</v>
      </c>
      <c r="G4875" s="9">
        <v>3.0</v>
      </c>
    </row>
    <row r="4876" ht="14.25" hidden="1" customHeight="1">
      <c r="B4876" s="7" t="s">
        <v>20</v>
      </c>
      <c r="C4876" s="7" t="s">
        <v>7</v>
      </c>
      <c r="D4876" s="7" t="s">
        <v>25</v>
      </c>
      <c r="E4876" s="7" t="s">
        <v>8</v>
      </c>
      <c r="F4876" s="8">
        <v>2.0</v>
      </c>
      <c r="G4876" s="9">
        <v>1.0</v>
      </c>
    </row>
    <row r="4877" ht="14.25" hidden="1" customHeight="1">
      <c r="B4877" s="7" t="s">
        <v>20</v>
      </c>
      <c r="C4877" s="7" t="s">
        <v>29</v>
      </c>
      <c r="D4877" s="7" t="s">
        <v>33</v>
      </c>
      <c r="E4877" s="7" t="s">
        <v>25</v>
      </c>
      <c r="F4877" s="8">
        <v>2.0</v>
      </c>
      <c r="G4877" s="9">
        <v>2.0</v>
      </c>
    </row>
    <row r="4878" ht="14.25" hidden="1" customHeight="1">
      <c r="B4878" s="7" t="s">
        <v>20</v>
      </c>
      <c r="C4878" s="7" t="s">
        <v>29</v>
      </c>
      <c r="D4878" s="7" t="s">
        <v>33</v>
      </c>
      <c r="E4878" s="7" t="s">
        <v>28</v>
      </c>
      <c r="F4878" s="8">
        <v>2.0</v>
      </c>
      <c r="G4878" s="9">
        <v>2.0</v>
      </c>
    </row>
    <row r="4879" ht="14.25" hidden="1" customHeight="1">
      <c r="B4879" s="7" t="s">
        <v>20</v>
      </c>
      <c r="C4879" s="7" t="s">
        <v>7</v>
      </c>
      <c r="D4879" s="7" t="s">
        <v>33</v>
      </c>
      <c r="E4879" s="7" t="s">
        <v>28</v>
      </c>
      <c r="F4879" s="8">
        <v>2.0</v>
      </c>
      <c r="G4879" s="9">
        <v>1.0</v>
      </c>
    </row>
    <row r="4880" ht="14.25" hidden="1" customHeight="1">
      <c r="B4880" s="7" t="s">
        <v>20</v>
      </c>
      <c r="C4880" s="7" t="s">
        <v>7</v>
      </c>
      <c r="D4880" s="7" t="s">
        <v>33</v>
      </c>
      <c r="E4880" s="7" t="s">
        <v>28</v>
      </c>
      <c r="F4880" s="8">
        <v>2.0</v>
      </c>
      <c r="G4880" s="9">
        <v>1.0</v>
      </c>
    </row>
    <row r="4881" ht="14.25" hidden="1" customHeight="1">
      <c r="B4881" s="7" t="s">
        <v>20</v>
      </c>
      <c r="C4881" s="7" t="s">
        <v>29</v>
      </c>
      <c r="D4881" s="7" t="s">
        <v>33</v>
      </c>
      <c r="E4881" s="7" t="s">
        <v>24</v>
      </c>
      <c r="F4881" s="8">
        <v>2.0</v>
      </c>
      <c r="G4881" s="9">
        <v>2.0</v>
      </c>
    </row>
    <row r="4882" ht="14.25" hidden="1" customHeight="1">
      <c r="B4882" s="7" t="s">
        <v>20</v>
      </c>
      <c r="C4882" s="7" t="s">
        <v>7</v>
      </c>
      <c r="D4882" s="7" t="s">
        <v>28</v>
      </c>
      <c r="E4882" s="7" t="s">
        <v>25</v>
      </c>
      <c r="F4882" s="8">
        <v>2.0</v>
      </c>
      <c r="G4882" s="9">
        <v>2.0</v>
      </c>
    </row>
    <row r="4883" ht="14.25" hidden="1" customHeight="1">
      <c r="B4883" s="7" t="s">
        <v>20</v>
      </c>
      <c r="C4883" s="7" t="s">
        <v>29</v>
      </c>
      <c r="D4883" s="7" t="s">
        <v>28</v>
      </c>
      <c r="E4883" s="7" t="s">
        <v>25</v>
      </c>
      <c r="F4883" s="8">
        <v>2.0</v>
      </c>
      <c r="G4883" s="9">
        <v>2.0</v>
      </c>
    </row>
    <row r="4884" ht="14.25" hidden="1" customHeight="1">
      <c r="B4884" s="7" t="s">
        <v>20</v>
      </c>
      <c r="C4884" s="7" t="s">
        <v>30</v>
      </c>
      <c r="D4884" s="7" t="s">
        <v>28</v>
      </c>
      <c r="E4884" s="7" t="s">
        <v>9</v>
      </c>
      <c r="F4884" s="8">
        <v>2.0</v>
      </c>
      <c r="G4884" s="9">
        <v>1.0</v>
      </c>
    </row>
    <row r="4885" ht="14.25" hidden="1" customHeight="1">
      <c r="B4885" s="7" t="s">
        <v>20</v>
      </c>
      <c r="C4885" s="7" t="s">
        <v>29</v>
      </c>
      <c r="D4885" s="7" t="s">
        <v>28</v>
      </c>
      <c r="E4885" s="7" t="s">
        <v>8</v>
      </c>
      <c r="F4885" s="8">
        <v>2.0</v>
      </c>
      <c r="G4885" s="9">
        <v>2.0</v>
      </c>
    </row>
    <row r="4886" ht="14.25" hidden="1" customHeight="1">
      <c r="B4886" s="7" t="s">
        <v>20</v>
      </c>
      <c r="C4886" s="7" t="s">
        <v>29</v>
      </c>
      <c r="D4886" s="7" t="s">
        <v>28</v>
      </c>
      <c r="E4886" s="7" t="s">
        <v>8</v>
      </c>
      <c r="F4886" s="8">
        <v>2.0</v>
      </c>
      <c r="G4886" s="9">
        <v>2.0</v>
      </c>
    </row>
    <row r="4887" ht="14.25" hidden="1" customHeight="1">
      <c r="B4887" s="7" t="s">
        <v>20</v>
      </c>
      <c r="C4887" s="7" t="s">
        <v>7</v>
      </c>
      <c r="D4887" s="7" t="s">
        <v>11</v>
      </c>
      <c r="E4887" s="7" t="s">
        <v>10</v>
      </c>
      <c r="F4887" s="8">
        <v>2.0</v>
      </c>
      <c r="G4887" s="9">
        <v>1.0</v>
      </c>
    </row>
    <row r="4888" ht="14.25" hidden="1" customHeight="1">
      <c r="B4888" s="7" t="s">
        <v>20</v>
      </c>
      <c r="C4888" s="7" t="s">
        <v>29</v>
      </c>
      <c r="D4888" s="7" t="s">
        <v>11</v>
      </c>
      <c r="E4888" s="7" t="s">
        <v>31</v>
      </c>
      <c r="F4888" s="8">
        <v>2.0</v>
      </c>
      <c r="G4888" s="9">
        <v>2.0</v>
      </c>
    </row>
    <row r="4889" ht="14.25" hidden="1" customHeight="1">
      <c r="B4889" s="7" t="s">
        <v>20</v>
      </c>
      <c r="C4889" s="7" t="s">
        <v>30</v>
      </c>
      <c r="D4889" s="7" t="s">
        <v>11</v>
      </c>
      <c r="E4889" s="7" t="s">
        <v>8</v>
      </c>
      <c r="F4889" s="8">
        <v>2.0</v>
      </c>
      <c r="G4889" s="9">
        <v>1.0</v>
      </c>
    </row>
    <row r="4890" ht="14.25" hidden="1" customHeight="1">
      <c r="B4890" s="7" t="s">
        <v>20</v>
      </c>
      <c r="C4890" s="7" t="s">
        <v>7</v>
      </c>
      <c r="D4890" s="7" t="s">
        <v>34</v>
      </c>
      <c r="E4890" s="7" t="s">
        <v>28</v>
      </c>
      <c r="F4890" s="8">
        <v>2.0</v>
      </c>
      <c r="G4890" s="9">
        <v>1.0</v>
      </c>
    </row>
    <row r="4891" ht="14.25" hidden="1" customHeight="1">
      <c r="B4891" s="7" t="s">
        <v>20</v>
      </c>
      <c r="C4891" s="7" t="s">
        <v>7</v>
      </c>
      <c r="D4891" s="7" t="s">
        <v>34</v>
      </c>
      <c r="E4891" s="7" t="s">
        <v>8</v>
      </c>
      <c r="F4891" s="8">
        <v>2.0</v>
      </c>
      <c r="G4891" s="9">
        <v>1.0</v>
      </c>
    </row>
    <row r="4892" ht="14.25" hidden="1" customHeight="1">
      <c r="B4892" s="7" t="s">
        <v>20</v>
      </c>
      <c r="C4892" s="7" t="s">
        <v>7</v>
      </c>
      <c r="D4892" s="7" t="s">
        <v>34</v>
      </c>
      <c r="E4892" s="7" t="s">
        <v>8</v>
      </c>
      <c r="F4892" s="8">
        <v>2.0</v>
      </c>
      <c r="G4892" s="9">
        <v>1.0</v>
      </c>
    </row>
    <row r="4893" ht="14.25" hidden="1" customHeight="1">
      <c r="B4893" s="7" t="s">
        <v>20</v>
      </c>
      <c r="C4893" s="7" t="s">
        <v>7</v>
      </c>
      <c r="D4893" s="7" t="s">
        <v>9</v>
      </c>
      <c r="E4893" s="7" t="s">
        <v>25</v>
      </c>
      <c r="F4893" s="8">
        <v>2.0</v>
      </c>
      <c r="G4893" s="9">
        <v>2.0</v>
      </c>
    </row>
    <row r="4894" ht="14.25" hidden="1" customHeight="1">
      <c r="B4894" s="7" t="s">
        <v>20</v>
      </c>
      <c r="C4894" s="7" t="s">
        <v>29</v>
      </c>
      <c r="D4894" s="7" t="s">
        <v>9</v>
      </c>
      <c r="E4894" s="7" t="s">
        <v>33</v>
      </c>
      <c r="F4894" s="8">
        <v>2.0</v>
      </c>
      <c r="G4894" s="9">
        <v>2.0</v>
      </c>
    </row>
    <row r="4895" ht="14.25" hidden="1" customHeight="1">
      <c r="B4895" s="7" t="s">
        <v>20</v>
      </c>
      <c r="C4895" s="7" t="s">
        <v>7</v>
      </c>
      <c r="D4895" s="7" t="s">
        <v>9</v>
      </c>
      <c r="E4895" s="7" t="s">
        <v>33</v>
      </c>
      <c r="F4895" s="8">
        <v>2.0</v>
      </c>
      <c r="G4895" s="9">
        <v>1.0</v>
      </c>
    </row>
    <row r="4896" ht="14.25" hidden="1" customHeight="1">
      <c r="B4896" s="7" t="s">
        <v>20</v>
      </c>
      <c r="C4896" s="7" t="s">
        <v>29</v>
      </c>
      <c r="D4896" s="7" t="s">
        <v>9</v>
      </c>
      <c r="E4896" s="7" t="s">
        <v>11</v>
      </c>
      <c r="F4896" s="8">
        <v>2.0</v>
      </c>
      <c r="G4896" s="9">
        <v>2.0</v>
      </c>
    </row>
    <row r="4897" ht="14.25" hidden="1" customHeight="1">
      <c r="B4897" s="7" t="s">
        <v>20</v>
      </c>
      <c r="C4897" s="7" t="s">
        <v>30</v>
      </c>
      <c r="D4897" s="7" t="s">
        <v>9</v>
      </c>
      <c r="E4897" s="7" t="s">
        <v>10</v>
      </c>
      <c r="F4897" s="8">
        <v>2.0</v>
      </c>
      <c r="G4897" s="9">
        <v>1.0</v>
      </c>
    </row>
    <row r="4898" ht="14.25" hidden="1" customHeight="1">
      <c r="B4898" s="7" t="s">
        <v>20</v>
      </c>
      <c r="C4898" s="7" t="s">
        <v>29</v>
      </c>
      <c r="D4898" s="7" t="s">
        <v>9</v>
      </c>
      <c r="E4898" s="7" t="s">
        <v>31</v>
      </c>
      <c r="F4898" s="8">
        <v>2.0</v>
      </c>
      <c r="G4898" s="9">
        <v>2.0</v>
      </c>
    </row>
    <row r="4899" ht="14.25" hidden="1" customHeight="1">
      <c r="B4899" s="7" t="s">
        <v>20</v>
      </c>
      <c r="C4899" s="7" t="s">
        <v>7</v>
      </c>
      <c r="D4899" s="7" t="s">
        <v>9</v>
      </c>
      <c r="E4899" s="7" t="s">
        <v>31</v>
      </c>
      <c r="F4899" s="8">
        <v>2.0</v>
      </c>
      <c r="G4899" s="9">
        <v>1.0</v>
      </c>
    </row>
    <row r="4900" ht="14.25" hidden="1" customHeight="1">
      <c r="B4900" s="7" t="s">
        <v>20</v>
      </c>
      <c r="C4900" s="7" t="s">
        <v>30</v>
      </c>
      <c r="D4900" s="7" t="s">
        <v>9</v>
      </c>
      <c r="E4900" s="7" t="s">
        <v>31</v>
      </c>
      <c r="F4900" s="8">
        <v>2.0</v>
      </c>
      <c r="G4900" s="9">
        <v>1.0</v>
      </c>
    </row>
    <row r="4901" ht="14.25" hidden="1" customHeight="1">
      <c r="B4901" s="7" t="s">
        <v>20</v>
      </c>
      <c r="C4901" s="7" t="s">
        <v>7</v>
      </c>
      <c r="D4901" s="7" t="s">
        <v>9</v>
      </c>
      <c r="E4901" s="7" t="s">
        <v>8</v>
      </c>
      <c r="F4901" s="8">
        <v>2.0</v>
      </c>
      <c r="G4901" s="9">
        <v>2.0</v>
      </c>
    </row>
    <row r="4902" ht="14.25" hidden="1" customHeight="1">
      <c r="B4902" s="7" t="s">
        <v>20</v>
      </c>
      <c r="C4902" s="7" t="s">
        <v>30</v>
      </c>
      <c r="D4902" s="7" t="s">
        <v>9</v>
      </c>
      <c r="E4902" s="7" t="s">
        <v>8</v>
      </c>
      <c r="F4902" s="8">
        <v>2.0</v>
      </c>
      <c r="G4902" s="9">
        <v>1.0</v>
      </c>
    </row>
    <row r="4903" ht="14.25" hidden="1" customHeight="1">
      <c r="B4903" s="7" t="s">
        <v>20</v>
      </c>
      <c r="C4903" s="7" t="s">
        <v>30</v>
      </c>
      <c r="D4903" s="7" t="s">
        <v>24</v>
      </c>
      <c r="E4903" s="7" t="s">
        <v>10</v>
      </c>
      <c r="F4903" s="8">
        <v>2.0</v>
      </c>
      <c r="G4903" s="9">
        <v>1.0</v>
      </c>
    </row>
    <row r="4904" ht="14.25" hidden="1" customHeight="1">
      <c r="B4904" s="7" t="s">
        <v>20</v>
      </c>
      <c r="C4904" s="7" t="s">
        <v>30</v>
      </c>
      <c r="D4904" s="7" t="s">
        <v>24</v>
      </c>
      <c r="E4904" s="7" t="s">
        <v>31</v>
      </c>
      <c r="F4904" s="8">
        <v>2.0</v>
      </c>
      <c r="G4904" s="9">
        <v>1.0</v>
      </c>
    </row>
    <row r="4905" ht="14.25" hidden="1" customHeight="1">
      <c r="B4905" s="7" t="s">
        <v>20</v>
      </c>
      <c r="C4905" s="7" t="s">
        <v>7</v>
      </c>
      <c r="D4905" s="7" t="s">
        <v>24</v>
      </c>
      <c r="E4905" s="7" t="s">
        <v>8</v>
      </c>
      <c r="F4905" s="8">
        <v>2.0</v>
      </c>
      <c r="G4905" s="9">
        <v>1.0</v>
      </c>
    </row>
    <row r="4906" ht="14.25" hidden="1" customHeight="1">
      <c r="B4906" s="7" t="s">
        <v>20</v>
      </c>
      <c r="C4906" s="7" t="s">
        <v>30</v>
      </c>
      <c r="D4906" s="7" t="s">
        <v>10</v>
      </c>
      <c r="E4906" s="7" t="s">
        <v>33</v>
      </c>
      <c r="F4906" s="8">
        <v>2.0</v>
      </c>
      <c r="G4906" s="9">
        <v>1.0</v>
      </c>
    </row>
    <row r="4907" ht="14.25" hidden="1" customHeight="1">
      <c r="B4907" s="7" t="s">
        <v>20</v>
      </c>
      <c r="C4907" s="7" t="s">
        <v>7</v>
      </c>
      <c r="D4907" s="7" t="s">
        <v>10</v>
      </c>
      <c r="E4907" s="7" t="s">
        <v>9</v>
      </c>
      <c r="F4907" s="8">
        <v>2.0</v>
      </c>
      <c r="G4907" s="9">
        <v>1.0</v>
      </c>
    </row>
    <row r="4908" ht="14.25" hidden="1" customHeight="1">
      <c r="B4908" s="7" t="s">
        <v>20</v>
      </c>
      <c r="C4908" s="7" t="s">
        <v>7</v>
      </c>
      <c r="D4908" s="7" t="s">
        <v>10</v>
      </c>
      <c r="E4908" s="7" t="s">
        <v>31</v>
      </c>
      <c r="F4908" s="8">
        <v>2.0</v>
      </c>
      <c r="G4908" s="9">
        <v>1.0</v>
      </c>
    </row>
    <row r="4909" ht="14.25" hidden="1" customHeight="1">
      <c r="B4909" s="7" t="s">
        <v>20</v>
      </c>
      <c r="C4909" s="7" t="s">
        <v>7</v>
      </c>
      <c r="D4909" s="7" t="s">
        <v>10</v>
      </c>
      <c r="E4909" s="7" t="s">
        <v>31</v>
      </c>
      <c r="F4909" s="8">
        <v>2.0</v>
      </c>
      <c r="G4909" s="9">
        <v>1.0</v>
      </c>
    </row>
    <row r="4910" ht="14.25" hidden="1" customHeight="1">
      <c r="B4910" s="7" t="s">
        <v>20</v>
      </c>
      <c r="C4910" s="7" t="s">
        <v>7</v>
      </c>
      <c r="D4910" s="7" t="s">
        <v>32</v>
      </c>
      <c r="E4910" s="7" t="s">
        <v>9</v>
      </c>
      <c r="F4910" s="8">
        <v>2.0</v>
      </c>
      <c r="G4910" s="9">
        <v>2.0</v>
      </c>
    </row>
    <row r="4911" ht="14.25" hidden="1" customHeight="1">
      <c r="B4911" s="7" t="s">
        <v>20</v>
      </c>
      <c r="C4911" s="7" t="s">
        <v>29</v>
      </c>
      <c r="D4911" s="7" t="s">
        <v>32</v>
      </c>
      <c r="E4911" s="7" t="s">
        <v>31</v>
      </c>
      <c r="F4911" s="8">
        <v>2.0</v>
      </c>
      <c r="G4911" s="9">
        <v>2.0</v>
      </c>
    </row>
    <row r="4912" ht="14.25" hidden="1" customHeight="1">
      <c r="B4912" s="7" t="s">
        <v>20</v>
      </c>
      <c r="C4912" s="7" t="s">
        <v>29</v>
      </c>
      <c r="D4912" s="7" t="s">
        <v>31</v>
      </c>
      <c r="E4912" s="7" t="s">
        <v>25</v>
      </c>
      <c r="F4912" s="8">
        <v>2.0</v>
      </c>
      <c r="G4912" s="9">
        <v>2.0</v>
      </c>
    </row>
    <row r="4913" ht="14.25" hidden="1" customHeight="1">
      <c r="B4913" s="7" t="s">
        <v>20</v>
      </c>
      <c r="C4913" s="7" t="s">
        <v>7</v>
      </c>
      <c r="D4913" s="7" t="s">
        <v>31</v>
      </c>
      <c r="E4913" s="7" t="s">
        <v>25</v>
      </c>
      <c r="F4913" s="8">
        <v>2.0</v>
      </c>
      <c r="G4913" s="9">
        <v>1.0</v>
      </c>
    </row>
    <row r="4914" ht="14.25" hidden="1" customHeight="1">
      <c r="B4914" s="7" t="s">
        <v>20</v>
      </c>
      <c r="C4914" s="7" t="s">
        <v>7</v>
      </c>
      <c r="D4914" s="7" t="s">
        <v>31</v>
      </c>
      <c r="E4914" s="7" t="s">
        <v>28</v>
      </c>
      <c r="F4914" s="8">
        <v>2.0</v>
      </c>
      <c r="G4914" s="9">
        <v>1.0</v>
      </c>
    </row>
    <row r="4915" ht="14.25" hidden="1" customHeight="1">
      <c r="B4915" s="7" t="s">
        <v>20</v>
      </c>
      <c r="C4915" s="7" t="s">
        <v>7</v>
      </c>
      <c r="D4915" s="7" t="s">
        <v>31</v>
      </c>
      <c r="E4915" s="7" t="s">
        <v>28</v>
      </c>
      <c r="F4915" s="8">
        <v>2.0</v>
      </c>
      <c r="G4915" s="9">
        <v>1.0</v>
      </c>
    </row>
    <row r="4916" ht="14.25" hidden="1" customHeight="1">
      <c r="B4916" s="7" t="s">
        <v>20</v>
      </c>
      <c r="C4916" s="7" t="s">
        <v>7</v>
      </c>
      <c r="D4916" s="7" t="s">
        <v>31</v>
      </c>
      <c r="E4916" s="7" t="s">
        <v>9</v>
      </c>
      <c r="F4916" s="8">
        <v>2.0</v>
      </c>
      <c r="G4916" s="9">
        <v>1.0</v>
      </c>
    </row>
    <row r="4917" ht="14.25" hidden="1" customHeight="1">
      <c r="B4917" s="7" t="s">
        <v>20</v>
      </c>
      <c r="C4917" s="7" t="s">
        <v>30</v>
      </c>
      <c r="D4917" s="7" t="s">
        <v>31</v>
      </c>
      <c r="E4917" s="7" t="s">
        <v>32</v>
      </c>
      <c r="F4917" s="8">
        <v>2.0</v>
      </c>
      <c r="G4917" s="9">
        <v>1.0</v>
      </c>
    </row>
    <row r="4918" ht="14.25" hidden="1" customHeight="1">
      <c r="B4918" s="7" t="s">
        <v>20</v>
      </c>
      <c r="C4918" s="7" t="s">
        <v>30</v>
      </c>
      <c r="D4918" s="7" t="s">
        <v>31</v>
      </c>
      <c r="E4918" s="7" t="s">
        <v>31</v>
      </c>
      <c r="F4918" s="8">
        <v>2.0</v>
      </c>
      <c r="G4918" s="9">
        <v>1.0</v>
      </c>
    </row>
    <row r="4919" ht="14.25" hidden="1" customHeight="1">
      <c r="B4919" s="7" t="s">
        <v>20</v>
      </c>
      <c r="C4919" s="7" t="s">
        <v>7</v>
      </c>
      <c r="D4919" s="7" t="s">
        <v>8</v>
      </c>
      <c r="E4919" s="7" t="s">
        <v>33</v>
      </c>
      <c r="F4919" s="8">
        <v>2.0</v>
      </c>
      <c r="G4919" s="9">
        <v>1.0</v>
      </c>
    </row>
    <row r="4920" ht="14.25" hidden="1" customHeight="1">
      <c r="B4920" s="7" t="s">
        <v>20</v>
      </c>
      <c r="C4920" s="7" t="s">
        <v>7</v>
      </c>
      <c r="D4920" s="7" t="s">
        <v>8</v>
      </c>
      <c r="E4920" s="7" t="s">
        <v>34</v>
      </c>
      <c r="F4920" s="8">
        <v>2.0</v>
      </c>
      <c r="G4920" s="9">
        <v>1.0</v>
      </c>
    </row>
    <row r="4921" ht="14.25" hidden="1" customHeight="1">
      <c r="B4921" s="7" t="s">
        <v>20</v>
      </c>
      <c r="C4921" s="7" t="s">
        <v>29</v>
      </c>
      <c r="D4921" s="7" t="s">
        <v>25</v>
      </c>
      <c r="E4921" s="7" t="s">
        <v>33</v>
      </c>
      <c r="F4921" s="8">
        <v>1.0</v>
      </c>
      <c r="G4921" s="9">
        <v>1.0</v>
      </c>
    </row>
    <row r="4922" ht="14.25" hidden="1" customHeight="1">
      <c r="B4922" s="7" t="s">
        <v>20</v>
      </c>
      <c r="C4922" s="7" t="s">
        <v>29</v>
      </c>
      <c r="D4922" s="7" t="s">
        <v>25</v>
      </c>
      <c r="E4922" s="7" t="s">
        <v>32</v>
      </c>
      <c r="F4922" s="8">
        <v>1.0</v>
      </c>
      <c r="G4922" s="9">
        <v>1.0</v>
      </c>
    </row>
    <row r="4923" ht="14.25" hidden="1" customHeight="1">
      <c r="B4923" s="7" t="s">
        <v>20</v>
      </c>
      <c r="C4923" s="7" t="s">
        <v>29</v>
      </c>
      <c r="D4923" s="7" t="s">
        <v>25</v>
      </c>
      <c r="E4923" s="7" t="s">
        <v>31</v>
      </c>
      <c r="F4923" s="8">
        <v>1.0</v>
      </c>
      <c r="G4923" s="9">
        <v>1.0</v>
      </c>
    </row>
    <row r="4924" ht="14.25" hidden="1" customHeight="1">
      <c r="B4924" s="7" t="s">
        <v>20</v>
      </c>
      <c r="C4924" s="7" t="s">
        <v>29</v>
      </c>
      <c r="D4924" s="7" t="s">
        <v>25</v>
      </c>
      <c r="E4924" s="7" t="s">
        <v>8</v>
      </c>
      <c r="F4924" s="8">
        <v>1.0</v>
      </c>
      <c r="G4924" s="9">
        <v>1.0</v>
      </c>
    </row>
    <row r="4925" ht="14.25" hidden="1" customHeight="1">
      <c r="B4925" s="7" t="s">
        <v>20</v>
      </c>
      <c r="C4925" s="7" t="s">
        <v>29</v>
      </c>
      <c r="D4925" s="7" t="s">
        <v>33</v>
      </c>
      <c r="E4925" s="7" t="s">
        <v>28</v>
      </c>
      <c r="F4925" s="8">
        <v>1.0</v>
      </c>
      <c r="G4925" s="9">
        <v>1.0</v>
      </c>
    </row>
    <row r="4926" ht="14.25" hidden="1" customHeight="1">
      <c r="B4926" s="7" t="s">
        <v>20</v>
      </c>
      <c r="C4926" s="7" t="s">
        <v>29</v>
      </c>
      <c r="D4926" s="7" t="s">
        <v>33</v>
      </c>
      <c r="E4926" s="7" t="s">
        <v>9</v>
      </c>
      <c r="F4926" s="8">
        <v>1.0</v>
      </c>
      <c r="G4926" s="9">
        <v>1.0</v>
      </c>
    </row>
    <row r="4927" ht="14.25" hidden="1" customHeight="1">
      <c r="B4927" s="7" t="s">
        <v>20</v>
      </c>
      <c r="C4927" s="7" t="s">
        <v>29</v>
      </c>
      <c r="D4927" s="7" t="s">
        <v>28</v>
      </c>
      <c r="E4927" s="7" t="s">
        <v>10</v>
      </c>
      <c r="F4927" s="8">
        <v>1.0</v>
      </c>
      <c r="G4927" s="9">
        <v>1.0</v>
      </c>
    </row>
    <row r="4928" ht="14.25" hidden="1" customHeight="1">
      <c r="B4928" s="7" t="s">
        <v>20</v>
      </c>
      <c r="C4928" s="7" t="s">
        <v>29</v>
      </c>
      <c r="D4928" s="7" t="s">
        <v>28</v>
      </c>
      <c r="E4928" s="7" t="s">
        <v>37</v>
      </c>
      <c r="F4928" s="8">
        <v>1.0</v>
      </c>
      <c r="G4928" s="9">
        <v>1.0</v>
      </c>
    </row>
    <row r="4929" ht="14.25" hidden="1" customHeight="1">
      <c r="B4929" s="7" t="s">
        <v>20</v>
      </c>
      <c r="C4929" s="7" t="s">
        <v>29</v>
      </c>
      <c r="D4929" s="7" t="s">
        <v>28</v>
      </c>
      <c r="E4929" s="7" t="s">
        <v>31</v>
      </c>
      <c r="F4929" s="8">
        <v>1.0</v>
      </c>
      <c r="G4929" s="9">
        <v>1.0</v>
      </c>
    </row>
    <row r="4930" ht="14.25" hidden="1" customHeight="1">
      <c r="B4930" s="7" t="s">
        <v>20</v>
      </c>
      <c r="C4930" s="7" t="s">
        <v>36</v>
      </c>
      <c r="D4930" s="7" t="s">
        <v>11</v>
      </c>
      <c r="E4930" s="7" t="s">
        <v>8</v>
      </c>
      <c r="F4930" s="8">
        <v>1.0</v>
      </c>
      <c r="G4930" s="9">
        <v>1.0</v>
      </c>
    </row>
    <row r="4931" ht="14.25" hidden="1" customHeight="1">
      <c r="B4931" s="7" t="s">
        <v>20</v>
      </c>
      <c r="C4931" s="7" t="s">
        <v>29</v>
      </c>
      <c r="D4931" s="7" t="s">
        <v>34</v>
      </c>
      <c r="E4931" s="7" t="s">
        <v>33</v>
      </c>
      <c r="F4931" s="8">
        <v>1.0</v>
      </c>
      <c r="G4931" s="9">
        <v>1.0</v>
      </c>
    </row>
    <row r="4932" ht="14.25" hidden="1" customHeight="1">
      <c r="B4932" s="7" t="s">
        <v>20</v>
      </c>
      <c r="C4932" s="7" t="s">
        <v>29</v>
      </c>
      <c r="D4932" s="7" t="s">
        <v>34</v>
      </c>
      <c r="E4932" s="7" t="s">
        <v>32</v>
      </c>
      <c r="F4932" s="8">
        <v>1.0</v>
      </c>
      <c r="G4932" s="9">
        <v>1.0</v>
      </c>
    </row>
    <row r="4933" ht="14.25" hidden="1" customHeight="1">
      <c r="B4933" s="7" t="s">
        <v>20</v>
      </c>
      <c r="C4933" s="7" t="s">
        <v>29</v>
      </c>
      <c r="D4933" s="7" t="s">
        <v>9</v>
      </c>
      <c r="E4933" s="7" t="s">
        <v>33</v>
      </c>
      <c r="F4933" s="8">
        <v>1.0</v>
      </c>
      <c r="G4933" s="9">
        <v>1.0</v>
      </c>
    </row>
    <row r="4934" ht="14.25" hidden="1" customHeight="1">
      <c r="B4934" s="7" t="s">
        <v>20</v>
      </c>
      <c r="C4934" s="7" t="s">
        <v>36</v>
      </c>
      <c r="D4934" s="7" t="s">
        <v>9</v>
      </c>
      <c r="E4934" s="7" t="s">
        <v>28</v>
      </c>
      <c r="F4934" s="8">
        <v>1.0</v>
      </c>
      <c r="G4934" s="9">
        <v>1.0</v>
      </c>
    </row>
    <row r="4935" ht="14.25" hidden="1" customHeight="1">
      <c r="B4935" s="7" t="s">
        <v>20</v>
      </c>
      <c r="C4935" s="7" t="s">
        <v>29</v>
      </c>
      <c r="D4935" s="7" t="s">
        <v>9</v>
      </c>
      <c r="E4935" s="7" t="s">
        <v>10</v>
      </c>
      <c r="F4935" s="8">
        <v>1.0</v>
      </c>
      <c r="G4935" s="9">
        <v>1.0</v>
      </c>
    </row>
    <row r="4936" ht="14.25" hidden="1" customHeight="1">
      <c r="B4936" s="7" t="s">
        <v>20</v>
      </c>
      <c r="C4936" s="7" t="s">
        <v>29</v>
      </c>
      <c r="D4936" s="7" t="s">
        <v>10</v>
      </c>
      <c r="E4936" s="7" t="s">
        <v>25</v>
      </c>
      <c r="F4936" s="8">
        <v>1.0</v>
      </c>
      <c r="G4936" s="9">
        <v>1.0</v>
      </c>
    </row>
    <row r="4937" ht="14.25" hidden="1" customHeight="1">
      <c r="B4937" s="7" t="s">
        <v>20</v>
      </c>
      <c r="C4937" s="7" t="s">
        <v>29</v>
      </c>
      <c r="D4937" s="7" t="s">
        <v>10</v>
      </c>
      <c r="E4937" s="7" t="s">
        <v>33</v>
      </c>
      <c r="F4937" s="8">
        <v>1.0</v>
      </c>
      <c r="G4937" s="9">
        <v>1.0</v>
      </c>
    </row>
    <row r="4938" ht="14.25" hidden="1" customHeight="1">
      <c r="B4938" s="7" t="s">
        <v>20</v>
      </c>
      <c r="C4938" s="7" t="s">
        <v>29</v>
      </c>
      <c r="D4938" s="7" t="s">
        <v>10</v>
      </c>
      <c r="E4938" s="7" t="s">
        <v>31</v>
      </c>
      <c r="F4938" s="8">
        <v>1.0</v>
      </c>
      <c r="G4938" s="9">
        <v>1.0</v>
      </c>
    </row>
    <row r="4939" ht="14.25" hidden="1" customHeight="1">
      <c r="B4939" s="7" t="s">
        <v>20</v>
      </c>
      <c r="C4939" s="7" t="s">
        <v>29</v>
      </c>
      <c r="D4939" s="7" t="s">
        <v>32</v>
      </c>
      <c r="E4939" s="7" t="s">
        <v>8</v>
      </c>
      <c r="F4939" s="8">
        <v>1.0</v>
      </c>
      <c r="G4939" s="9">
        <v>1.0</v>
      </c>
    </row>
    <row r="4940" ht="14.25" hidden="1" customHeight="1">
      <c r="B4940" s="7" t="s">
        <v>20</v>
      </c>
      <c r="C4940" s="7" t="s">
        <v>29</v>
      </c>
      <c r="D4940" s="7" t="s">
        <v>32</v>
      </c>
      <c r="E4940" s="7" t="s">
        <v>8</v>
      </c>
      <c r="F4940" s="8">
        <v>1.0</v>
      </c>
      <c r="G4940" s="9">
        <v>1.0</v>
      </c>
    </row>
    <row r="4941" ht="14.25" hidden="1" customHeight="1">
      <c r="B4941" s="7" t="s">
        <v>20</v>
      </c>
      <c r="C4941" s="7" t="s">
        <v>29</v>
      </c>
      <c r="D4941" s="7" t="s">
        <v>31</v>
      </c>
      <c r="E4941" s="7" t="s">
        <v>31</v>
      </c>
      <c r="F4941" s="8">
        <v>1.0</v>
      </c>
      <c r="G4941" s="9">
        <v>1.0</v>
      </c>
    </row>
    <row r="4942" ht="14.25" hidden="1" customHeight="1">
      <c r="B4942" s="7" t="s">
        <v>20</v>
      </c>
      <c r="C4942" s="7" t="s">
        <v>36</v>
      </c>
      <c r="D4942" s="7" t="s">
        <v>8</v>
      </c>
      <c r="E4942" s="7" t="s">
        <v>28</v>
      </c>
      <c r="F4942" s="8">
        <v>1.0</v>
      </c>
      <c r="G4942" s="9">
        <v>1.0</v>
      </c>
    </row>
    <row r="4943" ht="14.25" hidden="1" customHeight="1">
      <c r="B4943" s="7" t="s">
        <v>20</v>
      </c>
      <c r="C4943" s="7" t="s">
        <v>29</v>
      </c>
      <c r="D4943" s="7" t="s">
        <v>8</v>
      </c>
      <c r="E4943" s="7" t="s">
        <v>28</v>
      </c>
      <c r="F4943" s="8">
        <v>1.0</v>
      </c>
      <c r="G4943" s="9">
        <v>1.0</v>
      </c>
    </row>
    <row r="4944" ht="14.25" hidden="1" customHeight="1">
      <c r="B4944" s="7" t="s">
        <v>20</v>
      </c>
      <c r="C4944" s="7" t="s">
        <v>36</v>
      </c>
      <c r="D4944" s="7" t="s">
        <v>8</v>
      </c>
      <c r="E4944" s="7" t="s">
        <v>10</v>
      </c>
      <c r="F4944" s="8">
        <v>1.0</v>
      </c>
      <c r="G4944" s="9">
        <v>1.0</v>
      </c>
    </row>
    <row r="4945" ht="14.25" customHeight="1">
      <c r="B4945" s="7" t="s">
        <v>20</v>
      </c>
      <c r="C4945" s="7" t="s">
        <v>36</v>
      </c>
      <c r="D4945" s="7" t="s">
        <v>8</v>
      </c>
      <c r="E4945" s="7" t="s">
        <v>31</v>
      </c>
      <c r="F4945" s="8">
        <v>1.0</v>
      </c>
      <c r="G4945" s="9">
        <v>1.0</v>
      </c>
    </row>
    <row r="4946" ht="14.25" hidden="1" customHeight="1">
      <c r="B4946" s="7" t="s">
        <v>14</v>
      </c>
      <c r="C4946" s="7" t="s">
        <v>7</v>
      </c>
      <c r="D4946" s="7" t="s">
        <v>25</v>
      </c>
      <c r="E4946" s="7" t="s">
        <v>8</v>
      </c>
      <c r="F4946" s="8">
        <v>7188.0</v>
      </c>
      <c r="G4946" s="9">
        <v>3594.0</v>
      </c>
    </row>
    <row r="4947" ht="14.25" hidden="1" customHeight="1">
      <c r="B4947" s="7" t="s">
        <v>14</v>
      </c>
      <c r="C4947" s="7" t="s">
        <v>7</v>
      </c>
      <c r="D4947" s="7" t="s">
        <v>8</v>
      </c>
      <c r="E4947" s="7" t="s">
        <v>9</v>
      </c>
      <c r="F4947" s="8">
        <v>5744.0</v>
      </c>
      <c r="G4947" s="9">
        <v>2872.0</v>
      </c>
    </row>
    <row r="4948" ht="14.25" hidden="1" customHeight="1">
      <c r="B4948" s="7" t="s">
        <v>14</v>
      </c>
      <c r="C4948" s="7" t="s">
        <v>7</v>
      </c>
      <c r="D4948" s="7" t="s">
        <v>31</v>
      </c>
      <c r="E4948" s="7" t="s">
        <v>9</v>
      </c>
      <c r="F4948" s="8">
        <v>3388.0</v>
      </c>
      <c r="G4948" s="9">
        <v>1694.0</v>
      </c>
    </row>
    <row r="4949" ht="14.25" hidden="1" customHeight="1">
      <c r="B4949" s="7" t="s">
        <v>14</v>
      </c>
      <c r="C4949" s="7" t="s">
        <v>29</v>
      </c>
      <c r="D4949" s="7" t="s">
        <v>11</v>
      </c>
      <c r="E4949" s="7" t="s">
        <v>10</v>
      </c>
      <c r="F4949" s="8">
        <v>3025.0</v>
      </c>
      <c r="G4949" s="9">
        <v>3025.0</v>
      </c>
    </row>
    <row r="4950" ht="14.25" hidden="1" customHeight="1">
      <c r="B4950" s="7" t="s">
        <v>14</v>
      </c>
      <c r="C4950" s="7" t="s">
        <v>7</v>
      </c>
      <c r="D4950" s="7" t="s">
        <v>10</v>
      </c>
      <c r="E4950" s="7" t="s">
        <v>11</v>
      </c>
      <c r="F4950" s="8">
        <v>2534.0</v>
      </c>
      <c r="G4950" s="9">
        <v>1267.0</v>
      </c>
    </row>
    <row r="4951" ht="14.25" hidden="1" customHeight="1">
      <c r="B4951" s="7" t="s">
        <v>14</v>
      </c>
      <c r="C4951" s="7" t="s">
        <v>7</v>
      </c>
      <c r="D4951" s="7" t="s">
        <v>25</v>
      </c>
      <c r="E4951" s="7" t="s">
        <v>8</v>
      </c>
      <c r="F4951" s="8">
        <v>2268.0</v>
      </c>
      <c r="G4951" s="9">
        <v>1134.0</v>
      </c>
    </row>
    <row r="4952" ht="14.25" hidden="1" customHeight="1">
      <c r="B4952" s="7" t="s">
        <v>14</v>
      </c>
      <c r="C4952" s="7" t="s">
        <v>7</v>
      </c>
      <c r="D4952" s="7" t="s">
        <v>8</v>
      </c>
      <c r="E4952" s="7" t="s">
        <v>11</v>
      </c>
      <c r="F4952" s="8">
        <v>2268.0</v>
      </c>
      <c r="G4952" s="9">
        <v>1134.0</v>
      </c>
    </row>
    <row r="4953" ht="14.25" hidden="1" customHeight="1">
      <c r="B4953" s="7" t="s">
        <v>14</v>
      </c>
      <c r="C4953" s="7" t="s">
        <v>7</v>
      </c>
      <c r="D4953" s="7" t="s">
        <v>32</v>
      </c>
      <c r="E4953" s="7" t="s">
        <v>31</v>
      </c>
      <c r="F4953" s="8">
        <v>2036.0</v>
      </c>
      <c r="G4953" s="9">
        <v>1018.0</v>
      </c>
    </row>
    <row r="4954" ht="14.25" hidden="1" customHeight="1">
      <c r="B4954" s="7" t="s">
        <v>14</v>
      </c>
      <c r="C4954" s="7" t="s">
        <v>7</v>
      </c>
      <c r="D4954" s="7" t="s">
        <v>31</v>
      </c>
      <c r="E4954" s="7" t="s">
        <v>28</v>
      </c>
      <c r="F4954" s="8">
        <v>1944.0</v>
      </c>
      <c r="G4954" s="9">
        <v>972.0</v>
      </c>
    </row>
    <row r="4955" ht="14.25" hidden="1" customHeight="1">
      <c r="B4955" s="7" t="s">
        <v>14</v>
      </c>
      <c r="C4955" s="7" t="s">
        <v>7</v>
      </c>
      <c r="D4955" s="7" t="s">
        <v>9</v>
      </c>
      <c r="E4955" s="7" t="s">
        <v>25</v>
      </c>
      <c r="F4955" s="8">
        <v>1756.0</v>
      </c>
      <c r="G4955" s="9">
        <v>878.0</v>
      </c>
    </row>
    <row r="4956" ht="14.25" hidden="1" customHeight="1">
      <c r="B4956" s="7" t="s">
        <v>14</v>
      </c>
      <c r="C4956" s="7" t="s">
        <v>7</v>
      </c>
      <c r="D4956" s="7" t="s">
        <v>8</v>
      </c>
      <c r="E4956" s="7" t="s">
        <v>28</v>
      </c>
      <c r="F4956" s="8">
        <v>1680.0</v>
      </c>
      <c r="G4956" s="9">
        <v>840.0</v>
      </c>
    </row>
    <row r="4957" ht="14.25" customHeight="1">
      <c r="B4957" s="7" t="s">
        <v>14</v>
      </c>
      <c r="C4957" s="7" t="s">
        <v>7</v>
      </c>
      <c r="D4957" s="7" t="s">
        <v>8</v>
      </c>
      <c r="E4957" s="7" t="s">
        <v>31</v>
      </c>
      <c r="F4957" s="8">
        <v>1622.0</v>
      </c>
      <c r="G4957" s="9">
        <v>811.0</v>
      </c>
    </row>
    <row r="4958" ht="14.25" hidden="1" customHeight="1">
      <c r="B4958" s="7" t="s">
        <v>14</v>
      </c>
      <c r="C4958" s="7" t="s">
        <v>7</v>
      </c>
      <c r="D4958" s="7" t="s">
        <v>8</v>
      </c>
      <c r="E4958" s="7" t="s">
        <v>24</v>
      </c>
      <c r="F4958" s="8">
        <v>1566.0</v>
      </c>
      <c r="G4958" s="9">
        <v>783.0</v>
      </c>
    </row>
    <row r="4959" ht="14.25" hidden="1" customHeight="1">
      <c r="B4959" s="7" t="s">
        <v>14</v>
      </c>
      <c r="C4959" s="7" t="s">
        <v>7</v>
      </c>
      <c r="D4959" s="7" t="s">
        <v>33</v>
      </c>
      <c r="E4959" s="7" t="s">
        <v>8</v>
      </c>
      <c r="F4959" s="8">
        <v>1374.0</v>
      </c>
      <c r="G4959" s="9">
        <v>687.0</v>
      </c>
    </row>
    <row r="4960" ht="14.25" hidden="1" customHeight="1">
      <c r="B4960" s="7" t="s">
        <v>14</v>
      </c>
      <c r="C4960" s="7" t="s">
        <v>7</v>
      </c>
      <c r="D4960" s="7" t="s">
        <v>25</v>
      </c>
      <c r="E4960" s="7" t="s">
        <v>9</v>
      </c>
      <c r="F4960" s="8">
        <v>1310.0</v>
      </c>
      <c r="G4960" s="9">
        <v>655.0</v>
      </c>
    </row>
    <row r="4961" ht="14.25" hidden="1" customHeight="1">
      <c r="B4961" s="7" t="s">
        <v>14</v>
      </c>
      <c r="C4961" s="7" t="s">
        <v>30</v>
      </c>
      <c r="D4961" s="7" t="s">
        <v>31</v>
      </c>
      <c r="E4961" s="7" t="s">
        <v>28</v>
      </c>
      <c r="F4961" s="8">
        <v>1292.0</v>
      </c>
      <c r="G4961" s="9">
        <v>646.0</v>
      </c>
    </row>
    <row r="4962" ht="14.25" hidden="1" customHeight="1">
      <c r="B4962" s="7" t="s">
        <v>14</v>
      </c>
      <c r="C4962" s="7" t="s">
        <v>7</v>
      </c>
      <c r="D4962" s="7" t="s">
        <v>10</v>
      </c>
      <c r="E4962" s="7" t="s">
        <v>9</v>
      </c>
      <c r="F4962" s="8">
        <v>1240.0</v>
      </c>
      <c r="G4962" s="9">
        <v>620.0</v>
      </c>
    </row>
    <row r="4963" ht="14.25" hidden="1" customHeight="1">
      <c r="B4963" s="7" t="s">
        <v>14</v>
      </c>
      <c r="C4963" s="7" t="s">
        <v>29</v>
      </c>
      <c r="D4963" s="7" t="s">
        <v>31</v>
      </c>
      <c r="E4963" s="7" t="s">
        <v>28</v>
      </c>
      <c r="F4963" s="8">
        <v>1219.0</v>
      </c>
      <c r="G4963" s="9">
        <v>1219.0</v>
      </c>
    </row>
    <row r="4964" ht="14.25" hidden="1" customHeight="1">
      <c r="B4964" s="7" t="s">
        <v>14</v>
      </c>
      <c r="C4964" s="7" t="s">
        <v>7</v>
      </c>
      <c r="D4964" s="7" t="s">
        <v>8</v>
      </c>
      <c r="E4964" s="7" t="s">
        <v>25</v>
      </c>
      <c r="F4964" s="8">
        <v>1204.0</v>
      </c>
      <c r="G4964" s="9">
        <v>602.0</v>
      </c>
    </row>
    <row r="4965" ht="14.25" hidden="1" customHeight="1">
      <c r="B4965" s="7" t="s">
        <v>14</v>
      </c>
      <c r="C4965" s="7" t="s">
        <v>29</v>
      </c>
      <c r="D4965" s="7" t="s">
        <v>31</v>
      </c>
      <c r="E4965" s="7" t="s">
        <v>9</v>
      </c>
      <c r="F4965" s="8">
        <v>1118.0</v>
      </c>
      <c r="G4965" s="9">
        <v>1118.0</v>
      </c>
    </row>
    <row r="4966" ht="14.25" hidden="1" customHeight="1">
      <c r="B4966" s="7" t="s">
        <v>14</v>
      </c>
      <c r="C4966" s="7" t="s">
        <v>7</v>
      </c>
      <c r="D4966" s="7" t="s">
        <v>25</v>
      </c>
      <c r="E4966" s="7" t="s">
        <v>28</v>
      </c>
      <c r="F4966" s="8">
        <v>1058.0</v>
      </c>
      <c r="G4966" s="9">
        <v>529.0</v>
      </c>
    </row>
    <row r="4967" ht="14.25" hidden="1" customHeight="1">
      <c r="B4967" s="7" t="s">
        <v>14</v>
      </c>
      <c r="C4967" s="7" t="s">
        <v>7</v>
      </c>
      <c r="D4967" s="7" t="s">
        <v>28</v>
      </c>
      <c r="E4967" s="7" t="s">
        <v>34</v>
      </c>
      <c r="F4967" s="8">
        <v>1048.0</v>
      </c>
      <c r="G4967" s="9">
        <v>524.0</v>
      </c>
    </row>
    <row r="4968" ht="14.25" hidden="1" customHeight="1">
      <c r="B4968" s="7" t="s">
        <v>14</v>
      </c>
      <c r="C4968" s="7" t="s">
        <v>7</v>
      </c>
      <c r="D4968" s="7" t="s">
        <v>8</v>
      </c>
      <c r="E4968" s="7" t="s">
        <v>33</v>
      </c>
      <c r="F4968" s="8">
        <v>1000.0</v>
      </c>
      <c r="G4968" s="9">
        <v>500.0</v>
      </c>
    </row>
    <row r="4969" ht="14.25" hidden="1" customHeight="1">
      <c r="B4969" s="7" t="s">
        <v>14</v>
      </c>
      <c r="C4969" s="7" t="s">
        <v>30</v>
      </c>
      <c r="D4969" s="7" t="s">
        <v>31</v>
      </c>
      <c r="E4969" s="7" t="s">
        <v>25</v>
      </c>
      <c r="F4969" s="8">
        <v>892.0</v>
      </c>
      <c r="G4969" s="9">
        <v>446.0</v>
      </c>
    </row>
    <row r="4970" ht="14.25" hidden="1" customHeight="1">
      <c r="B4970" s="7" t="s">
        <v>14</v>
      </c>
      <c r="C4970" s="7" t="s">
        <v>7</v>
      </c>
      <c r="D4970" s="7" t="s">
        <v>28</v>
      </c>
      <c r="E4970" s="7" t="s">
        <v>25</v>
      </c>
      <c r="F4970" s="8">
        <v>870.0</v>
      </c>
      <c r="G4970" s="9">
        <v>435.0</v>
      </c>
    </row>
    <row r="4971" ht="14.25" hidden="1" customHeight="1">
      <c r="B4971" s="7" t="s">
        <v>14</v>
      </c>
      <c r="C4971" s="7" t="s">
        <v>30</v>
      </c>
      <c r="D4971" s="7" t="s">
        <v>31</v>
      </c>
      <c r="E4971" s="7" t="s">
        <v>9</v>
      </c>
      <c r="F4971" s="8">
        <v>824.0</v>
      </c>
      <c r="G4971" s="9">
        <v>412.0</v>
      </c>
    </row>
    <row r="4972" ht="14.25" hidden="1" customHeight="1">
      <c r="B4972" s="7" t="s">
        <v>14</v>
      </c>
      <c r="C4972" s="7" t="s">
        <v>7</v>
      </c>
      <c r="D4972" s="7" t="s">
        <v>31</v>
      </c>
      <c r="E4972" s="7" t="s">
        <v>28</v>
      </c>
      <c r="F4972" s="8">
        <v>798.0</v>
      </c>
      <c r="G4972" s="9">
        <v>399.0</v>
      </c>
    </row>
    <row r="4973" ht="14.25" hidden="1" customHeight="1">
      <c r="B4973" s="7" t="s">
        <v>14</v>
      </c>
      <c r="C4973" s="7" t="s">
        <v>7</v>
      </c>
      <c r="D4973" s="7" t="s">
        <v>9</v>
      </c>
      <c r="E4973" s="7" t="s">
        <v>8</v>
      </c>
      <c r="F4973" s="8">
        <v>772.0</v>
      </c>
      <c r="G4973" s="9">
        <v>386.0</v>
      </c>
    </row>
    <row r="4974" ht="14.25" hidden="1" customHeight="1">
      <c r="B4974" s="7" t="s">
        <v>14</v>
      </c>
      <c r="C4974" s="7" t="s">
        <v>7</v>
      </c>
      <c r="D4974" s="7" t="s">
        <v>25</v>
      </c>
      <c r="E4974" s="7" t="s">
        <v>10</v>
      </c>
      <c r="F4974" s="8">
        <v>768.0</v>
      </c>
      <c r="G4974" s="9">
        <v>384.0</v>
      </c>
    </row>
    <row r="4975" ht="14.25" hidden="1" customHeight="1">
      <c r="B4975" s="7" t="s">
        <v>14</v>
      </c>
      <c r="C4975" s="7" t="s">
        <v>7</v>
      </c>
      <c r="D4975" s="7" t="s">
        <v>9</v>
      </c>
      <c r="E4975" s="7" t="s">
        <v>8</v>
      </c>
      <c r="F4975" s="8">
        <v>698.0</v>
      </c>
      <c r="G4975" s="9">
        <v>349.0</v>
      </c>
    </row>
    <row r="4976" ht="14.25" hidden="1" customHeight="1">
      <c r="B4976" s="7" t="s">
        <v>14</v>
      </c>
      <c r="C4976" s="7" t="s">
        <v>7</v>
      </c>
      <c r="D4976" s="7" t="s">
        <v>25</v>
      </c>
      <c r="E4976" s="7" t="s">
        <v>31</v>
      </c>
      <c r="F4976" s="8">
        <v>696.0</v>
      </c>
      <c r="G4976" s="9">
        <v>348.0</v>
      </c>
    </row>
    <row r="4977" ht="14.25" hidden="1" customHeight="1">
      <c r="B4977" s="7" t="s">
        <v>14</v>
      </c>
      <c r="C4977" s="7" t="s">
        <v>7</v>
      </c>
      <c r="D4977" s="7" t="s">
        <v>31</v>
      </c>
      <c r="E4977" s="7" t="s">
        <v>25</v>
      </c>
      <c r="F4977" s="8">
        <v>684.0</v>
      </c>
      <c r="G4977" s="9">
        <v>342.0</v>
      </c>
    </row>
    <row r="4978" ht="14.25" hidden="1" customHeight="1">
      <c r="B4978" s="7" t="s">
        <v>14</v>
      </c>
      <c r="C4978" s="7" t="s">
        <v>7</v>
      </c>
      <c r="D4978" s="7" t="s">
        <v>32</v>
      </c>
      <c r="E4978" s="7" t="s">
        <v>28</v>
      </c>
      <c r="F4978" s="8">
        <v>610.0</v>
      </c>
      <c r="G4978" s="9">
        <v>305.0</v>
      </c>
    </row>
    <row r="4979" ht="14.25" hidden="1" customHeight="1">
      <c r="B4979" s="7" t="s">
        <v>14</v>
      </c>
      <c r="C4979" s="7" t="s">
        <v>7</v>
      </c>
      <c r="D4979" s="7" t="s">
        <v>9</v>
      </c>
      <c r="E4979" s="7" t="s">
        <v>28</v>
      </c>
      <c r="F4979" s="8">
        <v>598.0</v>
      </c>
      <c r="G4979" s="9">
        <v>299.0</v>
      </c>
    </row>
    <row r="4980" ht="14.25" hidden="1" customHeight="1">
      <c r="B4980" s="7" t="s">
        <v>14</v>
      </c>
      <c r="C4980" s="7" t="s">
        <v>29</v>
      </c>
      <c r="D4980" s="7" t="s">
        <v>32</v>
      </c>
      <c r="E4980" s="7" t="s">
        <v>28</v>
      </c>
      <c r="F4980" s="8">
        <v>596.0</v>
      </c>
      <c r="G4980" s="9">
        <v>596.0</v>
      </c>
    </row>
    <row r="4981" ht="14.25" customHeight="1">
      <c r="B4981" s="7" t="s">
        <v>14</v>
      </c>
      <c r="C4981" s="7" t="s">
        <v>7</v>
      </c>
      <c r="D4981" s="7" t="s">
        <v>8</v>
      </c>
      <c r="E4981" s="7" t="s">
        <v>31</v>
      </c>
      <c r="F4981" s="8">
        <v>596.0</v>
      </c>
      <c r="G4981" s="9">
        <v>298.0</v>
      </c>
    </row>
    <row r="4982" ht="14.25" hidden="1" customHeight="1">
      <c r="B4982" s="7" t="s">
        <v>14</v>
      </c>
      <c r="C4982" s="7" t="s">
        <v>7</v>
      </c>
      <c r="D4982" s="7" t="s">
        <v>28</v>
      </c>
      <c r="E4982" s="7" t="s">
        <v>8</v>
      </c>
      <c r="F4982" s="8">
        <v>590.0</v>
      </c>
      <c r="G4982" s="9">
        <v>295.0</v>
      </c>
    </row>
    <row r="4983" ht="14.25" hidden="1" customHeight="1">
      <c r="B4983" s="7" t="s">
        <v>14</v>
      </c>
      <c r="C4983" s="7" t="s">
        <v>29</v>
      </c>
      <c r="D4983" s="7" t="s">
        <v>10</v>
      </c>
      <c r="E4983" s="7" t="s">
        <v>11</v>
      </c>
      <c r="F4983" s="8">
        <v>580.0</v>
      </c>
      <c r="G4983" s="9">
        <v>580.0</v>
      </c>
    </row>
    <row r="4984" ht="14.25" hidden="1" customHeight="1">
      <c r="B4984" s="7" t="s">
        <v>14</v>
      </c>
      <c r="C4984" s="7" t="s">
        <v>7</v>
      </c>
      <c r="D4984" s="7" t="s">
        <v>31</v>
      </c>
      <c r="E4984" s="7" t="s">
        <v>9</v>
      </c>
      <c r="F4984" s="8">
        <v>560.0</v>
      </c>
      <c r="G4984" s="9">
        <v>280.0</v>
      </c>
    </row>
    <row r="4985" ht="14.25" hidden="1" customHeight="1">
      <c r="B4985" s="7" t="s">
        <v>14</v>
      </c>
      <c r="C4985" s="7" t="s">
        <v>29</v>
      </c>
      <c r="D4985" s="7" t="s">
        <v>32</v>
      </c>
      <c r="E4985" s="7" t="s">
        <v>9</v>
      </c>
      <c r="F4985" s="8">
        <v>550.0</v>
      </c>
      <c r="G4985" s="9">
        <v>550.0</v>
      </c>
    </row>
    <row r="4986" ht="14.25" hidden="1" customHeight="1">
      <c r="B4986" s="7" t="s">
        <v>14</v>
      </c>
      <c r="C4986" s="7" t="s">
        <v>7</v>
      </c>
      <c r="D4986" s="7" t="s">
        <v>33</v>
      </c>
      <c r="E4986" s="7" t="s">
        <v>8</v>
      </c>
      <c r="F4986" s="8">
        <v>544.0</v>
      </c>
      <c r="G4986" s="9">
        <v>272.0</v>
      </c>
    </row>
    <row r="4987" ht="14.25" hidden="1" customHeight="1">
      <c r="B4987" s="7" t="s">
        <v>14</v>
      </c>
      <c r="C4987" s="7" t="s">
        <v>29</v>
      </c>
      <c r="D4987" s="7" t="s">
        <v>33</v>
      </c>
      <c r="E4987" s="7" t="s">
        <v>8</v>
      </c>
      <c r="F4987" s="8">
        <v>523.0</v>
      </c>
      <c r="G4987" s="9">
        <v>523.0</v>
      </c>
    </row>
    <row r="4988" ht="14.25" hidden="1" customHeight="1">
      <c r="B4988" s="7" t="s">
        <v>14</v>
      </c>
      <c r="C4988" s="7" t="s">
        <v>7</v>
      </c>
      <c r="D4988" s="7" t="s">
        <v>31</v>
      </c>
      <c r="E4988" s="7" t="s">
        <v>33</v>
      </c>
      <c r="F4988" s="8">
        <v>522.0</v>
      </c>
      <c r="G4988" s="9">
        <v>261.0</v>
      </c>
    </row>
    <row r="4989" ht="14.25" hidden="1" customHeight="1">
      <c r="B4989" s="7" t="s">
        <v>14</v>
      </c>
      <c r="C4989" s="7" t="s">
        <v>7</v>
      </c>
      <c r="D4989" s="7" t="s">
        <v>8</v>
      </c>
      <c r="E4989" s="7" t="s">
        <v>10</v>
      </c>
      <c r="F4989" s="8">
        <v>516.0</v>
      </c>
      <c r="G4989" s="9">
        <v>258.0</v>
      </c>
    </row>
    <row r="4990" ht="14.25" hidden="1" customHeight="1">
      <c r="B4990" s="7" t="s">
        <v>14</v>
      </c>
      <c r="C4990" s="7" t="s">
        <v>7</v>
      </c>
      <c r="D4990" s="7" t="s">
        <v>10</v>
      </c>
      <c r="E4990" s="7" t="s">
        <v>33</v>
      </c>
      <c r="F4990" s="8">
        <v>508.0</v>
      </c>
      <c r="G4990" s="9">
        <v>254.0</v>
      </c>
    </row>
    <row r="4991" ht="14.25" hidden="1" customHeight="1">
      <c r="B4991" s="7" t="s">
        <v>14</v>
      </c>
      <c r="C4991" s="7" t="s">
        <v>7</v>
      </c>
      <c r="D4991" s="7" t="s">
        <v>32</v>
      </c>
      <c r="E4991" s="7" t="s">
        <v>9</v>
      </c>
      <c r="F4991" s="8">
        <v>476.0</v>
      </c>
      <c r="G4991" s="9">
        <v>238.0</v>
      </c>
    </row>
    <row r="4992" ht="14.25" hidden="1" customHeight="1">
      <c r="B4992" s="7" t="s">
        <v>14</v>
      </c>
      <c r="C4992" s="7" t="s">
        <v>29</v>
      </c>
      <c r="D4992" s="7" t="s">
        <v>32</v>
      </c>
      <c r="E4992" s="7" t="s">
        <v>33</v>
      </c>
      <c r="F4992" s="8">
        <v>469.0</v>
      </c>
      <c r="G4992" s="9">
        <v>469.0</v>
      </c>
    </row>
    <row r="4993" ht="14.25" hidden="1" customHeight="1">
      <c r="B4993" s="7" t="s">
        <v>14</v>
      </c>
      <c r="C4993" s="7" t="s">
        <v>7</v>
      </c>
      <c r="D4993" s="7" t="s">
        <v>25</v>
      </c>
      <c r="E4993" s="7" t="s">
        <v>33</v>
      </c>
      <c r="F4993" s="8">
        <v>468.0</v>
      </c>
      <c r="G4993" s="9">
        <v>234.0</v>
      </c>
    </row>
    <row r="4994" ht="14.25" hidden="1" customHeight="1">
      <c r="B4994" s="7" t="s">
        <v>14</v>
      </c>
      <c r="C4994" s="7" t="s">
        <v>29</v>
      </c>
      <c r="D4994" s="7" t="s">
        <v>8</v>
      </c>
      <c r="E4994" s="7" t="s">
        <v>9</v>
      </c>
      <c r="F4994" s="8">
        <v>464.0</v>
      </c>
      <c r="G4994" s="9">
        <v>464.0</v>
      </c>
    </row>
    <row r="4995" ht="14.25" hidden="1" customHeight="1">
      <c r="B4995" s="7" t="s">
        <v>14</v>
      </c>
      <c r="C4995" s="7" t="s">
        <v>29</v>
      </c>
      <c r="D4995" s="7" t="s">
        <v>28</v>
      </c>
      <c r="E4995" s="7" t="s">
        <v>8</v>
      </c>
      <c r="F4995" s="8">
        <v>459.0</v>
      </c>
      <c r="G4995" s="9">
        <v>459.0</v>
      </c>
    </row>
    <row r="4996" ht="14.25" hidden="1" customHeight="1">
      <c r="B4996" s="7" t="s">
        <v>14</v>
      </c>
      <c r="C4996" s="7" t="s">
        <v>29</v>
      </c>
      <c r="D4996" s="7" t="s">
        <v>8</v>
      </c>
      <c r="E4996" s="7" t="s">
        <v>11</v>
      </c>
      <c r="F4996" s="8">
        <v>423.0</v>
      </c>
      <c r="G4996" s="9">
        <v>423.0</v>
      </c>
    </row>
    <row r="4997" ht="14.25" hidden="1" customHeight="1">
      <c r="B4997" s="7" t="s">
        <v>14</v>
      </c>
      <c r="C4997" s="7" t="s">
        <v>29</v>
      </c>
      <c r="D4997" s="7" t="s">
        <v>31</v>
      </c>
      <c r="E4997" s="7" t="s">
        <v>33</v>
      </c>
      <c r="F4997" s="8">
        <v>421.0</v>
      </c>
      <c r="G4997" s="9">
        <v>421.0</v>
      </c>
    </row>
    <row r="4998" ht="14.25" hidden="1" customHeight="1">
      <c r="B4998" s="7" t="s">
        <v>14</v>
      </c>
      <c r="C4998" s="7" t="s">
        <v>7</v>
      </c>
      <c r="D4998" s="7" t="s">
        <v>9</v>
      </c>
      <c r="E4998" s="7" t="s">
        <v>31</v>
      </c>
      <c r="F4998" s="8">
        <v>416.0</v>
      </c>
      <c r="G4998" s="9">
        <v>208.0</v>
      </c>
    </row>
    <row r="4999" ht="14.25" hidden="1" customHeight="1">
      <c r="B4999" s="7" t="s">
        <v>14</v>
      </c>
      <c r="C4999" s="7" t="s">
        <v>7</v>
      </c>
      <c r="D4999" s="7" t="s">
        <v>10</v>
      </c>
      <c r="E4999" s="7" t="s">
        <v>28</v>
      </c>
      <c r="F4999" s="8">
        <v>396.0</v>
      </c>
      <c r="G4999" s="9">
        <v>198.0</v>
      </c>
    </row>
    <row r="5000" ht="14.25" hidden="1" customHeight="1">
      <c r="B5000" s="7" t="s">
        <v>14</v>
      </c>
      <c r="C5000" s="7" t="s">
        <v>7</v>
      </c>
      <c r="D5000" s="7" t="s">
        <v>32</v>
      </c>
      <c r="E5000" s="7" t="s">
        <v>33</v>
      </c>
      <c r="F5000" s="8">
        <v>388.0</v>
      </c>
      <c r="G5000" s="9">
        <v>194.0</v>
      </c>
    </row>
    <row r="5001" ht="14.25" hidden="1" customHeight="1">
      <c r="B5001" s="7" t="s">
        <v>14</v>
      </c>
      <c r="C5001" s="7" t="s">
        <v>7</v>
      </c>
      <c r="D5001" s="7" t="s">
        <v>9</v>
      </c>
      <c r="E5001" s="7" t="s">
        <v>28</v>
      </c>
      <c r="F5001" s="8">
        <v>378.0</v>
      </c>
      <c r="G5001" s="9">
        <v>189.0</v>
      </c>
    </row>
    <row r="5002" ht="14.25" hidden="1" customHeight="1">
      <c r="B5002" s="7" t="s">
        <v>14</v>
      </c>
      <c r="C5002" s="7" t="s">
        <v>29</v>
      </c>
      <c r="D5002" s="7" t="s">
        <v>33</v>
      </c>
      <c r="E5002" s="7" t="s">
        <v>8</v>
      </c>
      <c r="F5002" s="8">
        <v>376.0</v>
      </c>
      <c r="G5002" s="9">
        <v>376.0</v>
      </c>
    </row>
    <row r="5003" ht="14.25" hidden="1" customHeight="1">
      <c r="B5003" s="7" t="s">
        <v>14</v>
      </c>
      <c r="C5003" s="7" t="s">
        <v>29</v>
      </c>
      <c r="D5003" s="7" t="s">
        <v>9</v>
      </c>
      <c r="E5003" s="7" t="s">
        <v>8</v>
      </c>
      <c r="F5003" s="8">
        <v>365.0</v>
      </c>
      <c r="G5003" s="9">
        <v>365.0</v>
      </c>
    </row>
    <row r="5004" ht="14.25" hidden="1" customHeight="1">
      <c r="B5004" s="7" t="s">
        <v>14</v>
      </c>
      <c r="C5004" s="7" t="s">
        <v>7</v>
      </c>
      <c r="D5004" s="7" t="s">
        <v>8</v>
      </c>
      <c r="E5004" s="7" t="s">
        <v>10</v>
      </c>
      <c r="F5004" s="8">
        <v>362.0</v>
      </c>
      <c r="G5004" s="9">
        <v>181.0</v>
      </c>
    </row>
    <row r="5005" ht="14.25" hidden="1" customHeight="1">
      <c r="B5005" s="7" t="s">
        <v>14</v>
      </c>
      <c r="C5005" s="7" t="s">
        <v>7</v>
      </c>
      <c r="D5005" s="7" t="s">
        <v>28</v>
      </c>
      <c r="E5005" s="7" t="s">
        <v>8</v>
      </c>
      <c r="F5005" s="8">
        <v>360.0</v>
      </c>
      <c r="G5005" s="9">
        <v>180.0</v>
      </c>
    </row>
    <row r="5006" ht="14.25" hidden="1" customHeight="1">
      <c r="B5006" s="7" t="s">
        <v>14</v>
      </c>
      <c r="C5006" s="7" t="s">
        <v>7</v>
      </c>
      <c r="D5006" s="7" t="s">
        <v>9</v>
      </c>
      <c r="E5006" s="7" t="s">
        <v>31</v>
      </c>
      <c r="F5006" s="8">
        <v>360.0</v>
      </c>
      <c r="G5006" s="9">
        <v>180.0</v>
      </c>
    </row>
    <row r="5007" ht="14.25" hidden="1" customHeight="1">
      <c r="B5007" s="7" t="s">
        <v>14</v>
      </c>
      <c r="C5007" s="7" t="s">
        <v>7</v>
      </c>
      <c r="D5007" s="7" t="s">
        <v>25</v>
      </c>
      <c r="E5007" s="7" t="s">
        <v>31</v>
      </c>
      <c r="F5007" s="8">
        <v>346.0</v>
      </c>
      <c r="G5007" s="9">
        <v>173.0</v>
      </c>
    </row>
    <row r="5008" ht="14.25" hidden="1" customHeight="1">
      <c r="B5008" s="7" t="s">
        <v>14</v>
      </c>
      <c r="C5008" s="7" t="s">
        <v>7</v>
      </c>
      <c r="D5008" s="7" t="s">
        <v>11</v>
      </c>
      <c r="E5008" s="7" t="s">
        <v>10</v>
      </c>
      <c r="F5008" s="8">
        <v>316.0</v>
      </c>
      <c r="G5008" s="9">
        <v>158.0</v>
      </c>
    </row>
    <row r="5009" ht="14.25" hidden="1" customHeight="1">
      <c r="B5009" s="7" t="s">
        <v>14</v>
      </c>
      <c r="C5009" s="7" t="s">
        <v>7</v>
      </c>
      <c r="D5009" s="7" t="s">
        <v>31</v>
      </c>
      <c r="E5009" s="7" t="s">
        <v>24</v>
      </c>
      <c r="F5009" s="8">
        <v>314.0</v>
      </c>
      <c r="G5009" s="9">
        <v>157.0</v>
      </c>
    </row>
    <row r="5010" ht="14.25" hidden="1" customHeight="1">
      <c r="B5010" s="7" t="s">
        <v>14</v>
      </c>
      <c r="C5010" s="7" t="s">
        <v>7</v>
      </c>
      <c r="D5010" s="7" t="s">
        <v>8</v>
      </c>
      <c r="E5010" s="7" t="s">
        <v>28</v>
      </c>
      <c r="F5010" s="8">
        <v>312.0</v>
      </c>
      <c r="G5010" s="9">
        <v>156.0</v>
      </c>
    </row>
    <row r="5011" ht="14.25" hidden="1" customHeight="1">
      <c r="B5011" s="7" t="s">
        <v>14</v>
      </c>
      <c r="C5011" s="7" t="s">
        <v>30</v>
      </c>
      <c r="D5011" s="7" t="s">
        <v>8</v>
      </c>
      <c r="E5011" s="7" t="s">
        <v>9</v>
      </c>
      <c r="F5011" s="8">
        <v>308.0</v>
      </c>
      <c r="G5011" s="9">
        <v>154.0</v>
      </c>
    </row>
    <row r="5012" ht="14.25" hidden="1" customHeight="1">
      <c r="B5012" s="7" t="s">
        <v>14</v>
      </c>
      <c r="C5012" s="7" t="s">
        <v>29</v>
      </c>
      <c r="D5012" s="7" t="s">
        <v>11</v>
      </c>
      <c r="E5012" s="7" t="s">
        <v>8</v>
      </c>
      <c r="F5012" s="8">
        <v>293.0</v>
      </c>
      <c r="G5012" s="9">
        <v>293.0</v>
      </c>
    </row>
    <row r="5013" ht="14.25" hidden="1" customHeight="1">
      <c r="B5013" s="7" t="s">
        <v>14</v>
      </c>
      <c r="C5013" s="7" t="s">
        <v>29</v>
      </c>
      <c r="D5013" s="7" t="s">
        <v>32</v>
      </c>
      <c r="E5013" s="7" t="s">
        <v>31</v>
      </c>
      <c r="F5013" s="8">
        <v>283.0</v>
      </c>
      <c r="G5013" s="9">
        <v>283.0</v>
      </c>
    </row>
    <row r="5014" ht="14.25" customHeight="1">
      <c r="B5014" s="7" t="s">
        <v>14</v>
      </c>
      <c r="C5014" s="7" t="s">
        <v>29</v>
      </c>
      <c r="D5014" s="7" t="s">
        <v>8</v>
      </c>
      <c r="E5014" s="7" t="s">
        <v>31</v>
      </c>
      <c r="F5014" s="8">
        <v>279.0</v>
      </c>
      <c r="G5014" s="9">
        <v>279.0</v>
      </c>
    </row>
    <row r="5015" ht="14.25" hidden="1" customHeight="1">
      <c r="B5015" s="7" t="s">
        <v>14</v>
      </c>
      <c r="C5015" s="7" t="s">
        <v>30</v>
      </c>
      <c r="D5015" s="7" t="s">
        <v>8</v>
      </c>
      <c r="E5015" s="7" t="s">
        <v>28</v>
      </c>
      <c r="F5015" s="8">
        <v>278.0</v>
      </c>
      <c r="G5015" s="9">
        <v>139.0</v>
      </c>
    </row>
    <row r="5016" ht="14.25" hidden="1" customHeight="1">
      <c r="B5016" s="7" t="s">
        <v>14</v>
      </c>
      <c r="C5016" s="7" t="s">
        <v>7</v>
      </c>
      <c r="D5016" s="7" t="s">
        <v>28</v>
      </c>
      <c r="E5016" s="7" t="s">
        <v>31</v>
      </c>
      <c r="F5016" s="8">
        <v>272.0</v>
      </c>
      <c r="G5016" s="9">
        <v>136.0</v>
      </c>
    </row>
    <row r="5017" ht="14.25" hidden="1" customHeight="1">
      <c r="B5017" s="7" t="s">
        <v>14</v>
      </c>
      <c r="C5017" s="7" t="s">
        <v>7</v>
      </c>
      <c r="D5017" s="7" t="s">
        <v>25</v>
      </c>
      <c r="E5017" s="7" t="s">
        <v>10</v>
      </c>
      <c r="F5017" s="8">
        <v>264.0</v>
      </c>
      <c r="G5017" s="9">
        <v>132.0</v>
      </c>
    </row>
    <row r="5018" ht="14.25" hidden="1" customHeight="1">
      <c r="B5018" s="7" t="s">
        <v>14</v>
      </c>
      <c r="C5018" s="7" t="s">
        <v>30</v>
      </c>
      <c r="D5018" s="7" t="s">
        <v>8</v>
      </c>
      <c r="E5018" s="7" t="s">
        <v>25</v>
      </c>
      <c r="F5018" s="8">
        <v>262.0</v>
      </c>
      <c r="G5018" s="9">
        <v>131.0</v>
      </c>
    </row>
    <row r="5019" ht="14.25" hidden="1" customHeight="1">
      <c r="B5019" s="7" t="s">
        <v>14</v>
      </c>
      <c r="C5019" s="7" t="s">
        <v>7</v>
      </c>
      <c r="D5019" s="7" t="s">
        <v>31</v>
      </c>
      <c r="E5019" s="7" t="s">
        <v>8</v>
      </c>
      <c r="F5019" s="8">
        <v>252.0</v>
      </c>
      <c r="G5019" s="9">
        <v>126.0</v>
      </c>
    </row>
    <row r="5020" ht="14.25" hidden="1" customHeight="1">
      <c r="B5020" s="7" t="s">
        <v>14</v>
      </c>
      <c r="C5020" s="7" t="s">
        <v>7</v>
      </c>
      <c r="D5020" s="7" t="s">
        <v>33</v>
      </c>
      <c r="E5020" s="7" t="s">
        <v>31</v>
      </c>
      <c r="F5020" s="8">
        <v>250.0</v>
      </c>
      <c r="G5020" s="9">
        <v>125.0</v>
      </c>
    </row>
    <row r="5021" ht="14.25" hidden="1" customHeight="1">
      <c r="B5021" s="7" t="s">
        <v>14</v>
      </c>
      <c r="C5021" s="7" t="s">
        <v>29</v>
      </c>
      <c r="D5021" s="7" t="s">
        <v>9</v>
      </c>
      <c r="E5021" s="7" t="s">
        <v>33</v>
      </c>
      <c r="F5021" s="8">
        <v>245.0</v>
      </c>
      <c r="G5021" s="9">
        <v>245.0</v>
      </c>
    </row>
    <row r="5022" ht="14.25" hidden="1" customHeight="1">
      <c r="B5022" s="7" t="s">
        <v>14</v>
      </c>
      <c r="C5022" s="7" t="s">
        <v>7</v>
      </c>
      <c r="D5022" s="7" t="s">
        <v>9</v>
      </c>
      <c r="E5022" s="7" t="s">
        <v>25</v>
      </c>
      <c r="F5022" s="8">
        <v>236.0</v>
      </c>
      <c r="G5022" s="9">
        <v>118.0</v>
      </c>
    </row>
    <row r="5023" ht="14.25" customHeight="1">
      <c r="B5023" s="7" t="s">
        <v>14</v>
      </c>
      <c r="C5023" s="7" t="s">
        <v>30</v>
      </c>
      <c r="D5023" s="7" t="s">
        <v>8</v>
      </c>
      <c r="E5023" s="7" t="s">
        <v>31</v>
      </c>
      <c r="F5023" s="8">
        <v>234.0</v>
      </c>
      <c r="G5023" s="9">
        <v>117.0</v>
      </c>
    </row>
    <row r="5024" ht="14.25" hidden="1" customHeight="1">
      <c r="B5024" s="7" t="s">
        <v>14</v>
      </c>
      <c r="C5024" s="7" t="s">
        <v>29</v>
      </c>
      <c r="D5024" s="7" t="s">
        <v>8</v>
      </c>
      <c r="E5024" s="7" t="s">
        <v>24</v>
      </c>
      <c r="F5024" s="8">
        <v>233.0</v>
      </c>
      <c r="G5024" s="9">
        <v>233.0</v>
      </c>
    </row>
    <row r="5025" ht="14.25" hidden="1" customHeight="1">
      <c r="B5025" s="7" t="s">
        <v>14</v>
      </c>
      <c r="C5025" s="7" t="s">
        <v>7</v>
      </c>
      <c r="D5025" s="7" t="s">
        <v>28</v>
      </c>
      <c r="E5025" s="7" t="s">
        <v>9</v>
      </c>
      <c r="F5025" s="8">
        <v>224.0</v>
      </c>
      <c r="G5025" s="9">
        <v>112.0</v>
      </c>
    </row>
    <row r="5026" ht="14.25" customHeight="1">
      <c r="B5026" s="7" t="s">
        <v>14</v>
      </c>
      <c r="C5026" s="7" t="s">
        <v>29</v>
      </c>
      <c r="D5026" s="7" t="s">
        <v>8</v>
      </c>
      <c r="E5026" s="7" t="s">
        <v>31</v>
      </c>
      <c r="F5026" s="8">
        <v>222.0</v>
      </c>
      <c r="G5026" s="9">
        <v>222.0</v>
      </c>
    </row>
    <row r="5027" ht="14.25" hidden="1" customHeight="1">
      <c r="B5027" s="7" t="s">
        <v>14</v>
      </c>
      <c r="C5027" s="7" t="s">
        <v>7</v>
      </c>
      <c r="D5027" s="7" t="s">
        <v>33</v>
      </c>
      <c r="E5027" s="7" t="s">
        <v>25</v>
      </c>
      <c r="F5027" s="8">
        <v>220.0</v>
      </c>
      <c r="G5027" s="9">
        <v>110.0</v>
      </c>
    </row>
    <row r="5028" ht="14.25" hidden="1" customHeight="1">
      <c r="B5028" s="7" t="s">
        <v>14</v>
      </c>
      <c r="C5028" s="7" t="s">
        <v>7</v>
      </c>
      <c r="D5028" s="7" t="s">
        <v>28</v>
      </c>
      <c r="E5028" s="7" t="s">
        <v>31</v>
      </c>
      <c r="F5028" s="8">
        <v>220.0</v>
      </c>
      <c r="G5028" s="9">
        <v>110.0</v>
      </c>
    </row>
    <row r="5029" ht="14.25" hidden="1" customHeight="1">
      <c r="B5029" s="7" t="s">
        <v>14</v>
      </c>
      <c r="C5029" s="7" t="s">
        <v>29</v>
      </c>
      <c r="D5029" s="7" t="s">
        <v>33</v>
      </c>
      <c r="E5029" s="7" t="s">
        <v>8</v>
      </c>
      <c r="F5029" s="8">
        <v>219.0</v>
      </c>
      <c r="G5029" s="9">
        <v>219.0</v>
      </c>
    </row>
    <row r="5030" ht="14.25" hidden="1" customHeight="1">
      <c r="B5030" s="7" t="s">
        <v>14</v>
      </c>
      <c r="C5030" s="7" t="s">
        <v>7</v>
      </c>
      <c r="D5030" s="7" t="s">
        <v>10</v>
      </c>
      <c r="E5030" s="7" t="s">
        <v>25</v>
      </c>
      <c r="F5030" s="8">
        <v>218.0</v>
      </c>
      <c r="G5030" s="9">
        <v>109.0</v>
      </c>
    </row>
    <row r="5031" ht="14.25" hidden="1" customHeight="1">
      <c r="B5031" s="7" t="s">
        <v>14</v>
      </c>
      <c r="C5031" s="7" t="s">
        <v>29</v>
      </c>
      <c r="D5031" s="7" t="s">
        <v>8</v>
      </c>
      <c r="E5031" s="7" t="s">
        <v>25</v>
      </c>
      <c r="F5031" s="8">
        <v>217.0</v>
      </c>
      <c r="G5031" s="9">
        <v>217.0</v>
      </c>
    </row>
    <row r="5032" ht="14.25" hidden="1" customHeight="1">
      <c r="B5032" s="7" t="s">
        <v>14</v>
      </c>
      <c r="C5032" s="7" t="s">
        <v>29</v>
      </c>
      <c r="D5032" s="7" t="s">
        <v>28</v>
      </c>
      <c r="E5032" s="7" t="s">
        <v>31</v>
      </c>
      <c r="F5032" s="8">
        <v>210.0</v>
      </c>
      <c r="G5032" s="9">
        <v>210.0</v>
      </c>
    </row>
    <row r="5033" ht="14.25" customHeight="1">
      <c r="B5033" s="7" t="s">
        <v>14</v>
      </c>
      <c r="C5033" s="7" t="s">
        <v>30</v>
      </c>
      <c r="D5033" s="7" t="s">
        <v>8</v>
      </c>
      <c r="E5033" s="7" t="s">
        <v>31</v>
      </c>
      <c r="F5033" s="8">
        <v>204.0</v>
      </c>
      <c r="G5033" s="9">
        <v>102.0</v>
      </c>
    </row>
    <row r="5034" ht="14.25" hidden="1" customHeight="1">
      <c r="B5034" s="7" t="s">
        <v>14</v>
      </c>
      <c r="C5034" s="7" t="s">
        <v>7</v>
      </c>
      <c r="D5034" s="7" t="s">
        <v>11</v>
      </c>
      <c r="E5034" s="7" t="s">
        <v>8</v>
      </c>
      <c r="F5034" s="8">
        <v>202.0</v>
      </c>
      <c r="G5034" s="9">
        <v>101.0</v>
      </c>
    </row>
    <row r="5035" ht="14.25" hidden="1" customHeight="1">
      <c r="B5035" s="7" t="s">
        <v>14</v>
      </c>
      <c r="C5035" s="7" t="s">
        <v>7</v>
      </c>
      <c r="D5035" s="7" t="s">
        <v>33</v>
      </c>
      <c r="E5035" s="7" t="s">
        <v>24</v>
      </c>
      <c r="F5035" s="8">
        <v>200.0</v>
      </c>
      <c r="G5035" s="9">
        <v>100.0</v>
      </c>
    </row>
    <row r="5036" ht="14.25" hidden="1" customHeight="1">
      <c r="B5036" s="7" t="s">
        <v>14</v>
      </c>
      <c r="C5036" s="7" t="s">
        <v>29</v>
      </c>
      <c r="D5036" s="7" t="s">
        <v>9</v>
      </c>
      <c r="E5036" s="7" t="s">
        <v>28</v>
      </c>
      <c r="F5036" s="8">
        <v>199.0</v>
      </c>
      <c r="G5036" s="9">
        <v>199.0</v>
      </c>
    </row>
    <row r="5037" ht="14.25" hidden="1" customHeight="1">
      <c r="B5037" s="7" t="s">
        <v>14</v>
      </c>
      <c r="C5037" s="7" t="s">
        <v>29</v>
      </c>
      <c r="D5037" s="7" t="s">
        <v>9</v>
      </c>
      <c r="E5037" s="7" t="s">
        <v>10</v>
      </c>
      <c r="F5037" s="8">
        <v>199.0</v>
      </c>
      <c r="G5037" s="9">
        <v>199.0</v>
      </c>
    </row>
    <row r="5038" ht="14.25" hidden="1" customHeight="1">
      <c r="B5038" s="7" t="s">
        <v>14</v>
      </c>
      <c r="C5038" s="7" t="s">
        <v>7</v>
      </c>
      <c r="D5038" s="7" t="s">
        <v>28</v>
      </c>
      <c r="E5038" s="7" t="s">
        <v>8</v>
      </c>
      <c r="F5038" s="8">
        <v>196.0</v>
      </c>
      <c r="G5038" s="9">
        <v>98.0</v>
      </c>
    </row>
    <row r="5039" ht="14.25" hidden="1" customHeight="1">
      <c r="B5039" s="7" t="s">
        <v>14</v>
      </c>
      <c r="C5039" s="7" t="s">
        <v>7</v>
      </c>
      <c r="D5039" s="7" t="s">
        <v>9</v>
      </c>
      <c r="E5039" s="7" t="s">
        <v>31</v>
      </c>
      <c r="F5039" s="8">
        <v>186.0</v>
      </c>
      <c r="G5039" s="9">
        <v>93.0</v>
      </c>
    </row>
    <row r="5040" ht="14.25" hidden="1" customHeight="1">
      <c r="B5040" s="7" t="s">
        <v>14</v>
      </c>
      <c r="C5040" s="7" t="s">
        <v>7</v>
      </c>
      <c r="D5040" s="7" t="s">
        <v>32</v>
      </c>
      <c r="E5040" s="7" t="s">
        <v>25</v>
      </c>
      <c r="F5040" s="8">
        <v>184.0</v>
      </c>
      <c r="G5040" s="9">
        <v>92.0</v>
      </c>
    </row>
    <row r="5041" ht="14.25" hidden="1" customHeight="1">
      <c r="B5041" s="7" t="s">
        <v>14</v>
      </c>
      <c r="C5041" s="7" t="s">
        <v>30</v>
      </c>
      <c r="D5041" s="7" t="s">
        <v>8</v>
      </c>
      <c r="E5041" s="7" t="s">
        <v>24</v>
      </c>
      <c r="F5041" s="8">
        <v>178.0</v>
      </c>
      <c r="G5041" s="9">
        <v>89.0</v>
      </c>
    </row>
    <row r="5042" ht="14.25" hidden="1" customHeight="1">
      <c r="B5042" s="7" t="s">
        <v>14</v>
      </c>
      <c r="C5042" s="7" t="s">
        <v>29</v>
      </c>
      <c r="D5042" s="7" t="s">
        <v>28</v>
      </c>
      <c r="E5042" s="7" t="s">
        <v>34</v>
      </c>
      <c r="F5042" s="8">
        <v>177.0</v>
      </c>
      <c r="G5042" s="9">
        <v>177.0</v>
      </c>
    </row>
    <row r="5043" ht="14.25" hidden="1" customHeight="1">
      <c r="B5043" s="7" t="s">
        <v>14</v>
      </c>
      <c r="C5043" s="7" t="s">
        <v>7</v>
      </c>
      <c r="D5043" s="7" t="s">
        <v>28</v>
      </c>
      <c r="E5043" s="7" t="s">
        <v>31</v>
      </c>
      <c r="F5043" s="8">
        <v>174.0</v>
      </c>
      <c r="G5043" s="9">
        <v>87.0</v>
      </c>
    </row>
    <row r="5044" ht="14.25" hidden="1" customHeight="1">
      <c r="B5044" s="7" t="s">
        <v>14</v>
      </c>
      <c r="C5044" s="7" t="s">
        <v>29</v>
      </c>
      <c r="D5044" s="7" t="s">
        <v>8</v>
      </c>
      <c r="E5044" s="7" t="s">
        <v>10</v>
      </c>
      <c r="F5044" s="8">
        <v>174.0</v>
      </c>
      <c r="G5044" s="9">
        <v>174.0</v>
      </c>
    </row>
    <row r="5045" ht="14.25" hidden="1" customHeight="1">
      <c r="B5045" s="7" t="s">
        <v>14</v>
      </c>
      <c r="C5045" s="7" t="s">
        <v>29</v>
      </c>
      <c r="D5045" s="7" t="s">
        <v>8</v>
      </c>
      <c r="E5045" s="7" t="s">
        <v>28</v>
      </c>
      <c r="F5045" s="8">
        <v>173.0</v>
      </c>
      <c r="G5045" s="9">
        <v>173.0</v>
      </c>
    </row>
    <row r="5046" ht="14.25" hidden="1" customHeight="1">
      <c r="B5046" s="7" t="s">
        <v>14</v>
      </c>
      <c r="C5046" s="7" t="s">
        <v>7</v>
      </c>
      <c r="D5046" s="7" t="s">
        <v>33</v>
      </c>
      <c r="E5046" s="7" t="s">
        <v>28</v>
      </c>
      <c r="F5046" s="8">
        <v>164.0</v>
      </c>
      <c r="G5046" s="9">
        <v>82.0</v>
      </c>
    </row>
    <row r="5047" ht="14.25" hidden="1" customHeight="1">
      <c r="B5047" s="7" t="s">
        <v>14</v>
      </c>
      <c r="C5047" s="7" t="s">
        <v>7</v>
      </c>
      <c r="D5047" s="7" t="s">
        <v>24</v>
      </c>
      <c r="E5047" s="7" t="s">
        <v>31</v>
      </c>
      <c r="F5047" s="8">
        <v>158.0</v>
      </c>
      <c r="G5047" s="9">
        <v>79.0</v>
      </c>
    </row>
    <row r="5048" ht="14.25" hidden="1" customHeight="1">
      <c r="B5048" s="7" t="s">
        <v>14</v>
      </c>
      <c r="C5048" s="7" t="s">
        <v>29</v>
      </c>
      <c r="D5048" s="7" t="s">
        <v>28</v>
      </c>
      <c r="E5048" s="7" t="s">
        <v>10</v>
      </c>
      <c r="F5048" s="8">
        <v>154.0</v>
      </c>
      <c r="G5048" s="9">
        <v>154.0</v>
      </c>
    </row>
    <row r="5049" ht="14.25" hidden="1" customHeight="1">
      <c r="B5049" s="7" t="s">
        <v>14</v>
      </c>
      <c r="C5049" s="7" t="s">
        <v>7</v>
      </c>
      <c r="D5049" s="7" t="s">
        <v>28</v>
      </c>
      <c r="E5049" s="7" t="s">
        <v>31</v>
      </c>
      <c r="F5049" s="8">
        <v>150.0</v>
      </c>
      <c r="G5049" s="9">
        <v>75.0</v>
      </c>
    </row>
    <row r="5050" ht="14.25" hidden="1" customHeight="1">
      <c r="B5050" s="7" t="s">
        <v>14</v>
      </c>
      <c r="C5050" s="7" t="s">
        <v>30</v>
      </c>
      <c r="D5050" s="7" t="s">
        <v>8</v>
      </c>
      <c r="E5050" s="7" t="s">
        <v>10</v>
      </c>
      <c r="F5050" s="8">
        <v>144.0</v>
      </c>
      <c r="G5050" s="9">
        <v>72.0</v>
      </c>
    </row>
    <row r="5051" ht="14.25" hidden="1" customHeight="1">
      <c r="B5051" s="7" t="s">
        <v>14</v>
      </c>
      <c r="C5051" s="7" t="s">
        <v>7</v>
      </c>
      <c r="D5051" s="7" t="s">
        <v>9</v>
      </c>
      <c r="E5051" s="7" t="s">
        <v>10</v>
      </c>
      <c r="F5051" s="8">
        <v>140.0</v>
      </c>
      <c r="G5051" s="9">
        <v>70.0</v>
      </c>
    </row>
    <row r="5052" ht="14.25" hidden="1" customHeight="1">
      <c r="B5052" s="7" t="s">
        <v>14</v>
      </c>
      <c r="C5052" s="7" t="s">
        <v>30</v>
      </c>
      <c r="D5052" s="7" t="s">
        <v>8</v>
      </c>
      <c r="E5052" s="7" t="s">
        <v>33</v>
      </c>
      <c r="F5052" s="8">
        <v>140.0</v>
      </c>
      <c r="G5052" s="9">
        <v>70.0</v>
      </c>
    </row>
    <row r="5053" ht="14.25" hidden="1" customHeight="1">
      <c r="B5053" s="7" t="s">
        <v>14</v>
      </c>
      <c r="C5053" s="7" t="s">
        <v>29</v>
      </c>
      <c r="D5053" s="7" t="s">
        <v>25</v>
      </c>
      <c r="E5053" s="7" t="s">
        <v>8</v>
      </c>
      <c r="F5053" s="8">
        <v>135.0</v>
      </c>
      <c r="G5053" s="9">
        <v>135.0</v>
      </c>
    </row>
    <row r="5054" ht="14.25" hidden="1" customHeight="1">
      <c r="B5054" s="7" t="s">
        <v>14</v>
      </c>
      <c r="C5054" s="7" t="s">
        <v>29</v>
      </c>
      <c r="D5054" s="7" t="s">
        <v>28</v>
      </c>
      <c r="E5054" s="7" t="s">
        <v>8</v>
      </c>
      <c r="F5054" s="8">
        <v>135.0</v>
      </c>
      <c r="G5054" s="9">
        <v>135.0</v>
      </c>
    </row>
    <row r="5055" ht="14.25" hidden="1" customHeight="1">
      <c r="B5055" s="7" t="s">
        <v>14</v>
      </c>
      <c r="C5055" s="7" t="s">
        <v>7</v>
      </c>
      <c r="D5055" s="7" t="s">
        <v>33</v>
      </c>
      <c r="E5055" s="7" t="s">
        <v>31</v>
      </c>
      <c r="F5055" s="8">
        <v>134.0</v>
      </c>
      <c r="G5055" s="9">
        <v>67.0</v>
      </c>
    </row>
    <row r="5056" ht="14.25" hidden="1" customHeight="1">
      <c r="B5056" s="7" t="s">
        <v>14</v>
      </c>
      <c r="C5056" s="7" t="s">
        <v>29</v>
      </c>
      <c r="D5056" s="7" t="s">
        <v>8</v>
      </c>
      <c r="E5056" s="7" t="s">
        <v>10</v>
      </c>
      <c r="F5056" s="8">
        <v>129.0</v>
      </c>
      <c r="G5056" s="9">
        <v>129.0</v>
      </c>
    </row>
    <row r="5057" ht="14.25" hidden="1" customHeight="1">
      <c r="B5057" s="7" t="s">
        <v>14</v>
      </c>
      <c r="C5057" s="7" t="s">
        <v>7</v>
      </c>
      <c r="D5057" s="7" t="s">
        <v>9</v>
      </c>
      <c r="E5057" s="7" t="s">
        <v>11</v>
      </c>
      <c r="F5057" s="8">
        <v>122.0</v>
      </c>
      <c r="G5057" s="9">
        <v>61.0</v>
      </c>
    </row>
    <row r="5058" ht="14.25" hidden="1" customHeight="1">
      <c r="B5058" s="7" t="s">
        <v>14</v>
      </c>
      <c r="C5058" s="7" t="s">
        <v>7</v>
      </c>
      <c r="D5058" s="7" t="s">
        <v>28</v>
      </c>
      <c r="E5058" s="7" t="s">
        <v>10</v>
      </c>
      <c r="F5058" s="8">
        <v>120.0</v>
      </c>
      <c r="G5058" s="9">
        <v>60.0</v>
      </c>
    </row>
    <row r="5059" ht="14.25" hidden="1" customHeight="1">
      <c r="B5059" s="7" t="s">
        <v>14</v>
      </c>
      <c r="C5059" s="7" t="s">
        <v>7</v>
      </c>
      <c r="D5059" s="7" t="s">
        <v>11</v>
      </c>
      <c r="E5059" s="7" t="s">
        <v>8</v>
      </c>
      <c r="F5059" s="8">
        <v>114.0</v>
      </c>
      <c r="G5059" s="9">
        <v>57.0</v>
      </c>
    </row>
    <row r="5060" ht="14.25" hidden="1" customHeight="1">
      <c r="B5060" s="7" t="s">
        <v>14</v>
      </c>
      <c r="C5060" s="7" t="s">
        <v>30</v>
      </c>
      <c r="D5060" s="7" t="s">
        <v>31</v>
      </c>
      <c r="E5060" s="7" t="s">
        <v>33</v>
      </c>
      <c r="F5060" s="8">
        <v>114.0</v>
      </c>
      <c r="G5060" s="9">
        <v>57.0</v>
      </c>
    </row>
    <row r="5061" ht="14.25" hidden="1" customHeight="1">
      <c r="B5061" s="7" t="s">
        <v>14</v>
      </c>
      <c r="C5061" s="7" t="s">
        <v>7</v>
      </c>
      <c r="D5061" s="7" t="s">
        <v>28</v>
      </c>
      <c r="E5061" s="7" t="s">
        <v>25</v>
      </c>
      <c r="F5061" s="8">
        <v>112.0</v>
      </c>
      <c r="G5061" s="9">
        <v>56.0</v>
      </c>
    </row>
    <row r="5062" ht="14.25" hidden="1" customHeight="1">
      <c r="B5062" s="7" t="s">
        <v>14</v>
      </c>
      <c r="C5062" s="7" t="s">
        <v>29</v>
      </c>
      <c r="D5062" s="7" t="s">
        <v>31</v>
      </c>
      <c r="E5062" s="7" t="s">
        <v>28</v>
      </c>
      <c r="F5062" s="8">
        <v>112.0</v>
      </c>
      <c r="G5062" s="9">
        <v>112.0</v>
      </c>
    </row>
    <row r="5063" ht="14.25" hidden="1" customHeight="1">
      <c r="B5063" s="7" t="s">
        <v>14</v>
      </c>
      <c r="C5063" s="7" t="s">
        <v>29</v>
      </c>
      <c r="D5063" s="7" t="s">
        <v>8</v>
      </c>
      <c r="E5063" s="7" t="s">
        <v>33</v>
      </c>
      <c r="F5063" s="8">
        <v>107.0</v>
      </c>
      <c r="G5063" s="9">
        <v>107.0</v>
      </c>
    </row>
    <row r="5064" ht="14.25" hidden="1" customHeight="1">
      <c r="B5064" s="7" t="s">
        <v>14</v>
      </c>
      <c r="C5064" s="7" t="s">
        <v>7</v>
      </c>
      <c r="D5064" s="7" t="s">
        <v>31</v>
      </c>
      <c r="E5064" s="7" t="s">
        <v>33</v>
      </c>
      <c r="F5064" s="8">
        <v>106.0</v>
      </c>
      <c r="G5064" s="9">
        <v>53.0</v>
      </c>
    </row>
    <row r="5065" ht="14.25" hidden="1" customHeight="1">
      <c r="B5065" s="7" t="s">
        <v>14</v>
      </c>
      <c r="C5065" s="7" t="s">
        <v>29</v>
      </c>
      <c r="D5065" s="7" t="s">
        <v>31</v>
      </c>
      <c r="E5065" s="7" t="s">
        <v>24</v>
      </c>
      <c r="F5065" s="8">
        <v>101.0</v>
      </c>
      <c r="G5065" s="9">
        <v>101.0</v>
      </c>
    </row>
    <row r="5066" ht="14.25" hidden="1" customHeight="1">
      <c r="B5066" s="7" t="s">
        <v>14</v>
      </c>
      <c r="C5066" s="7" t="s">
        <v>29</v>
      </c>
      <c r="D5066" s="7" t="s">
        <v>11</v>
      </c>
      <c r="E5066" s="7" t="s">
        <v>8</v>
      </c>
      <c r="F5066" s="8">
        <v>98.0</v>
      </c>
      <c r="G5066" s="9">
        <v>98.0</v>
      </c>
    </row>
    <row r="5067" ht="14.25" hidden="1" customHeight="1">
      <c r="B5067" s="7" t="s">
        <v>14</v>
      </c>
      <c r="C5067" s="7" t="s">
        <v>29</v>
      </c>
      <c r="D5067" s="7" t="s">
        <v>28</v>
      </c>
      <c r="E5067" s="7" t="s">
        <v>31</v>
      </c>
      <c r="F5067" s="8">
        <v>96.0</v>
      </c>
      <c r="G5067" s="9">
        <v>96.0</v>
      </c>
    </row>
    <row r="5068" ht="14.25" hidden="1" customHeight="1">
      <c r="B5068" s="7" t="s">
        <v>14</v>
      </c>
      <c r="C5068" s="7" t="s">
        <v>7</v>
      </c>
      <c r="D5068" s="7" t="s">
        <v>32</v>
      </c>
      <c r="E5068" s="7" t="s">
        <v>8</v>
      </c>
      <c r="F5068" s="8">
        <v>94.0</v>
      </c>
      <c r="G5068" s="9">
        <v>47.0</v>
      </c>
    </row>
    <row r="5069" ht="14.25" hidden="1" customHeight="1">
      <c r="B5069" s="7" t="s">
        <v>14</v>
      </c>
      <c r="C5069" s="7" t="s">
        <v>7</v>
      </c>
      <c r="D5069" s="7" t="s">
        <v>32</v>
      </c>
      <c r="E5069" s="7" t="s">
        <v>33</v>
      </c>
      <c r="F5069" s="8">
        <v>92.0</v>
      </c>
      <c r="G5069" s="9">
        <v>46.0</v>
      </c>
    </row>
    <row r="5070" ht="14.25" customHeight="1">
      <c r="B5070" s="7" t="s">
        <v>14</v>
      </c>
      <c r="C5070" s="7" t="s">
        <v>7</v>
      </c>
      <c r="D5070" s="7" t="s">
        <v>8</v>
      </c>
      <c r="E5070" s="7" t="s">
        <v>31</v>
      </c>
      <c r="F5070" s="8">
        <v>92.0</v>
      </c>
      <c r="G5070" s="9">
        <v>46.0</v>
      </c>
    </row>
    <row r="5071" ht="14.25" hidden="1" customHeight="1">
      <c r="B5071" s="7" t="s">
        <v>14</v>
      </c>
      <c r="C5071" s="7" t="s">
        <v>29</v>
      </c>
      <c r="D5071" s="7" t="s">
        <v>8</v>
      </c>
      <c r="E5071" s="7" t="s">
        <v>33</v>
      </c>
      <c r="F5071" s="8">
        <v>89.0</v>
      </c>
      <c r="G5071" s="9">
        <v>89.0</v>
      </c>
    </row>
    <row r="5072" ht="14.25" hidden="1" customHeight="1">
      <c r="B5072" s="7" t="s">
        <v>14</v>
      </c>
      <c r="C5072" s="7" t="s">
        <v>7</v>
      </c>
      <c r="D5072" s="7" t="s">
        <v>10</v>
      </c>
      <c r="E5072" s="7" t="s">
        <v>31</v>
      </c>
      <c r="F5072" s="8">
        <v>88.0</v>
      </c>
      <c r="G5072" s="9">
        <v>44.0</v>
      </c>
    </row>
    <row r="5073" ht="14.25" hidden="1" customHeight="1">
      <c r="B5073" s="7" t="s">
        <v>14</v>
      </c>
      <c r="C5073" s="7" t="s">
        <v>7</v>
      </c>
      <c r="D5073" s="7" t="s">
        <v>10</v>
      </c>
      <c r="E5073" s="7" t="s">
        <v>33</v>
      </c>
      <c r="F5073" s="8">
        <v>86.0</v>
      </c>
      <c r="G5073" s="9">
        <v>43.0</v>
      </c>
    </row>
    <row r="5074" ht="14.25" hidden="1" customHeight="1">
      <c r="B5074" s="7" t="s">
        <v>14</v>
      </c>
      <c r="C5074" s="7" t="s">
        <v>7</v>
      </c>
      <c r="D5074" s="7" t="s">
        <v>8</v>
      </c>
      <c r="E5074" s="7" t="s">
        <v>9</v>
      </c>
      <c r="F5074" s="8">
        <v>86.0</v>
      </c>
      <c r="G5074" s="9">
        <v>43.0</v>
      </c>
    </row>
    <row r="5075" ht="14.25" hidden="1" customHeight="1">
      <c r="B5075" s="7" t="s">
        <v>14</v>
      </c>
      <c r="C5075" s="7" t="s">
        <v>7</v>
      </c>
      <c r="D5075" s="7" t="s">
        <v>33</v>
      </c>
      <c r="E5075" s="7" t="s">
        <v>32</v>
      </c>
      <c r="F5075" s="8">
        <v>84.0</v>
      </c>
      <c r="G5075" s="9">
        <v>42.0</v>
      </c>
    </row>
    <row r="5076" ht="14.25" hidden="1" customHeight="1">
      <c r="B5076" s="7" t="s">
        <v>14</v>
      </c>
      <c r="C5076" s="7" t="s">
        <v>7</v>
      </c>
      <c r="D5076" s="7" t="s">
        <v>11</v>
      </c>
      <c r="E5076" s="7" t="s">
        <v>25</v>
      </c>
      <c r="F5076" s="8">
        <v>84.0</v>
      </c>
      <c r="G5076" s="9">
        <v>42.0</v>
      </c>
    </row>
    <row r="5077" ht="14.25" hidden="1" customHeight="1">
      <c r="B5077" s="7" t="s">
        <v>14</v>
      </c>
      <c r="C5077" s="7" t="s">
        <v>7</v>
      </c>
      <c r="D5077" s="7" t="s">
        <v>9</v>
      </c>
      <c r="E5077" s="7" t="s">
        <v>32</v>
      </c>
      <c r="F5077" s="8">
        <v>84.0</v>
      </c>
      <c r="G5077" s="9">
        <v>42.0</v>
      </c>
    </row>
    <row r="5078" ht="14.25" hidden="1" customHeight="1">
      <c r="B5078" s="7" t="s">
        <v>14</v>
      </c>
      <c r="C5078" s="7" t="s">
        <v>7</v>
      </c>
      <c r="D5078" s="7" t="s">
        <v>31</v>
      </c>
      <c r="E5078" s="7" t="s">
        <v>25</v>
      </c>
      <c r="F5078" s="8">
        <v>84.0</v>
      </c>
      <c r="G5078" s="9">
        <v>42.0</v>
      </c>
    </row>
    <row r="5079" ht="14.25" hidden="1" customHeight="1">
      <c r="B5079" s="7" t="s">
        <v>14</v>
      </c>
      <c r="C5079" s="7" t="s">
        <v>7</v>
      </c>
      <c r="D5079" s="7" t="s">
        <v>8</v>
      </c>
      <c r="E5079" s="7" t="s">
        <v>33</v>
      </c>
      <c r="F5079" s="8">
        <v>82.0</v>
      </c>
      <c r="G5079" s="9">
        <v>41.0</v>
      </c>
    </row>
    <row r="5080" ht="14.25" hidden="1" customHeight="1">
      <c r="B5080" s="7" t="s">
        <v>14</v>
      </c>
      <c r="C5080" s="7" t="s">
        <v>29</v>
      </c>
      <c r="D5080" s="7" t="s">
        <v>8</v>
      </c>
      <c r="E5080" s="7" t="s">
        <v>28</v>
      </c>
      <c r="F5080" s="8">
        <v>81.0</v>
      </c>
      <c r="G5080" s="9">
        <v>81.0</v>
      </c>
    </row>
    <row r="5081" ht="14.25" hidden="1" customHeight="1">
      <c r="B5081" s="7" t="s">
        <v>14</v>
      </c>
      <c r="C5081" s="7" t="s">
        <v>7</v>
      </c>
      <c r="D5081" s="7" t="s">
        <v>25</v>
      </c>
      <c r="E5081" s="7" t="s">
        <v>8</v>
      </c>
      <c r="F5081" s="8">
        <v>80.0</v>
      </c>
      <c r="G5081" s="9">
        <v>80.0</v>
      </c>
    </row>
    <row r="5082" ht="14.25" hidden="1" customHeight="1">
      <c r="B5082" s="7" t="s">
        <v>14</v>
      </c>
      <c r="C5082" s="7" t="s">
        <v>7</v>
      </c>
      <c r="D5082" s="7" t="s">
        <v>33</v>
      </c>
      <c r="E5082" s="7" t="s">
        <v>28</v>
      </c>
      <c r="F5082" s="8">
        <v>80.0</v>
      </c>
      <c r="G5082" s="9">
        <v>40.0</v>
      </c>
    </row>
    <row r="5083" ht="14.25" hidden="1" customHeight="1">
      <c r="B5083" s="7" t="s">
        <v>14</v>
      </c>
      <c r="C5083" s="7" t="s">
        <v>30</v>
      </c>
      <c r="D5083" s="7" t="s">
        <v>28</v>
      </c>
      <c r="E5083" s="7" t="s">
        <v>34</v>
      </c>
      <c r="F5083" s="8">
        <v>78.0</v>
      </c>
      <c r="G5083" s="9">
        <v>39.0</v>
      </c>
    </row>
    <row r="5084" ht="14.25" hidden="1" customHeight="1">
      <c r="B5084" s="7" t="s">
        <v>14</v>
      </c>
      <c r="C5084" s="7" t="s">
        <v>7</v>
      </c>
      <c r="D5084" s="7" t="s">
        <v>33</v>
      </c>
      <c r="E5084" s="7" t="s">
        <v>25</v>
      </c>
      <c r="F5084" s="8">
        <v>76.0</v>
      </c>
      <c r="G5084" s="9">
        <v>38.0</v>
      </c>
    </row>
    <row r="5085" ht="14.25" hidden="1" customHeight="1">
      <c r="B5085" s="7" t="s">
        <v>14</v>
      </c>
      <c r="C5085" s="7" t="s">
        <v>30</v>
      </c>
      <c r="D5085" s="7" t="s">
        <v>9</v>
      </c>
      <c r="E5085" s="7" t="s">
        <v>28</v>
      </c>
      <c r="F5085" s="8">
        <v>76.0</v>
      </c>
      <c r="G5085" s="9">
        <v>38.0</v>
      </c>
    </row>
    <row r="5086" ht="14.25" hidden="1" customHeight="1">
      <c r="B5086" s="7" t="s">
        <v>14</v>
      </c>
      <c r="C5086" s="7" t="s">
        <v>7</v>
      </c>
      <c r="D5086" s="7" t="s">
        <v>28</v>
      </c>
      <c r="E5086" s="7" t="s">
        <v>32</v>
      </c>
      <c r="F5086" s="8">
        <v>74.0</v>
      </c>
      <c r="G5086" s="9">
        <v>37.0</v>
      </c>
    </row>
    <row r="5087" ht="14.25" hidden="1" customHeight="1">
      <c r="B5087" s="7" t="s">
        <v>14</v>
      </c>
      <c r="C5087" s="7" t="s">
        <v>29</v>
      </c>
      <c r="D5087" s="7" t="s">
        <v>9</v>
      </c>
      <c r="E5087" s="7" t="s">
        <v>25</v>
      </c>
      <c r="F5087" s="8">
        <v>73.0</v>
      </c>
      <c r="G5087" s="9">
        <v>73.0</v>
      </c>
    </row>
    <row r="5088" ht="14.25" hidden="1" customHeight="1">
      <c r="B5088" s="7" t="s">
        <v>14</v>
      </c>
      <c r="C5088" s="7" t="s">
        <v>29</v>
      </c>
      <c r="D5088" s="7" t="s">
        <v>31</v>
      </c>
      <c r="E5088" s="7" t="s">
        <v>25</v>
      </c>
      <c r="F5088" s="8">
        <v>73.0</v>
      </c>
      <c r="G5088" s="9">
        <v>73.0</v>
      </c>
    </row>
    <row r="5089" ht="14.25" hidden="1" customHeight="1">
      <c r="B5089" s="7" t="s">
        <v>14</v>
      </c>
      <c r="C5089" s="7" t="s">
        <v>7</v>
      </c>
      <c r="D5089" s="7" t="s">
        <v>33</v>
      </c>
      <c r="E5089" s="7" t="s">
        <v>31</v>
      </c>
      <c r="F5089" s="8">
        <v>72.0</v>
      </c>
      <c r="G5089" s="9">
        <v>36.0</v>
      </c>
    </row>
    <row r="5090" ht="14.25" hidden="1" customHeight="1">
      <c r="B5090" s="7" t="s">
        <v>14</v>
      </c>
      <c r="C5090" s="7" t="s">
        <v>7</v>
      </c>
      <c r="D5090" s="7" t="s">
        <v>25</v>
      </c>
      <c r="E5090" s="7" t="s">
        <v>33</v>
      </c>
      <c r="F5090" s="8">
        <v>68.0</v>
      </c>
      <c r="G5090" s="9">
        <v>34.0</v>
      </c>
    </row>
    <row r="5091" ht="14.25" hidden="1" customHeight="1">
      <c r="B5091" s="7" t="s">
        <v>14</v>
      </c>
      <c r="C5091" s="7" t="s">
        <v>29</v>
      </c>
      <c r="D5091" s="7" t="s">
        <v>25</v>
      </c>
      <c r="E5091" s="7" t="s">
        <v>28</v>
      </c>
      <c r="F5091" s="8">
        <v>68.0</v>
      </c>
      <c r="G5091" s="9">
        <v>68.0</v>
      </c>
    </row>
    <row r="5092" ht="14.25" hidden="1" customHeight="1">
      <c r="B5092" s="7" t="s">
        <v>14</v>
      </c>
      <c r="C5092" s="7" t="s">
        <v>30</v>
      </c>
      <c r="D5092" s="7" t="s">
        <v>33</v>
      </c>
      <c r="E5092" s="7" t="s">
        <v>8</v>
      </c>
      <c r="F5092" s="8">
        <v>68.0</v>
      </c>
      <c r="G5092" s="9">
        <v>34.0</v>
      </c>
    </row>
    <row r="5093" ht="14.25" hidden="1" customHeight="1">
      <c r="B5093" s="7" t="s">
        <v>14</v>
      </c>
      <c r="C5093" s="7" t="s">
        <v>29</v>
      </c>
      <c r="D5093" s="7" t="s">
        <v>28</v>
      </c>
      <c r="E5093" s="7" t="s">
        <v>25</v>
      </c>
      <c r="F5093" s="8">
        <v>68.0</v>
      </c>
      <c r="G5093" s="9">
        <v>68.0</v>
      </c>
    </row>
    <row r="5094" ht="14.25" customHeight="1">
      <c r="B5094" s="7" t="s">
        <v>14</v>
      </c>
      <c r="C5094" s="7" t="s">
        <v>7</v>
      </c>
      <c r="D5094" s="7" t="s">
        <v>8</v>
      </c>
      <c r="E5094" s="7" t="s">
        <v>31</v>
      </c>
      <c r="F5094" s="8">
        <v>66.0</v>
      </c>
      <c r="G5094" s="9">
        <v>33.0</v>
      </c>
    </row>
    <row r="5095" ht="14.25" hidden="1" customHeight="1">
      <c r="B5095" s="7" t="s">
        <v>14</v>
      </c>
      <c r="C5095" s="7" t="s">
        <v>29</v>
      </c>
      <c r="D5095" s="7" t="s">
        <v>25</v>
      </c>
      <c r="E5095" s="7" t="s">
        <v>10</v>
      </c>
      <c r="F5095" s="8">
        <v>63.0</v>
      </c>
      <c r="G5095" s="9">
        <v>63.0</v>
      </c>
    </row>
    <row r="5096" ht="14.25" hidden="1" customHeight="1">
      <c r="B5096" s="7" t="s">
        <v>14</v>
      </c>
      <c r="C5096" s="7" t="s">
        <v>29</v>
      </c>
      <c r="D5096" s="7" t="s">
        <v>11</v>
      </c>
      <c r="E5096" s="7" t="s">
        <v>8</v>
      </c>
      <c r="F5096" s="8">
        <v>63.0</v>
      </c>
      <c r="G5096" s="9">
        <v>63.0</v>
      </c>
    </row>
    <row r="5097" ht="14.25" hidden="1" customHeight="1">
      <c r="B5097" s="7" t="s">
        <v>14</v>
      </c>
      <c r="C5097" s="7" t="s">
        <v>7</v>
      </c>
      <c r="D5097" s="7" t="s">
        <v>33</v>
      </c>
      <c r="E5097" s="7" t="s">
        <v>9</v>
      </c>
      <c r="F5097" s="8">
        <v>62.0</v>
      </c>
      <c r="G5097" s="9">
        <v>31.0</v>
      </c>
    </row>
    <row r="5098" ht="14.25" hidden="1" customHeight="1">
      <c r="B5098" s="7" t="s">
        <v>14</v>
      </c>
      <c r="C5098" s="7" t="s">
        <v>7</v>
      </c>
      <c r="D5098" s="7" t="s">
        <v>9</v>
      </c>
      <c r="E5098" s="7" t="s">
        <v>8</v>
      </c>
      <c r="F5098" s="8">
        <v>62.0</v>
      </c>
      <c r="G5098" s="9">
        <v>31.0</v>
      </c>
    </row>
    <row r="5099" ht="14.25" hidden="1" customHeight="1">
      <c r="B5099" s="7" t="s">
        <v>14</v>
      </c>
      <c r="C5099" s="7" t="s">
        <v>7</v>
      </c>
      <c r="D5099" s="7" t="s">
        <v>10</v>
      </c>
      <c r="E5099" s="7" t="s">
        <v>8</v>
      </c>
      <c r="F5099" s="8">
        <v>62.0</v>
      </c>
      <c r="G5099" s="9">
        <v>31.0</v>
      </c>
    </row>
    <row r="5100" ht="14.25" hidden="1" customHeight="1">
      <c r="B5100" s="7" t="s">
        <v>14</v>
      </c>
      <c r="C5100" s="7" t="s">
        <v>29</v>
      </c>
      <c r="D5100" s="7" t="s">
        <v>8</v>
      </c>
      <c r="E5100" s="7" t="s">
        <v>28</v>
      </c>
      <c r="F5100" s="8">
        <v>60.0</v>
      </c>
      <c r="G5100" s="9">
        <v>60.0</v>
      </c>
    </row>
    <row r="5101" ht="14.25" hidden="1" customHeight="1">
      <c r="B5101" s="7" t="s">
        <v>14</v>
      </c>
      <c r="C5101" s="7" t="s">
        <v>7</v>
      </c>
      <c r="D5101" s="7" t="s">
        <v>34</v>
      </c>
      <c r="E5101" s="7" t="s">
        <v>28</v>
      </c>
      <c r="F5101" s="8">
        <v>58.0</v>
      </c>
      <c r="G5101" s="9">
        <v>29.0</v>
      </c>
    </row>
    <row r="5102" ht="14.25" hidden="1" customHeight="1">
      <c r="B5102" s="7" t="s">
        <v>14</v>
      </c>
      <c r="C5102" s="7" t="s">
        <v>30</v>
      </c>
      <c r="D5102" s="7" t="s">
        <v>9</v>
      </c>
      <c r="E5102" s="7" t="s">
        <v>25</v>
      </c>
      <c r="F5102" s="8">
        <v>58.0</v>
      </c>
      <c r="G5102" s="9">
        <v>29.0</v>
      </c>
    </row>
    <row r="5103" ht="14.25" hidden="1" customHeight="1">
      <c r="B5103" s="7" t="s">
        <v>14</v>
      </c>
      <c r="C5103" s="7" t="s">
        <v>7</v>
      </c>
      <c r="D5103" s="7" t="s">
        <v>32</v>
      </c>
      <c r="E5103" s="7" t="s">
        <v>9</v>
      </c>
      <c r="F5103" s="8">
        <v>58.0</v>
      </c>
      <c r="G5103" s="9">
        <v>29.0</v>
      </c>
    </row>
    <row r="5104" ht="14.25" hidden="1" customHeight="1">
      <c r="B5104" s="7" t="s">
        <v>14</v>
      </c>
      <c r="C5104" s="7" t="s">
        <v>29</v>
      </c>
      <c r="D5104" s="7" t="s">
        <v>10</v>
      </c>
      <c r="E5104" s="7" t="s">
        <v>25</v>
      </c>
      <c r="F5104" s="8">
        <v>57.0</v>
      </c>
      <c r="G5104" s="9">
        <v>57.0</v>
      </c>
    </row>
    <row r="5105" ht="14.25" hidden="1" customHeight="1">
      <c r="B5105" s="7" t="s">
        <v>14</v>
      </c>
      <c r="C5105" s="7" t="s">
        <v>30</v>
      </c>
      <c r="D5105" s="7" t="s">
        <v>34</v>
      </c>
      <c r="E5105" s="7" t="s">
        <v>28</v>
      </c>
      <c r="F5105" s="8">
        <v>56.0</v>
      </c>
      <c r="G5105" s="9">
        <v>28.0</v>
      </c>
    </row>
    <row r="5106" ht="14.25" hidden="1" customHeight="1">
      <c r="B5106" s="7" t="s">
        <v>14</v>
      </c>
      <c r="C5106" s="7" t="s">
        <v>29</v>
      </c>
      <c r="D5106" s="7" t="s">
        <v>33</v>
      </c>
      <c r="E5106" s="7" t="s">
        <v>31</v>
      </c>
      <c r="F5106" s="8">
        <v>54.0</v>
      </c>
      <c r="G5106" s="9">
        <v>54.0</v>
      </c>
    </row>
    <row r="5107" ht="14.25" hidden="1" customHeight="1">
      <c r="B5107" s="7" t="s">
        <v>14</v>
      </c>
      <c r="C5107" s="7" t="s">
        <v>29</v>
      </c>
      <c r="D5107" s="7" t="s">
        <v>33</v>
      </c>
      <c r="E5107" s="7" t="s">
        <v>24</v>
      </c>
      <c r="F5107" s="8">
        <v>52.0</v>
      </c>
      <c r="G5107" s="9">
        <v>52.0</v>
      </c>
    </row>
    <row r="5108" ht="14.25" hidden="1" customHeight="1">
      <c r="B5108" s="7" t="s">
        <v>14</v>
      </c>
      <c r="C5108" s="7" t="s">
        <v>29</v>
      </c>
      <c r="D5108" s="7" t="s">
        <v>9</v>
      </c>
      <c r="E5108" s="7" t="s">
        <v>25</v>
      </c>
      <c r="F5108" s="8">
        <v>52.0</v>
      </c>
      <c r="G5108" s="9">
        <v>52.0</v>
      </c>
    </row>
    <row r="5109" ht="14.25" hidden="1" customHeight="1">
      <c r="B5109" s="7" t="s">
        <v>14</v>
      </c>
      <c r="C5109" s="7" t="s">
        <v>7</v>
      </c>
      <c r="D5109" s="7" t="s">
        <v>9</v>
      </c>
      <c r="E5109" s="7" t="s">
        <v>31</v>
      </c>
      <c r="F5109" s="8">
        <v>52.0</v>
      </c>
      <c r="G5109" s="9">
        <v>26.0</v>
      </c>
    </row>
    <row r="5110" ht="14.25" hidden="1" customHeight="1">
      <c r="B5110" s="7" t="s">
        <v>14</v>
      </c>
      <c r="C5110" s="7" t="s">
        <v>7</v>
      </c>
      <c r="D5110" s="7" t="s">
        <v>25</v>
      </c>
      <c r="E5110" s="7" t="s">
        <v>32</v>
      </c>
      <c r="F5110" s="8">
        <v>50.0</v>
      </c>
      <c r="G5110" s="9">
        <v>25.0</v>
      </c>
    </row>
    <row r="5111" ht="14.25" hidden="1" customHeight="1">
      <c r="B5111" s="7" t="s">
        <v>14</v>
      </c>
      <c r="C5111" s="7" t="s">
        <v>7</v>
      </c>
      <c r="D5111" s="7" t="s">
        <v>25</v>
      </c>
      <c r="E5111" s="7" t="s">
        <v>28</v>
      </c>
      <c r="F5111" s="8">
        <v>48.0</v>
      </c>
      <c r="G5111" s="9">
        <v>24.0</v>
      </c>
    </row>
    <row r="5112" ht="14.25" hidden="1" customHeight="1">
      <c r="B5112" s="7" t="s">
        <v>14</v>
      </c>
      <c r="C5112" s="7" t="s">
        <v>30</v>
      </c>
      <c r="D5112" s="7" t="s">
        <v>31</v>
      </c>
      <c r="E5112" s="7" t="s">
        <v>24</v>
      </c>
      <c r="F5112" s="8">
        <v>48.0</v>
      </c>
      <c r="G5112" s="9">
        <v>24.0</v>
      </c>
    </row>
    <row r="5113" ht="14.25" hidden="1" customHeight="1">
      <c r="B5113" s="7" t="s">
        <v>14</v>
      </c>
      <c r="C5113" s="7" t="s">
        <v>29</v>
      </c>
      <c r="D5113" s="7" t="s">
        <v>25</v>
      </c>
      <c r="E5113" s="7" t="s">
        <v>8</v>
      </c>
      <c r="F5113" s="8">
        <v>47.0</v>
      </c>
      <c r="G5113" s="9">
        <v>47.0</v>
      </c>
    </row>
    <row r="5114" ht="14.25" hidden="1" customHeight="1">
      <c r="B5114" s="7" t="s">
        <v>14</v>
      </c>
      <c r="C5114" s="7" t="s">
        <v>29</v>
      </c>
      <c r="D5114" s="7" t="s">
        <v>9</v>
      </c>
      <c r="E5114" s="7" t="s">
        <v>8</v>
      </c>
      <c r="F5114" s="8">
        <v>47.0</v>
      </c>
      <c r="G5114" s="9">
        <v>47.0</v>
      </c>
    </row>
    <row r="5115" ht="14.25" hidden="1" customHeight="1">
      <c r="B5115" s="7" t="s">
        <v>14</v>
      </c>
      <c r="C5115" s="7" t="s">
        <v>29</v>
      </c>
      <c r="D5115" s="7" t="s">
        <v>24</v>
      </c>
      <c r="E5115" s="7" t="s">
        <v>31</v>
      </c>
      <c r="F5115" s="8">
        <v>44.0</v>
      </c>
      <c r="G5115" s="9">
        <v>44.0</v>
      </c>
    </row>
    <row r="5116" ht="14.25" hidden="1" customHeight="1">
      <c r="B5116" s="7" t="s">
        <v>14</v>
      </c>
      <c r="C5116" s="7" t="s">
        <v>7</v>
      </c>
      <c r="D5116" s="7" t="s">
        <v>8</v>
      </c>
      <c r="E5116" s="7" t="s">
        <v>25</v>
      </c>
      <c r="F5116" s="8">
        <v>44.0</v>
      </c>
      <c r="G5116" s="9">
        <v>22.0</v>
      </c>
    </row>
    <row r="5117" ht="14.25" hidden="1" customHeight="1">
      <c r="B5117" s="7" t="s">
        <v>14</v>
      </c>
      <c r="C5117" s="7" t="s">
        <v>7</v>
      </c>
      <c r="D5117" s="7" t="s">
        <v>32</v>
      </c>
      <c r="E5117" s="7" t="s">
        <v>25</v>
      </c>
      <c r="F5117" s="8">
        <v>42.0</v>
      </c>
      <c r="G5117" s="9">
        <v>21.0</v>
      </c>
    </row>
    <row r="5118" ht="14.25" hidden="1" customHeight="1">
      <c r="B5118" s="7" t="s">
        <v>14</v>
      </c>
      <c r="C5118" s="7" t="s">
        <v>29</v>
      </c>
      <c r="D5118" s="7" t="s">
        <v>28</v>
      </c>
      <c r="E5118" s="7" t="s">
        <v>33</v>
      </c>
      <c r="F5118" s="8">
        <v>40.0</v>
      </c>
      <c r="G5118" s="9">
        <v>40.0</v>
      </c>
    </row>
    <row r="5119" ht="14.25" hidden="1" customHeight="1">
      <c r="B5119" s="7" t="s">
        <v>14</v>
      </c>
      <c r="C5119" s="7" t="s">
        <v>7</v>
      </c>
      <c r="D5119" s="7" t="s">
        <v>10</v>
      </c>
      <c r="E5119" s="7" t="s">
        <v>28</v>
      </c>
      <c r="F5119" s="8">
        <v>40.0</v>
      </c>
      <c r="G5119" s="9">
        <v>20.0</v>
      </c>
    </row>
    <row r="5120" ht="14.25" hidden="1" customHeight="1">
      <c r="B5120" s="7" t="s">
        <v>14</v>
      </c>
      <c r="C5120" s="7" t="s">
        <v>29</v>
      </c>
      <c r="D5120" s="7" t="s">
        <v>28</v>
      </c>
      <c r="E5120" s="7" t="s">
        <v>32</v>
      </c>
      <c r="F5120" s="8">
        <v>37.0</v>
      </c>
      <c r="G5120" s="9">
        <v>37.0</v>
      </c>
    </row>
    <row r="5121" ht="14.25" hidden="1" customHeight="1">
      <c r="B5121" s="7" t="s">
        <v>14</v>
      </c>
      <c r="C5121" s="7" t="s">
        <v>29</v>
      </c>
      <c r="D5121" s="7" t="s">
        <v>31</v>
      </c>
      <c r="E5121" s="7" t="s">
        <v>8</v>
      </c>
      <c r="F5121" s="8">
        <v>37.0</v>
      </c>
      <c r="G5121" s="9">
        <v>37.0</v>
      </c>
    </row>
    <row r="5122" ht="14.25" hidden="1" customHeight="1">
      <c r="B5122" s="7" t="s">
        <v>14</v>
      </c>
      <c r="C5122" s="7" t="s">
        <v>30</v>
      </c>
      <c r="D5122" s="7" t="s">
        <v>28</v>
      </c>
      <c r="E5122" s="7" t="s">
        <v>10</v>
      </c>
      <c r="F5122" s="8">
        <v>36.0</v>
      </c>
      <c r="G5122" s="9">
        <v>18.0</v>
      </c>
    </row>
    <row r="5123" ht="14.25" hidden="1" customHeight="1">
      <c r="B5123" s="7" t="s">
        <v>14</v>
      </c>
      <c r="C5123" s="7" t="s">
        <v>29</v>
      </c>
      <c r="D5123" s="7" t="s">
        <v>9</v>
      </c>
      <c r="E5123" s="7" t="s">
        <v>8</v>
      </c>
      <c r="F5123" s="8">
        <v>35.0</v>
      </c>
      <c r="G5123" s="9">
        <v>35.0</v>
      </c>
    </row>
    <row r="5124" ht="14.25" hidden="1" customHeight="1">
      <c r="B5124" s="7" t="s">
        <v>14</v>
      </c>
      <c r="C5124" s="7" t="s">
        <v>7</v>
      </c>
      <c r="D5124" s="7" t="s">
        <v>34</v>
      </c>
      <c r="E5124" s="7" t="s">
        <v>8</v>
      </c>
      <c r="F5124" s="8">
        <v>34.0</v>
      </c>
      <c r="G5124" s="9">
        <v>17.0</v>
      </c>
    </row>
    <row r="5125" ht="14.25" hidden="1" customHeight="1">
      <c r="B5125" s="7" t="s">
        <v>14</v>
      </c>
      <c r="C5125" s="7" t="s">
        <v>7</v>
      </c>
      <c r="D5125" s="7" t="s">
        <v>8</v>
      </c>
      <c r="E5125" s="7" t="s">
        <v>25</v>
      </c>
      <c r="F5125" s="8">
        <v>34.0</v>
      </c>
      <c r="G5125" s="9">
        <v>34.0</v>
      </c>
    </row>
    <row r="5126" ht="14.25" hidden="1" customHeight="1">
      <c r="B5126" s="7" t="s">
        <v>14</v>
      </c>
      <c r="C5126" s="7" t="s">
        <v>29</v>
      </c>
      <c r="D5126" s="7" t="s">
        <v>10</v>
      </c>
      <c r="E5126" s="7" t="s">
        <v>9</v>
      </c>
      <c r="F5126" s="8">
        <v>33.0</v>
      </c>
      <c r="G5126" s="9">
        <v>33.0</v>
      </c>
    </row>
    <row r="5127" ht="14.25" hidden="1" customHeight="1">
      <c r="B5127" s="7" t="s">
        <v>14</v>
      </c>
      <c r="C5127" s="7" t="s">
        <v>30</v>
      </c>
      <c r="D5127" s="7" t="s">
        <v>24</v>
      </c>
      <c r="E5127" s="7" t="s">
        <v>31</v>
      </c>
      <c r="F5127" s="8">
        <v>32.0</v>
      </c>
      <c r="G5127" s="9">
        <v>16.0</v>
      </c>
    </row>
    <row r="5128" ht="14.25" hidden="1" customHeight="1">
      <c r="B5128" s="7" t="s">
        <v>14</v>
      </c>
      <c r="C5128" s="7" t="s">
        <v>29</v>
      </c>
      <c r="D5128" s="7" t="s">
        <v>31</v>
      </c>
      <c r="E5128" s="7" t="s">
        <v>10</v>
      </c>
      <c r="F5128" s="8">
        <v>32.0</v>
      </c>
      <c r="G5128" s="9">
        <v>32.0</v>
      </c>
    </row>
    <row r="5129" ht="14.25" hidden="1" customHeight="1">
      <c r="B5129" s="7" t="s">
        <v>14</v>
      </c>
      <c r="C5129" s="7" t="s">
        <v>7</v>
      </c>
      <c r="D5129" s="7" t="s">
        <v>8</v>
      </c>
      <c r="E5129" s="7" t="s">
        <v>28</v>
      </c>
      <c r="F5129" s="8">
        <v>32.0</v>
      </c>
      <c r="G5129" s="9">
        <v>16.0</v>
      </c>
    </row>
    <row r="5130" ht="14.25" hidden="1" customHeight="1">
      <c r="B5130" s="7" t="s">
        <v>14</v>
      </c>
      <c r="C5130" s="7" t="s">
        <v>29</v>
      </c>
      <c r="D5130" s="7" t="s">
        <v>33</v>
      </c>
      <c r="E5130" s="7" t="s">
        <v>8</v>
      </c>
      <c r="F5130" s="8">
        <v>31.0</v>
      </c>
      <c r="G5130" s="9">
        <v>31.0</v>
      </c>
    </row>
    <row r="5131" ht="14.25" hidden="1" customHeight="1">
      <c r="B5131" s="7" t="s">
        <v>14</v>
      </c>
      <c r="C5131" s="7" t="s">
        <v>29</v>
      </c>
      <c r="D5131" s="7" t="s">
        <v>8</v>
      </c>
      <c r="E5131" s="7" t="s">
        <v>9</v>
      </c>
      <c r="F5131" s="8">
        <v>31.0</v>
      </c>
      <c r="G5131" s="9">
        <v>31.0</v>
      </c>
    </row>
    <row r="5132" ht="14.25" hidden="1" customHeight="1">
      <c r="B5132" s="7" t="s">
        <v>14</v>
      </c>
      <c r="C5132" s="7" t="s">
        <v>30</v>
      </c>
      <c r="D5132" s="7" t="s">
        <v>28</v>
      </c>
      <c r="E5132" s="7" t="s">
        <v>8</v>
      </c>
      <c r="F5132" s="8">
        <v>30.0</v>
      </c>
      <c r="G5132" s="9">
        <v>15.0</v>
      </c>
    </row>
    <row r="5133" ht="14.25" hidden="1" customHeight="1">
      <c r="B5133" s="7" t="s">
        <v>14</v>
      </c>
      <c r="C5133" s="7" t="s">
        <v>30</v>
      </c>
      <c r="D5133" s="7" t="s">
        <v>32</v>
      </c>
      <c r="E5133" s="7" t="s">
        <v>9</v>
      </c>
      <c r="F5133" s="8">
        <v>30.0</v>
      </c>
      <c r="G5133" s="9">
        <v>15.0</v>
      </c>
    </row>
    <row r="5134" ht="14.25" hidden="1" customHeight="1">
      <c r="B5134" s="7" t="s">
        <v>14</v>
      </c>
      <c r="C5134" s="7" t="s">
        <v>29</v>
      </c>
      <c r="D5134" s="7" t="s">
        <v>11</v>
      </c>
      <c r="E5134" s="7" t="s">
        <v>10</v>
      </c>
      <c r="F5134" s="8">
        <v>29.0</v>
      </c>
      <c r="G5134" s="9">
        <v>29.0</v>
      </c>
    </row>
    <row r="5135" ht="14.25" hidden="1" customHeight="1">
      <c r="B5135" s="7" t="s">
        <v>14</v>
      </c>
      <c r="C5135" s="7" t="s">
        <v>7</v>
      </c>
      <c r="D5135" s="7" t="s">
        <v>11</v>
      </c>
      <c r="E5135" s="7" t="s">
        <v>10</v>
      </c>
      <c r="F5135" s="8">
        <v>28.0</v>
      </c>
      <c r="G5135" s="9">
        <v>14.0</v>
      </c>
    </row>
    <row r="5136" ht="14.25" hidden="1" customHeight="1">
      <c r="B5136" s="7" t="s">
        <v>14</v>
      </c>
      <c r="C5136" s="7" t="s">
        <v>7</v>
      </c>
      <c r="D5136" s="7" t="s">
        <v>32</v>
      </c>
      <c r="E5136" s="7" t="s">
        <v>28</v>
      </c>
      <c r="F5136" s="8">
        <v>28.0</v>
      </c>
      <c r="G5136" s="9">
        <v>14.0</v>
      </c>
    </row>
    <row r="5137" ht="14.25" hidden="1" customHeight="1">
      <c r="B5137" s="7" t="s">
        <v>14</v>
      </c>
      <c r="C5137" s="7" t="s">
        <v>7</v>
      </c>
      <c r="D5137" s="7" t="s">
        <v>8</v>
      </c>
      <c r="E5137" s="7" t="s">
        <v>28</v>
      </c>
      <c r="F5137" s="8">
        <v>28.0</v>
      </c>
      <c r="G5137" s="9">
        <v>14.0</v>
      </c>
    </row>
    <row r="5138" ht="14.25" customHeight="1">
      <c r="B5138" s="7" t="s">
        <v>14</v>
      </c>
      <c r="C5138" s="7" t="s">
        <v>7</v>
      </c>
      <c r="D5138" s="7" t="s">
        <v>8</v>
      </c>
      <c r="E5138" s="7" t="s">
        <v>31</v>
      </c>
      <c r="F5138" s="8">
        <v>28.0</v>
      </c>
      <c r="G5138" s="9">
        <v>14.0</v>
      </c>
    </row>
    <row r="5139" ht="14.25" hidden="1" customHeight="1">
      <c r="B5139" s="7" t="s">
        <v>14</v>
      </c>
      <c r="C5139" s="7" t="s">
        <v>30</v>
      </c>
      <c r="D5139" s="7" t="s">
        <v>32</v>
      </c>
      <c r="E5139" s="7" t="s">
        <v>28</v>
      </c>
      <c r="F5139" s="8">
        <v>26.0</v>
      </c>
      <c r="G5139" s="9">
        <v>13.0</v>
      </c>
    </row>
    <row r="5140" ht="14.25" hidden="1" customHeight="1">
      <c r="B5140" s="7" t="s">
        <v>14</v>
      </c>
      <c r="C5140" s="7" t="s">
        <v>7</v>
      </c>
      <c r="D5140" s="7" t="s">
        <v>8</v>
      </c>
      <c r="E5140" s="7" t="s">
        <v>28</v>
      </c>
      <c r="F5140" s="8">
        <v>26.0</v>
      </c>
      <c r="G5140" s="9">
        <v>13.0</v>
      </c>
    </row>
    <row r="5141" ht="14.25" hidden="1" customHeight="1">
      <c r="B5141" s="7" t="s">
        <v>14</v>
      </c>
      <c r="C5141" s="7" t="s">
        <v>29</v>
      </c>
      <c r="D5141" s="7" t="s">
        <v>28</v>
      </c>
      <c r="E5141" s="7" t="s">
        <v>8</v>
      </c>
      <c r="F5141" s="8">
        <v>25.0</v>
      </c>
      <c r="G5141" s="9">
        <v>25.0</v>
      </c>
    </row>
    <row r="5142" ht="14.25" hidden="1" customHeight="1">
      <c r="B5142" s="7" t="s">
        <v>14</v>
      </c>
      <c r="C5142" s="7" t="s">
        <v>29</v>
      </c>
      <c r="D5142" s="7" t="s">
        <v>25</v>
      </c>
      <c r="E5142" s="7" t="s">
        <v>28</v>
      </c>
      <c r="F5142" s="8">
        <v>24.0</v>
      </c>
      <c r="G5142" s="9">
        <v>24.0</v>
      </c>
    </row>
    <row r="5143" ht="14.25" hidden="1" customHeight="1">
      <c r="B5143" s="7" t="s">
        <v>14</v>
      </c>
      <c r="C5143" s="7" t="s">
        <v>29</v>
      </c>
      <c r="D5143" s="7" t="s">
        <v>25</v>
      </c>
      <c r="E5143" s="7" t="s">
        <v>31</v>
      </c>
      <c r="F5143" s="8">
        <v>24.0</v>
      </c>
      <c r="G5143" s="9">
        <v>24.0</v>
      </c>
    </row>
    <row r="5144" ht="14.25" hidden="1" customHeight="1">
      <c r="B5144" s="7" t="s">
        <v>14</v>
      </c>
      <c r="C5144" s="7" t="s">
        <v>30</v>
      </c>
      <c r="D5144" s="7" t="s">
        <v>28</v>
      </c>
      <c r="E5144" s="7" t="s">
        <v>25</v>
      </c>
      <c r="F5144" s="8">
        <v>24.0</v>
      </c>
      <c r="G5144" s="9">
        <v>12.0</v>
      </c>
    </row>
    <row r="5145" ht="14.25" hidden="1" customHeight="1">
      <c r="B5145" s="7" t="s">
        <v>14</v>
      </c>
      <c r="C5145" s="7" t="s">
        <v>7</v>
      </c>
      <c r="D5145" s="7" t="s">
        <v>32</v>
      </c>
      <c r="E5145" s="7" t="s">
        <v>28</v>
      </c>
      <c r="F5145" s="8">
        <v>24.0</v>
      </c>
      <c r="G5145" s="9">
        <v>12.0</v>
      </c>
    </row>
    <row r="5146" ht="14.25" hidden="1" customHeight="1">
      <c r="B5146" s="7" t="s">
        <v>14</v>
      </c>
      <c r="C5146" s="7" t="s">
        <v>7</v>
      </c>
      <c r="D5146" s="7" t="s">
        <v>32</v>
      </c>
      <c r="E5146" s="7" t="s">
        <v>31</v>
      </c>
      <c r="F5146" s="8">
        <v>24.0</v>
      </c>
      <c r="G5146" s="9">
        <v>12.0</v>
      </c>
    </row>
    <row r="5147" ht="14.25" hidden="1" customHeight="1">
      <c r="B5147" s="7" t="s">
        <v>14</v>
      </c>
      <c r="C5147" s="7" t="s">
        <v>7</v>
      </c>
      <c r="D5147" s="7" t="s">
        <v>31</v>
      </c>
      <c r="E5147" s="7" t="s">
        <v>25</v>
      </c>
      <c r="F5147" s="8">
        <v>24.0</v>
      </c>
      <c r="G5147" s="9">
        <v>24.0</v>
      </c>
    </row>
    <row r="5148" ht="14.25" hidden="1" customHeight="1">
      <c r="B5148" s="7" t="s">
        <v>14</v>
      </c>
      <c r="C5148" s="7" t="s">
        <v>29</v>
      </c>
      <c r="D5148" s="7" t="s">
        <v>31</v>
      </c>
      <c r="E5148" s="7" t="s">
        <v>25</v>
      </c>
      <c r="F5148" s="8">
        <v>24.0</v>
      </c>
      <c r="G5148" s="9">
        <v>24.0</v>
      </c>
    </row>
    <row r="5149" ht="14.25" hidden="1" customHeight="1">
      <c r="B5149" s="7" t="s">
        <v>14</v>
      </c>
      <c r="C5149" s="7" t="s">
        <v>29</v>
      </c>
      <c r="D5149" s="7" t="s">
        <v>31</v>
      </c>
      <c r="E5149" s="7" t="s">
        <v>28</v>
      </c>
      <c r="F5149" s="8">
        <v>24.0</v>
      </c>
      <c r="G5149" s="9">
        <v>24.0</v>
      </c>
    </row>
    <row r="5150" ht="14.25" hidden="1" customHeight="1">
      <c r="B5150" s="7" t="s">
        <v>14</v>
      </c>
      <c r="C5150" s="7" t="s">
        <v>7</v>
      </c>
      <c r="D5150" s="7" t="s">
        <v>31</v>
      </c>
      <c r="E5150" s="7" t="s">
        <v>9</v>
      </c>
      <c r="F5150" s="8">
        <v>24.0</v>
      </c>
      <c r="G5150" s="9">
        <v>12.0</v>
      </c>
    </row>
    <row r="5151" ht="14.25" hidden="1" customHeight="1">
      <c r="B5151" s="7" t="s">
        <v>14</v>
      </c>
      <c r="C5151" s="7" t="s">
        <v>29</v>
      </c>
      <c r="D5151" s="7" t="s">
        <v>32</v>
      </c>
      <c r="E5151" s="7" t="s">
        <v>25</v>
      </c>
      <c r="F5151" s="8">
        <v>23.0</v>
      </c>
      <c r="G5151" s="9">
        <v>23.0</v>
      </c>
    </row>
    <row r="5152" ht="14.25" hidden="1" customHeight="1">
      <c r="B5152" s="7" t="s">
        <v>14</v>
      </c>
      <c r="C5152" s="7" t="s">
        <v>29</v>
      </c>
      <c r="D5152" s="7" t="s">
        <v>31</v>
      </c>
      <c r="E5152" s="7" t="s">
        <v>9</v>
      </c>
      <c r="F5152" s="8">
        <v>23.0</v>
      </c>
      <c r="G5152" s="9">
        <v>23.0</v>
      </c>
    </row>
    <row r="5153" ht="14.25" hidden="1" customHeight="1">
      <c r="B5153" s="7" t="s">
        <v>14</v>
      </c>
      <c r="C5153" s="7" t="s">
        <v>30</v>
      </c>
      <c r="D5153" s="7" t="s">
        <v>32</v>
      </c>
      <c r="E5153" s="7" t="s">
        <v>31</v>
      </c>
      <c r="F5153" s="8">
        <v>22.0</v>
      </c>
      <c r="G5153" s="9">
        <v>11.0</v>
      </c>
    </row>
    <row r="5154" ht="14.25" hidden="1" customHeight="1">
      <c r="B5154" s="7" t="s">
        <v>14</v>
      </c>
      <c r="C5154" s="7" t="s">
        <v>7</v>
      </c>
      <c r="D5154" s="7" t="s">
        <v>8</v>
      </c>
      <c r="E5154" s="7" t="s">
        <v>9</v>
      </c>
      <c r="F5154" s="8">
        <v>22.0</v>
      </c>
      <c r="G5154" s="9">
        <v>11.0</v>
      </c>
    </row>
    <row r="5155" ht="14.25" customHeight="1">
      <c r="B5155" s="7" t="s">
        <v>14</v>
      </c>
      <c r="C5155" s="7" t="s">
        <v>7</v>
      </c>
      <c r="D5155" s="7" t="s">
        <v>8</v>
      </c>
      <c r="E5155" s="7" t="s">
        <v>31</v>
      </c>
      <c r="F5155" s="8">
        <v>22.0</v>
      </c>
      <c r="G5155" s="9">
        <v>11.0</v>
      </c>
    </row>
    <row r="5156" ht="14.25" hidden="1" customHeight="1">
      <c r="B5156" s="7" t="s">
        <v>14</v>
      </c>
      <c r="C5156" s="7" t="s">
        <v>29</v>
      </c>
      <c r="D5156" s="7" t="s">
        <v>33</v>
      </c>
      <c r="E5156" s="7" t="s">
        <v>9</v>
      </c>
      <c r="F5156" s="8">
        <v>21.0</v>
      </c>
      <c r="G5156" s="9">
        <v>21.0</v>
      </c>
    </row>
    <row r="5157" ht="14.25" hidden="1" customHeight="1">
      <c r="B5157" s="7" t="s">
        <v>14</v>
      </c>
      <c r="C5157" s="7" t="s">
        <v>29</v>
      </c>
      <c r="D5157" s="7" t="s">
        <v>32</v>
      </c>
      <c r="E5157" s="7" t="s">
        <v>33</v>
      </c>
      <c r="F5157" s="8">
        <v>21.0</v>
      </c>
      <c r="G5157" s="9">
        <v>21.0</v>
      </c>
    </row>
    <row r="5158" ht="14.25" hidden="1" customHeight="1">
      <c r="B5158" s="7" t="s">
        <v>14</v>
      </c>
      <c r="C5158" s="7" t="s">
        <v>29</v>
      </c>
      <c r="D5158" s="7" t="s">
        <v>8</v>
      </c>
      <c r="E5158" s="7" t="s">
        <v>9</v>
      </c>
      <c r="F5158" s="8">
        <v>21.0</v>
      </c>
      <c r="G5158" s="9">
        <v>21.0</v>
      </c>
    </row>
    <row r="5159" ht="14.25" hidden="1" customHeight="1">
      <c r="B5159" s="7" t="s">
        <v>14</v>
      </c>
      <c r="C5159" s="7" t="s">
        <v>30</v>
      </c>
      <c r="D5159" s="7" t="s">
        <v>33</v>
      </c>
      <c r="E5159" s="7" t="s">
        <v>9</v>
      </c>
      <c r="F5159" s="8">
        <v>20.0</v>
      </c>
      <c r="G5159" s="9">
        <v>10.0</v>
      </c>
    </row>
    <row r="5160" ht="14.25" hidden="1" customHeight="1">
      <c r="B5160" s="7" t="s">
        <v>14</v>
      </c>
      <c r="C5160" s="7" t="s">
        <v>29</v>
      </c>
      <c r="D5160" s="7" t="s">
        <v>11</v>
      </c>
      <c r="E5160" s="7" t="s">
        <v>10</v>
      </c>
      <c r="F5160" s="8">
        <v>20.0</v>
      </c>
      <c r="G5160" s="9">
        <v>20.0</v>
      </c>
    </row>
    <row r="5161" ht="14.25" hidden="1" customHeight="1">
      <c r="B5161" s="7" t="s">
        <v>14</v>
      </c>
      <c r="C5161" s="7" t="s">
        <v>29</v>
      </c>
      <c r="D5161" s="7" t="s">
        <v>34</v>
      </c>
      <c r="E5161" s="7" t="s">
        <v>8</v>
      </c>
      <c r="F5161" s="8">
        <v>20.0</v>
      </c>
      <c r="G5161" s="9">
        <v>20.0</v>
      </c>
    </row>
    <row r="5162" ht="14.25" hidden="1" customHeight="1">
      <c r="B5162" s="7" t="s">
        <v>14</v>
      </c>
      <c r="C5162" s="7" t="s">
        <v>7</v>
      </c>
      <c r="D5162" s="7" t="s">
        <v>24</v>
      </c>
      <c r="E5162" s="7" t="s">
        <v>31</v>
      </c>
      <c r="F5162" s="8">
        <v>20.0</v>
      </c>
      <c r="G5162" s="9">
        <v>10.0</v>
      </c>
    </row>
    <row r="5163" ht="14.25" hidden="1" customHeight="1">
      <c r="B5163" s="7" t="s">
        <v>14</v>
      </c>
      <c r="C5163" s="7" t="s">
        <v>29</v>
      </c>
      <c r="D5163" s="7" t="s">
        <v>10</v>
      </c>
      <c r="E5163" s="7" t="s">
        <v>25</v>
      </c>
      <c r="F5163" s="8">
        <v>20.0</v>
      </c>
      <c r="G5163" s="9">
        <v>20.0</v>
      </c>
    </row>
    <row r="5164" ht="14.25" hidden="1" customHeight="1">
      <c r="B5164" s="7" t="s">
        <v>14</v>
      </c>
      <c r="C5164" s="7" t="s">
        <v>29</v>
      </c>
      <c r="D5164" s="7" t="s">
        <v>10</v>
      </c>
      <c r="E5164" s="7" t="s">
        <v>8</v>
      </c>
      <c r="F5164" s="8">
        <v>20.0</v>
      </c>
      <c r="G5164" s="9">
        <v>20.0</v>
      </c>
    </row>
    <row r="5165" ht="14.25" hidden="1" customHeight="1">
      <c r="B5165" s="7" t="s">
        <v>14</v>
      </c>
      <c r="C5165" s="7" t="s">
        <v>7</v>
      </c>
      <c r="D5165" s="7" t="s">
        <v>10</v>
      </c>
      <c r="E5165" s="7" t="s">
        <v>8</v>
      </c>
      <c r="F5165" s="8">
        <v>20.0</v>
      </c>
      <c r="G5165" s="9">
        <v>10.0</v>
      </c>
    </row>
    <row r="5166" ht="14.25" hidden="1" customHeight="1">
      <c r="B5166" s="7" t="s">
        <v>14</v>
      </c>
      <c r="C5166" s="7" t="s">
        <v>7</v>
      </c>
      <c r="D5166" s="7" t="s">
        <v>32</v>
      </c>
      <c r="E5166" s="7" t="s">
        <v>24</v>
      </c>
      <c r="F5166" s="8">
        <v>20.0</v>
      </c>
      <c r="G5166" s="9">
        <v>10.0</v>
      </c>
    </row>
    <row r="5167" ht="14.25" hidden="1" customHeight="1">
      <c r="B5167" s="7" t="s">
        <v>14</v>
      </c>
      <c r="C5167" s="7" t="s">
        <v>7</v>
      </c>
      <c r="D5167" s="7" t="s">
        <v>31</v>
      </c>
      <c r="E5167" s="7" t="s">
        <v>33</v>
      </c>
      <c r="F5167" s="8">
        <v>20.0</v>
      </c>
      <c r="G5167" s="9">
        <v>10.0</v>
      </c>
    </row>
    <row r="5168" ht="14.25" hidden="1" customHeight="1">
      <c r="B5168" s="7" t="s">
        <v>14</v>
      </c>
      <c r="C5168" s="7" t="s">
        <v>7</v>
      </c>
      <c r="D5168" s="7" t="s">
        <v>8</v>
      </c>
      <c r="E5168" s="7" t="s">
        <v>10</v>
      </c>
      <c r="F5168" s="8">
        <v>20.0</v>
      </c>
      <c r="G5168" s="9">
        <v>10.0</v>
      </c>
    </row>
    <row r="5169" ht="14.25" hidden="1" customHeight="1">
      <c r="B5169" s="7" t="s">
        <v>14</v>
      </c>
      <c r="C5169" s="7" t="s">
        <v>29</v>
      </c>
      <c r="D5169" s="7" t="s">
        <v>33</v>
      </c>
      <c r="E5169" s="7" t="s">
        <v>31</v>
      </c>
      <c r="F5169" s="8">
        <v>19.0</v>
      </c>
      <c r="G5169" s="9">
        <v>19.0</v>
      </c>
    </row>
    <row r="5170" ht="14.25" hidden="1" customHeight="1">
      <c r="B5170" s="7" t="s">
        <v>14</v>
      </c>
      <c r="C5170" s="7" t="s">
        <v>29</v>
      </c>
      <c r="D5170" s="7" t="s">
        <v>31</v>
      </c>
      <c r="E5170" s="7" t="s">
        <v>28</v>
      </c>
      <c r="F5170" s="8">
        <v>19.0</v>
      </c>
      <c r="G5170" s="9">
        <v>19.0</v>
      </c>
    </row>
    <row r="5171" ht="14.25" hidden="1" customHeight="1">
      <c r="B5171" s="7" t="s">
        <v>14</v>
      </c>
      <c r="C5171" s="7" t="s">
        <v>29</v>
      </c>
      <c r="D5171" s="7" t="s">
        <v>31</v>
      </c>
      <c r="E5171" s="7" t="s">
        <v>9</v>
      </c>
      <c r="F5171" s="8">
        <v>19.0</v>
      </c>
      <c r="G5171" s="9">
        <v>19.0</v>
      </c>
    </row>
    <row r="5172" ht="14.25" hidden="1" customHeight="1">
      <c r="B5172" s="7" t="s">
        <v>14</v>
      </c>
      <c r="C5172" s="7" t="s">
        <v>7</v>
      </c>
      <c r="D5172" s="7" t="s">
        <v>33</v>
      </c>
      <c r="E5172" s="7" t="s">
        <v>11</v>
      </c>
      <c r="F5172" s="8">
        <v>18.0</v>
      </c>
      <c r="G5172" s="9">
        <v>9.0</v>
      </c>
    </row>
    <row r="5173" ht="14.25" hidden="1" customHeight="1">
      <c r="B5173" s="7" t="s">
        <v>14</v>
      </c>
      <c r="C5173" s="7" t="s">
        <v>30</v>
      </c>
      <c r="D5173" s="7" t="s">
        <v>33</v>
      </c>
      <c r="E5173" s="7" t="s">
        <v>24</v>
      </c>
      <c r="F5173" s="8">
        <v>18.0</v>
      </c>
      <c r="G5173" s="9">
        <v>9.0</v>
      </c>
    </row>
    <row r="5174" ht="14.25" hidden="1" customHeight="1">
      <c r="B5174" s="7" t="s">
        <v>14</v>
      </c>
      <c r="C5174" s="7" t="s">
        <v>29</v>
      </c>
      <c r="D5174" s="7" t="s">
        <v>33</v>
      </c>
      <c r="E5174" s="7" t="s">
        <v>28</v>
      </c>
      <c r="F5174" s="8">
        <v>17.0</v>
      </c>
      <c r="G5174" s="9">
        <v>17.0</v>
      </c>
    </row>
    <row r="5175" ht="14.25" hidden="1" customHeight="1">
      <c r="B5175" s="7" t="s">
        <v>14</v>
      </c>
      <c r="C5175" s="7" t="s">
        <v>29</v>
      </c>
      <c r="D5175" s="7" t="s">
        <v>10</v>
      </c>
      <c r="E5175" s="7" t="s">
        <v>33</v>
      </c>
      <c r="F5175" s="8">
        <v>17.0</v>
      </c>
      <c r="G5175" s="9">
        <v>17.0</v>
      </c>
    </row>
    <row r="5176" ht="14.25" hidden="1" customHeight="1">
      <c r="B5176" s="7" t="s">
        <v>14</v>
      </c>
      <c r="C5176" s="7" t="s">
        <v>29</v>
      </c>
      <c r="D5176" s="7" t="s">
        <v>8</v>
      </c>
      <c r="E5176" s="7" t="s">
        <v>25</v>
      </c>
      <c r="F5176" s="8">
        <v>17.0</v>
      </c>
      <c r="G5176" s="9">
        <v>17.0</v>
      </c>
    </row>
    <row r="5177" ht="14.25" hidden="1" customHeight="1">
      <c r="B5177" s="7" t="s">
        <v>14</v>
      </c>
      <c r="C5177" s="7" t="s">
        <v>29</v>
      </c>
      <c r="D5177" s="7" t="s">
        <v>8</v>
      </c>
      <c r="E5177" s="7" t="s">
        <v>9</v>
      </c>
      <c r="F5177" s="8">
        <v>17.0</v>
      </c>
      <c r="G5177" s="9">
        <v>17.0</v>
      </c>
    </row>
    <row r="5178" ht="14.25" hidden="1" customHeight="1">
      <c r="B5178" s="7" t="s">
        <v>14</v>
      </c>
      <c r="C5178" s="7" t="s">
        <v>29</v>
      </c>
      <c r="D5178" s="7" t="s">
        <v>9</v>
      </c>
      <c r="E5178" s="7" t="s">
        <v>10</v>
      </c>
      <c r="F5178" s="8">
        <v>16.0</v>
      </c>
      <c r="G5178" s="9">
        <v>16.0</v>
      </c>
    </row>
    <row r="5179" ht="14.25" hidden="1" customHeight="1">
      <c r="B5179" s="7" t="s">
        <v>14</v>
      </c>
      <c r="C5179" s="7" t="s">
        <v>29</v>
      </c>
      <c r="D5179" s="7" t="s">
        <v>10</v>
      </c>
      <c r="E5179" s="7" t="s">
        <v>8</v>
      </c>
      <c r="F5179" s="8">
        <v>16.0</v>
      </c>
      <c r="G5179" s="9">
        <v>16.0</v>
      </c>
    </row>
    <row r="5180" ht="14.25" hidden="1" customHeight="1">
      <c r="B5180" s="7" t="s">
        <v>14</v>
      </c>
      <c r="C5180" s="7" t="s">
        <v>7</v>
      </c>
      <c r="D5180" s="7" t="s">
        <v>31</v>
      </c>
      <c r="E5180" s="7" t="s">
        <v>28</v>
      </c>
      <c r="F5180" s="8">
        <v>16.0</v>
      </c>
      <c r="G5180" s="9">
        <v>8.0</v>
      </c>
    </row>
    <row r="5181" ht="14.25" hidden="1" customHeight="1">
      <c r="B5181" s="7" t="s">
        <v>14</v>
      </c>
      <c r="C5181" s="7" t="s">
        <v>7</v>
      </c>
      <c r="D5181" s="7" t="s">
        <v>8</v>
      </c>
      <c r="E5181" s="7" t="s">
        <v>9</v>
      </c>
      <c r="F5181" s="8">
        <v>16.0</v>
      </c>
      <c r="G5181" s="9">
        <v>16.0</v>
      </c>
    </row>
    <row r="5182" ht="14.25" hidden="1" customHeight="1">
      <c r="B5182" s="7" t="s">
        <v>14</v>
      </c>
      <c r="C5182" s="7" t="s">
        <v>29</v>
      </c>
      <c r="D5182" s="7" t="s">
        <v>33</v>
      </c>
      <c r="E5182" s="7" t="s">
        <v>28</v>
      </c>
      <c r="F5182" s="8">
        <v>15.0</v>
      </c>
      <c r="G5182" s="9">
        <v>15.0</v>
      </c>
    </row>
    <row r="5183" ht="14.25" hidden="1" customHeight="1">
      <c r="B5183" s="7" t="s">
        <v>14</v>
      </c>
      <c r="C5183" s="7" t="s">
        <v>29</v>
      </c>
      <c r="D5183" s="7" t="s">
        <v>11</v>
      </c>
      <c r="E5183" s="7" t="s">
        <v>25</v>
      </c>
      <c r="F5183" s="8">
        <v>15.0</v>
      </c>
      <c r="G5183" s="9">
        <v>15.0</v>
      </c>
    </row>
    <row r="5184" ht="14.25" hidden="1" customHeight="1">
      <c r="B5184" s="7" t="s">
        <v>14</v>
      </c>
      <c r="C5184" s="7" t="s">
        <v>29</v>
      </c>
      <c r="D5184" s="7" t="s">
        <v>9</v>
      </c>
      <c r="E5184" s="7" t="s">
        <v>11</v>
      </c>
      <c r="F5184" s="8">
        <v>15.0</v>
      </c>
      <c r="G5184" s="9">
        <v>15.0</v>
      </c>
    </row>
    <row r="5185" ht="14.25" hidden="1" customHeight="1">
      <c r="B5185" s="7" t="s">
        <v>14</v>
      </c>
      <c r="C5185" s="7" t="s">
        <v>29</v>
      </c>
      <c r="D5185" s="7" t="s">
        <v>31</v>
      </c>
      <c r="E5185" s="7" t="s">
        <v>28</v>
      </c>
      <c r="F5185" s="8">
        <v>15.0</v>
      </c>
      <c r="G5185" s="9">
        <v>15.0</v>
      </c>
    </row>
    <row r="5186" ht="14.25" hidden="1" customHeight="1">
      <c r="B5186" s="7" t="s">
        <v>14</v>
      </c>
      <c r="C5186" s="7" t="s">
        <v>30</v>
      </c>
      <c r="D5186" s="7" t="s">
        <v>25</v>
      </c>
      <c r="E5186" s="7" t="s">
        <v>8</v>
      </c>
      <c r="F5186" s="8">
        <v>14.0</v>
      </c>
      <c r="G5186" s="9">
        <v>7.0</v>
      </c>
    </row>
    <row r="5187" ht="14.25" hidden="1" customHeight="1">
      <c r="B5187" s="7" t="s">
        <v>14</v>
      </c>
      <c r="C5187" s="7" t="s">
        <v>30</v>
      </c>
      <c r="D5187" s="7" t="s">
        <v>11</v>
      </c>
      <c r="E5187" s="7" t="s">
        <v>8</v>
      </c>
      <c r="F5187" s="8">
        <v>14.0</v>
      </c>
      <c r="G5187" s="9">
        <v>7.0</v>
      </c>
    </row>
    <row r="5188" ht="14.25" hidden="1" customHeight="1">
      <c r="B5188" s="7" t="s">
        <v>14</v>
      </c>
      <c r="C5188" s="7" t="s">
        <v>30</v>
      </c>
      <c r="D5188" s="7" t="s">
        <v>10</v>
      </c>
      <c r="E5188" s="7" t="s">
        <v>9</v>
      </c>
      <c r="F5188" s="8">
        <v>14.0</v>
      </c>
      <c r="G5188" s="9">
        <v>7.0</v>
      </c>
    </row>
    <row r="5189" ht="14.25" hidden="1" customHeight="1">
      <c r="B5189" s="7" t="s">
        <v>14</v>
      </c>
      <c r="C5189" s="7" t="s">
        <v>7</v>
      </c>
      <c r="D5189" s="7" t="s">
        <v>31</v>
      </c>
      <c r="E5189" s="7" t="s">
        <v>28</v>
      </c>
      <c r="F5189" s="8">
        <v>14.0</v>
      </c>
      <c r="G5189" s="9">
        <v>7.0</v>
      </c>
    </row>
    <row r="5190" ht="14.25" hidden="1" customHeight="1">
      <c r="B5190" s="7" t="s">
        <v>14</v>
      </c>
      <c r="C5190" s="7" t="s">
        <v>29</v>
      </c>
      <c r="D5190" s="7" t="s">
        <v>25</v>
      </c>
      <c r="E5190" s="7" t="s">
        <v>8</v>
      </c>
      <c r="F5190" s="8">
        <v>13.0</v>
      </c>
      <c r="G5190" s="9">
        <v>13.0</v>
      </c>
    </row>
    <row r="5191" ht="14.25" hidden="1" customHeight="1">
      <c r="B5191" s="7" t="s">
        <v>14</v>
      </c>
      <c r="C5191" s="7" t="s">
        <v>29</v>
      </c>
      <c r="D5191" s="7" t="s">
        <v>9</v>
      </c>
      <c r="E5191" s="7" t="s">
        <v>8</v>
      </c>
      <c r="F5191" s="8">
        <v>13.0</v>
      </c>
      <c r="G5191" s="9">
        <v>13.0</v>
      </c>
    </row>
    <row r="5192" ht="14.25" hidden="1" customHeight="1">
      <c r="B5192" s="7" t="s">
        <v>14</v>
      </c>
      <c r="C5192" s="7" t="s">
        <v>29</v>
      </c>
      <c r="D5192" s="7" t="s">
        <v>31</v>
      </c>
      <c r="E5192" s="7" t="s">
        <v>33</v>
      </c>
      <c r="F5192" s="8">
        <v>13.0</v>
      </c>
      <c r="G5192" s="9">
        <v>13.0</v>
      </c>
    </row>
    <row r="5193" ht="14.25" hidden="1" customHeight="1">
      <c r="B5193" s="7" t="s">
        <v>14</v>
      </c>
      <c r="C5193" s="7" t="s">
        <v>30</v>
      </c>
      <c r="D5193" s="7" t="s">
        <v>25</v>
      </c>
      <c r="E5193" s="7" t="s">
        <v>31</v>
      </c>
      <c r="F5193" s="8">
        <v>12.0</v>
      </c>
      <c r="G5193" s="9">
        <v>6.0</v>
      </c>
    </row>
    <row r="5194" ht="14.25" hidden="1" customHeight="1">
      <c r="B5194" s="7" t="s">
        <v>14</v>
      </c>
      <c r="C5194" s="7" t="s">
        <v>7</v>
      </c>
      <c r="D5194" s="7" t="s">
        <v>10</v>
      </c>
      <c r="E5194" s="7" t="s">
        <v>9</v>
      </c>
      <c r="F5194" s="8">
        <v>12.0</v>
      </c>
      <c r="G5194" s="9">
        <v>6.0</v>
      </c>
    </row>
    <row r="5195" ht="14.25" hidden="1" customHeight="1">
      <c r="B5195" s="7" t="s">
        <v>14</v>
      </c>
      <c r="C5195" s="7" t="s">
        <v>7</v>
      </c>
      <c r="D5195" s="7" t="s">
        <v>10</v>
      </c>
      <c r="E5195" s="7" t="s">
        <v>31</v>
      </c>
      <c r="F5195" s="8">
        <v>12.0</v>
      </c>
      <c r="G5195" s="9">
        <v>6.0</v>
      </c>
    </row>
    <row r="5196" ht="14.25" hidden="1" customHeight="1">
      <c r="B5196" s="7" t="s">
        <v>14</v>
      </c>
      <c r="C5196" s="7" t="s">
        <v>7</v>
      </c>
      <c r="D5196" s="7" t="s">
        <v>32</v>
      </c>
      <c r="E5196" s="7" t="s">
        <v>8</v>
      </c>
      <c r="F5196" s="8">
        <v>12.0</v>
      </c>
      <c r="G5196" s="9">
        <v>6.0</v>
      </c>
    </row>
    <row r="5197" ht="14.25" hidden="1" customHeight="1">
      <c r="B5197" s="7" t="s">
        <v>14</v>
      </c>
      <c r="C5197" s="7" t="s">
        <v>7</v>
      </c>
      <c r="D5197" s="7" t="s">
        <v>31</v>
      </c>
      <c r="E5197" s="7" t="s">
        <v>9</v>
      </c>
      <c r="F5197" s="8">
        <v>12.0</v>
      </c>
      <c r="G5197" s="9">
        <v>6.0</v>
      </c>
    </row>
    <row r="5198" ht="14.25" hidden="1" customHeight="1">
      <c r="B5198" s="7" t="s">
        <v>14</v>
      </c>
      <c r="C5198" s="7" t="s">
        <v>7</v>
      </c>
      <c r="D5198" s="7" t="s">
        <v>31</v>
      </c>
      <c r="E5198" s="7" t="s">
        <v>10</v>
      </c>
      <c r="F5198" s="8">
        <v>12.0</v>
      </c>
      <c r="G5198" s="9">
        <v>6.0</v>
      </c>
    </row>
    <row r="5199" ht="14.25" hidden="1" customHeight="1">
      <c r="B5199" s="7" t="s">
        <v>14</v>
      </c>
      <c r="C5199" s="7" t="s">
        <v>7</v>
      </c>
      <c r="D5199" s="7" t="s">
        <v>31</v>
      </c>
      <c r="E5199" s="7" t="s">
        <v>10</v>
      </c>
      <c r="F5199" s="8">
        <v>12.0</v>
      </c>
      <c r="G5199" s="9">
        <v>6.0</v>
      </c>
    </row>
    <row r="5200" ht="14.25" hidden="1" customHeight="1">
      <c r="B5200" s="7" t="s">
        <v>14</v>
      </c>
      <c r="C5200" s="7" t="s">
        <v>7</v>
      </c>
      <c r="D5200" s="7" t="s">
        <v>31</v>
      </c>
      <c r="E5200" s="7" t="s">
        <v>8</v>
      </c>
      <c r="F5200" s="8">
        <v>12.0</v>
      </c>
      <c r="G5200" s="9">
        <v>6.0</v>
      </c>
    </row>
    <row r="5201" ht="14.25" hidden="1" customHeight="1">
      <c r="B5201" s="7" t="s">
        <v>14</v>
      </c>
      <c r="C5201" s="7" t="s">
        <v>29</v>
      </c>
      <c r="D5201" s="7" t="s">
        <v>8</v>
      </c>
      <c r="E5201" s="7" t="s">
        <v>28</v>
      </c>
      <c r="F5201" s="8">
        <v>12.0</v>
      </c>
      <c r="G5201" s="9">
        <v>12.0</v>
      </c>
    </row>
    <row r="5202" ht="14.25" hidden="1" customHeight="1">
      <c r="B5202" s="7" t="s">
        <v>14</v>
      </c>
      <c r="C5202" s="7" t="s">
        <v>7</v>
      </c>
      <c r="D5202" s="7" t="s">
        <v>8</v>
      </c>
      <c r="E5202" s="7" t="s">
        <v>10</v>
      </c>
      <c r="F5202" s="8">
        <v>12.0</v>
      </c>
      <c r="G5202" s="9">
        <v>6.0</v>
      </c>
    </row>
    <row r="5203" ht="14.25" hidden="1" customHeight="1">
      <c r="B5203" s="7" t="s">
        <v>14</v>
      </c>
      <c r="C5203" s="7" t="s">
        <v>30</v>
      </c>
      <c r="D5203" s="7" t="s">
        <v>33</v>
      </c>
      <c r="E5203" s="7" t="s">
        <v>25</v>
      </c>
      <c r="F5203" s="8">
        <v>10.0</v>
      </c>
      <c r="G5203" s="9">
        <v>5.0</v>
      </c>
    </row>
    <row r="5204" ht="14.25" hidden="1" customHeight="1">
      <c r="B5204" s="7" t="s">
        <v>14</v>
      </c>
      <c r="C5204" s="7" t="s">
        <v>30</v>
      </c>
      <c r="D5204" s="7" t="s">
        <v>33</v>
      </c>
      <c r="E5204" s="7" t="s">
        <v>28</v>
      </c>
      <c r="F5204" s="8">
        <v>10.0</v>
      </c>
      <c r="G5204" s="9">
        <v>5.0</v>
      </c>
    </row>
    <row r="5205" ht="14.25" hidden="1" customHeight="1">
      <c r="B5205" s="7" t="s">
        <v>14</v>
      </c>
      <c r="C5205" s="7" t="s">
        <v>29</v>
      </c>
      <c r="D5205" s="7" t="s">
        <v>9</v>
      </c>
      <c r="E5205" s="7" t="s">
        <v>31</v>
      </c>
      <c r="F5205" s="8">
        <v>10.0</v>
      </c>
      <c r="G5205" s="9">
        <v>10.0</v>
      </c>
    </row>
    <row r="5206" ht="14.25" hidden="1" customHeight="1">
      <c r="B5206" s="7" t="s">
        <v>14</v>
      </c>
      <c r="C5206" s="7" t="s">
        <v>7</v>
      </c>
      <c r="D5206" s="7" t="s">
        <v>9</v>
      </c>
      <c r="E5206" s="7" t="s">
        <v>8</v>
      </c>
      <c r="F5206" s="8">
        <v>10.0</v>
      </c>
      <c r="G5206" s="9">
        <v>5.0</v>
      </c>
    </row>
    <row r="5207" ht="14.25" hidden="1" customHeight="1">
      <c r="B5207" s="7" t="s">
        <v>14</v>
      </c>
      <c r="C5207" s="7" t="s">
        <v>7</v>
      </c>
      <c r="D5207" s="7" t="s">
        <v>24</v>
      </c>
      <c r="E5207" s="7" t="s">
        <v>31</v>
      </c>
      <c r="F5207" s="8">
        <v>10.0</v>
      </c>
      <c r="G5207" s="9">
        <v>5.0</v>
      </c>
    </row>
    <row r="5208" ht="14.25" hidden="1" customHeight="1">
      <c r="B5208" s="7" t="s">
        <v>14</v>
      </c>
      <c r="C5208" s="7" t="s">
        <v>30</v>
      </c>
      <c r="D5208" s="7" t="s">
        <v>24</v>
      </c>
      <c r="E5208" s="7" t="s">
        <v>8</v>
      </c>
      <c r="F5208" s="8">
        <v>10.0</v>
      </c>
      <c r="G5208" s="9">
        <v>5.0</v>
      </c>
    </row>
    <row r="5209" ht="14.25" hidden="1" customHeight="1">
      <c r="B5209" s="7" t="s">
        <v>14</v>
      </c>
      <c r="C5209" s="7" t="s">
        <v>7</v>
      </c>
      <c r="D5209" s="7" t="s">
        <v>10</v>
      </c>
      <c r="E5209" s="7" t="s">
        <v>33</v>
      </c>
      <c r="F5209" s="8">
        <v>10.0</v>
      </c>
      <c r="G5209" s="9">
        <v>5.0</v>
      </c>
    </row>
    <row r="5210" ht="14.25" hidden="1" customHeight="1">
      <c r="B5210" s="7" t="s">
        <v>14</v>
      </c>
      <c r="C5210" s="7" t="s">
        <v>29</v>
      </c>
      <c r="D5210" s="7" t="s">
        <v>10</v>
      </c>
      <c r="E5210" s="7" t="s">
        <v>28</v>
      </c>
      <c r="F5210" s="8">
        <v>10.0</v>
      </c>
      <c r="G5210" s="9">
        <v>10.0</v>
      </c>
    </row>
    <row r="5211" ht="14.25" hidden="1" customHeight="1">
      <c r="B5211" s="7" t="s">
        <v>14</v>
      </c>
      <c r="C5211" s="7" t="s">
        <v>29</v>
      </c>
      <c r="D5211" s="7" t="s">
        <v>10</v>
      </c>
      <c r="E5211" s="7" t="s">
        <v>24</v>
      </c>
      <c r="F5211" s="8">
        <v>10.0</v>
      </c>
      <c r="G5211" s="9">
        <v>10.0</v>
      </c>
    </row>
    <row r="5212" ht="14.25" hidden="1" customHeight="1">
      <c r="B5212" s="7" t="s">
        <v>14</v>
      </c>
      <c r="C5212" s="7" t="s">
        <v>7</v>
      </c>
      <c r="D5212" s="7" t="s">
        <v>10</v>
      </c>
      <c r="E5212" s="7" t="s">
        <v>8</v>
      </c>
      <c r="F5212" s="8">
        <v>10.0</v>
      </c>
      <c r="G5212" s="9">
        <v>5.0</v>
      </c>
    </row>
    <row r="5213" ht="14.25" hidden="1" customHeight="1">
      <c r="B5213" s="7" t="s">
        <v>14</v>
      </c>
      <c r="C5213" s="7" t="s">
        <v>7</v>
      </c>
      <c r="D5213" s="7" t="s">
        <v>32</v>
      </c>
      <c r="E5213" s="7" t="s">
        <v>31</v>
      </c>
      <c r="F5213" s="8">
        <v>10.0</v>
      </c>
      <c r="G5213" s="9">
        <v>5.0</v>
      </c>
    </row>
    <row r="5214" ht="14.25" hidden="1" customHeight="1">
      <c r="B5214" s="7" t="s">
        <v>14</v>
      </c>
      <c r="C5214" s="7" t="s">
        <v>30</v>
      </c>
      <c r="D5214" s="7" t="s">
        <v>31</v>
      </c>
      <c r="E5214" s="7" t="s">
        <v>33</v>
      </c>
      <c r="F5214" s="8">
        <v>10.0</v>
      </c>
      <c r="G5214" s="9">
        <v>5.0</v>
      </c>
    </row>
    <row r="5215" ht="14.25" hidden="1" customHeight="1">
      <c r="B5215" s="7" t="s">
        <v>14</v>
      </c>
      <c r="C5215" s="7" t="s">
        <v>7</v>
      </c>
      <c r="D5215" s="7" t="s">
        <v>8</v>
      </c>
      <c r="E5215" s="7" t="s">
        <v>9</v>
      </c>
      <c r="F5215" s="8">
        <v>10.0</v>
      </c>
      <c r="G5215" s="9">
        <v>5.0</v>
      </c>
    </row>
    <row r="5216" ht="14.25" customHeight="1">
      <c r="B5216" s="7" t="s">
        <v>14</v>
      </c>
      <c r="C5216" s="7" t="s">
        <v>7</v>
      </c>
      <c r="D5216" s="7" t="s">
        <v>8</v>
      </c>
      <c r="E5216" s="7" t="s">
        <v>31</v>
      </c>
      <c r="F5216" s="8">
        <v>10.0</v>
      </c>
      <c r="G5216" s="9">
        <v>5.0</v>
      </c>
    </row>
    <row r="5217" ht="14.25" hidden="1" customHeight="1">
      <c r="B5217" s="7" t="s">
        <v>14</v>
      </c>
      <c r="C5217" s="7" t="s">
        <v>29</v>
      </c>
      <c r="D5217" s="7" t="s">
        <v>9</v>
      </c>
      <c r="E5217" s="7" t="s">
        <v>8</v>
      </c>
      <c r="F5217" s="8">
        <v>9.0</v>
      </c>
      <c r="G5217" s="9">
        <v>9.0</v>
      </c>
    </row>
    <row r="5218" ht="14.25" hidden="1" customHeight="1">
      <c r="B5218" s="7" t="s">
        <v>14</v>
      </c>
      <c r="C5218" s="7" t="s">
        <v>29</v>
      </c>
      <c r="D5218" s="7" t="s">
        <v>32</v>
      </c>
      <c r="E5218" s="7" t="s">
        <v>28</v>
      </c>
      <c r="F5218" s="8">
        <v>9.0</v>
      </c>
      <c r="G5218" s="9">
        <v>9.0</v>
      </c>
    </row>
    <row r="5219" ht="14.25" hidden="1" customHeight="1">
      <c r="B5219" s="7" t="s">
        <v>14</v>
      </c>
      <c r="C5219" s="7" t="s">
        <v>29</v>
      </c>
      <c r="D5219" s="7" t="s">
        <v>8</v>
      </c>
      <c r="E5219" s="7" t="s">
        <v>10</v>
      </c>
      <c r="F5219" s="8">
        <v>9.0</v>
      </c>
      <c r="G5219" s="9">
        <v>9.0</v>
      </c>
    </row>
    <row r="5220" ht="14.25" hidden="1" customHeight="1">
      <c r="B5220" s="7" t="s">
        <v>14</v>
      </c>
      <c r="C5220" s="7" t="s">
        <v>29</v>
      </c>
      <c r="D5220" s="7" t="s">
        <v>25</v>
      </c>
      <c r="E5220" s="7" t="s">
        <v>33</v>
      </c>
      <c r="F5220" s="8">
        <v>8.0</v>
      </c>
      <c r="G5220" s="9">
        <v>8.0</v>
      </c>
    </row>
    <row r="5221" ht="14.25" hidden="1" customHeight="1">
      <c r="B5221" s="7" t="s">
        <v>14</v>
      </c>
      <c r="C5221" s="7" t="s">
        <v>29</v>
      </c>
      <c r="D5221" s="7" t="s">
        <v>25</v>
      </c>
      <c r="E5221" s="7" t="s">
        <v>9</v>
      </c>
      <c r="F5221" s="8">
        <v>8.0</v>
      </c>
      <c r="G5221" s="9">
        <v>8.0</v>
      </c>
    </row>
    <row r="5222" ht="14.25" hidden="1" customHeight="1">
      <c r="B5222" s="7" t="s">
        <v>14</v>
      </c>
      <c r="C5222" s="7" t="s">
        <v>7</v>
      </c>
      <c r="D5222" s="7" t="s">
        <v>33</v>
      </c>
      <c r="E5222" s="7" t="s">
        <v>9</v>
      </c>
      <c r="F5222" s="8">
        <v>8.0</v>
      </c>
      <c r="G5222" s="9">
        <v>4.0</v>
      </c>
    </row>
    <row r="5223" ht="14.25" hidden="1" customHeight="1">
      <c r="B5223" s="7" t="s">
        <v>14</v>
      </c>
      <c r="C5223" s="7" t="s">
        <v>30</v>
      </c>
      <c r="D5223" s="7" t="s">
        <v>33</v>
      </c>
      <c r="E5223" s="7" t="s">
        <v>31</v>
      </c>
      <c r="F5223" s="8">
        <v>8.0</v>
      </c>
      <c r="G5223" s="9">
        <v>4.0</v>
      </c>
    </row>
    <row r="5224" ht="14.25" hidden="1" customHeight="1">
      <c r="B5224" s="7" t="s">
        <v>14</v>
      </c>
      <c r="C5224" s="7" t="s">
        <v>29</v>
      </c>
      <c r="D5224" s="7" t="s">
        <v>28</v>
      </c>
      <c r="E5224" s="7" t="s">
        <v>8</v>
      </c>
      <c r="F5224" s="8">
        <v>8.0</v>
      </c>
      <c r="G5224" s="9">
        <v>8.0</v>
      </c>
    </row>
    <row r="5225" ht="14.25" hidden="1" customHeight="1">
      <c r="B5225" s="7" t="s">
        <v>14</v>
      </c>
      <c r="C5225" s="7" t="s">
        <v>7</v>
      </c>
      <c r="D5225" s="7" t="s">
        <v>11</v>
      </c>
      <c r="E5225" s="7" t="s">
        <v>25</v>
      </c>
      <c r="F5225" s="8">
        <v>8.0</v>
      </c>
      <c r="G5225" s="9">
        <v>4.0</v>
      </c>
    </row>
    <row r="5226" ht="14.25" hidden="1" customHeight="1">
      <c r="B5226" s="7" t="s">
        <v>14</v>
      </c>
      <c r="C5226" s="7" t="s">
        <v>7</v>
      </c>
      <c r="D5226" s="7" t="s">
        <v>11</v>
      </c>
      <c r="E5226" s="7" t="s">
        <v>10</v>
      </c>
      <c r="F5226" s="8">
        <v>8.0</v>
      </c>
      <c r="G5226" s="9">
        <v>4.0</v>
      </c>
    </row>
    <row r="5227" ht="14.25" hidden="1" customHeight="1">
      <c r="B5227" s="7" t="s">
        <v>14</v>
      </c>
      <c r="C5227" s="7" t="s">
        <v>30</v>
      </c>
      <c r="D5227" s="7" t="s">
        <v>11</v>
      </c>
      <c r="E5227" s="7" t="s">
        <v>10</v>
      </c>
      <c r="F5227" s="8">
        <v>8.0</v>
      </c>
      <c r="G5227" s="9">
        <v>4.0</v>
      </c>
    </row>
    <row r="5228" ht="14.25" hidden="1" customHeight="1">
      <c r="B5228" s="7" t="s">
        <v>14</v>
      </c>
      <c r="C5228" s="7" t="s">
        <v>7</v>
      </c>
      <c r="D5228" s="7" t="s">
        <v>11</v>
      </c>
      <c r="E5228" s="7" t="s">
        <v>32</v>
      </c>
      <c r="F5228" s="8">
        <v>8.0</v>
      </c>
      <c r="G5228" s="9">
        <v>4.0</v>
      </c>
    </row>
    <row r="5229" ht="14.25" hidden="1" customHeight="1">
      <c r="B5229" s="7" t="s">
        <v>14</v>
      </c>
      <c r="C5229" s="7" t="s">
        <v>30</v>
      </c>
      <c r="D5229" s="7" t="s">
        <v>34</v>
      </c>
      <c r="E5229" s="7" t="s">
        <v>8</v>
      </c>
      <c r="F5229" s="8">
        <v>8.0</v>
      </c>
      <c r="G5229" s="9">
        <v>4.0</v>
      </c>
    </row>
    <row r="5230" ht="14.25" hidden="1" customHeight="1">
      <c r="B5230" s="7" t="s">
        <v>14</v>
      </c>
      <c r="C5230" s="7" t="s">
        <v>7</v>
      </c>
      <c r="D5230" s="7" t="s">
        <v>10</v>
      </c>
      <c r="E5230" s="7" t="s">
        <v>25</v>
      </c>
      <c r="F5230" s="8">
        <v>8.0</v>
      </c>
      <c r="G5230" s="9">
        <v>4.0</v>
      </c>
    </row>
    <row r="5231" ht="14.25" hidden="1" customHeight="1">
      <c r="B5231" s="7" t="s">
        <v>14</v>
      </c>
      <c r="C5231" s="7" t="s">
        <v>30</v>
      </c>
      <c r="D5231" s="7" t="s">
        <v>10</v>
      </c>
      <c r="E5231" s="7" t="s">
        <v>33</v>
      </c>
      <c r="F5231" s="8">
        <v>8.0</v>
      </c>
      <c r="G5231" s="9">
        <v>4.0</v>
      </c>
    </row>
    <row r="5232" ht="14.25" hidden="1" customHeight="1">
      <c r="B5232" s="7" t="s">
        <v>14</v>
      </c>
      <c r="C5232" s="7" t="s">
        <v>7</v>
      </c>
      <c r="D5232" s="7" t="s">
        <v>32</v>
      </c>
      <c r="E5232" s="7" t="s">
        <v>33</v>
      </c>
      <c r="F5232" s="8">
        <v>8.0</v>
      </c>
      <c r="G5232" s="9">
        <v>4.0</v>
      </c>
    </row>
    <row r="5233" ht="14.25" hidden="1" customHeight="1">
      <c r="B5233" s="7" t="s">
        <v>14</v>
      </c>
      <c r="C5233" s="7" t="s">
        <v>7</v>
      </c>
      <c r="D5233" s="7" t="s">
        <v>32</v>
      </c>
      <c r="E5233" s="7" t="s">
        <v>31</v>
      </c>
      <c r="F5233" s="8">
        <v>8.0</v>
      </c>
      <c r="G5233" s="9">
        <v>4.0</v>
      </c>
    </row>
    <row r="5234" ht="14.25" hidden="1" customHeight="1">
      <c r="B5234" s="7" t="s">
        <v>14</v>
      </c>
      <c r="C5234" s="7" t="s">
        <v>29</v>
      </c>
      <c r="D5234" s="7" t="s">
        <v>31</v>
      </c>
      <c r="E5234" s="7" t="s">
        <v>33</v>
      </c>
      <c r="F5234" s="8">
        <v>8.0</v>
      </c>
      <c r="G5234" s="9">
        <v>8.0</v>
      </c>
    </row>
    <row r="5235" ht="14.25" hidden="1" customHeight="1">
      <c r="B5235" s="7" t="s">
        <v>14</v>
      </c>
      <c r="C5235" s="7" t="s">
        <v>7</v>
      </c>
      <c r="D5235" s="7" t="s">
        <v>31</v>
      </c>
      <c r="E5235" s="7" t="s">
        <v>9</v>
      </c>
      <c r="F5235" s="8">
        <v>8.0</v>
      </c>
      <c r="G5235" s="9">
        <v>4.0</v>
      </c>
    </row>
    <row r="5236" ht="14.25" hidden="1" customHeight="1">
      <c r="B5236" s="7" t="s">
        <v>14</v>
      </c>
      <c r="C5236" s="7" t="s">
        <v>29</v>
      </c>
      <c r="D5236" s="7" t="s">
        <v>8</v>
      </c>
      <c r="E5236" s="7" t="s">
        <v>25</v>
      </c>
      <c r="F5236" s="8">
        <v>8.0</v>
      </c>
      <c r="G5236" s="9">
        <v>8.0</v>
      </c>
    </row>
    <row r="5237" ht="14.25" hidden="1" customHeight="1">
      <c r="B5237" s="7" t="s">
        <v>14</v>
      </c>
      <c r="C5237" s="7" t="s">
        <v>7</v>
      </c>
      <c r="D5237" s="7" t="s">
        <v>8</v>
      </c>
      <c r="E5237" s="7" t="s">
        <v>25</v>
      </c>
      <c r="F5237" s="8">
        <v>8.0</v>
      </c>
      <c r="G5237" s="9">
        <v>4.0</v>
      </c>
    </row>
    <row r="5238" ht="14.25" hidden="1" customHeight="1">
      <c r="B5238" s="7" t="s">
        <v>14</v>
      </c>
      <c r="C5238" s="7" t="s">
        <v>7</v>
      </c>
      <c r="D5238" s="7" t="s">
        <v>8</v>
      </c>
      <c r="E5238" s="7" t="s">
        <v>9</v>
      </c>
      <c r="F5238" s="8">
        <v>8.0</v>
      </c>
      <c r="G5238" s="9">
        <v>4.0</v>
      </c>
    </row>
    <row r="5239" ht="14.25" hidden="1" customHeight="1">
      <c r="B5239" s="7" t="s">
        <v>14</v>
      </c>
      <c r="C5239" s="7" t="s">
        <v>7</v>
      </c>
      <c r="D5239" s="7" t="s">
        <v>8</v>
      </c>
      <c r="E5239" s="7" t="s">
        <v>9</v>
      </c>
      <c r="F5239" s="8">
        <v>8.0</v>
      </c>
      <c r="G5239" s="9">
        <v>4.0</v>
      </c>
    </row>
    <row r="5240" ht="14.25" hidden="1" customHeight="1">
      <c r="B5240" s="7" t="s">
        <v>14</v>
      </c>
      <c r="C5240" s="7" t="s">
        <v>7</v>
      </c>
      <c r="D5240" s="7" t="s">
        <v>8</v>
      </c>
      <c r="E5240" s="7" t="s">
        <v>10</v>
      </c>
      <c r="F5240" s="8">
        <v>8.0</v>
      </c>
      <c r="G5240" s="9">
        <v>4.0</v>
      </c>
    </row>
    <row r="5241" ht="14.25" hidden="1" customHeight="1">
      <c r="B5241" s="7" t="s">
        <v>14</v>
      </c>
      <c r="C5241" s="7" t="s">
        <v>29</v>
      </c>
      <c r="D5241" s="7" t="s">
        <v>9</v>
      </c>
      <c r="E5241" s="7" t="s">
        <v>33</v>
      </c>
      <c r="F5241" s="8">
        <v>7.0</v>
      </c>
      <c r="G5241" s="9">
        <v>7.0</v>
      </c>
    </row>
    <row r="5242" ht="14.25" hidden="1" customHeight="1">
      <c r="B5242" s="7" t="s">
        <v>14</v>
      </c>
      <c r="C5242" s="7" t="s">
        <v>29</v>
      </c>
      <c r="D5242" s="7" t="s">
        <v>9</v>
      </c>
      <c r="E5242" s="7" t="s">
        <v>32</v>
      </c>
      <c r="F5242" s="8">
        <v>7.0</v>
      </c>
      <c r="G5242" s="9">
        <v>7.0</v>
      </c>
    </row>
    <row r="5243" ht="14.25" hidden="1" customHeight="1">
      <c r="B5243" s="7" t="s">
        <v>14</v>
      </c>
      <c r="C5243" s="7" t="s">
        <v>29</v>
      </c>
      <c r="D5243" s="7" t="s">
        <v>9</v>
      </c>
      <c r="E5243" s="7" t="s">
        <v>31</v>
      </c>
      <c r="F5243" s="8">
        <v>7.0</v>
      </c>
      <c r="G5243" s="9">
        <v>7.0</v>
      </c>
    </row>
    <row r="5244" ht="14.25" hidden="1" customHeight="1">
      <c r="B5244" s="7" t="s">
        <v>14</v>
      </c>
      <c r="C5244" s="7" t="s">
        <v>7</v>
      </c>
      <c r="D5244" s="7" t="s">
        <v>25</v>
      </c>
      <c r="E5244" s="7" t="s">
        <v>33</v>
      </c>
      <c r="F5244" s="8">
        <v>6.0</v>
      </c>
      <c r="G5244" s="9">
        <v>3.0</v>
      </c>
    </row>
    <row r="5245" ht="14.25" hidden="1" customHeight="1">
      <c r="B5245" s="7" t="s">
        <v>14</v>
      </c>
      <c r="C5245" s="7" t="s">
        <v>7</v>
      </c>
      <c r="D5245" s="7" t="s">
        <v>25</v>
      </c>
      <c r="E5245" s="7" t="s">
        <v>8</v>
      </c>
      <c r="F5245" s="8">
        <v>6.0</v>
      </c>
      <c r="G5245" s="9">
        <v>3.0</v>
      </c>
    </row>
    <row r="5246" ht="14.25" hidden="1" customHeight="1">
      <c r="B5246" s="7" t="s">
        <v>14</v>
      </c>
      <c r="C5246" s="7" t="s">
        <v>29</v>
      </c>
      <c r="D5246" s="7" t="s">
        <v>33</v>
      </c>
      <c r="E5246" s="7" t="s">
        <v>25</v>
      </c>
      <c r="F5246" s="8">
        <v>6.0</v>
      </c>
      <c r="G5246" s="9">
        <v>6.0</v>
      </c>
    </row>
    <row r="5247" ht="14.25" hidden="1" customHeight="1">
      <c r="B5247" s="7" t="s">
        <v>14</v>
      </c>
      <c r="C5247" s="7" t="s">
        <v>7</v>
      </c>
      <c r="D5247" s="7" t="s">
        <v>33</v>
      </c>
      <c r="E5247" s="7" t="s">
        <v>28</v>
      </c>
      <c r="F5247" s="8">
        <v>6.0</v>
      </c>
      <c r="G5247" s="9">
        <v>3.0</v>
      </c>
    </row>
    <row r="5248" ht="14.25" hidden="1" customHeight="1">
      <c r="B5248" s="7" t="s">
        <v>14</v>
      </c>
      <c r="C5248" s="7" t="s">
        <v>29</v>
      </c>
      <c r="D5248" s="7" t="s">
        <v>33</v>
      </c>
      <c r="E5248" s="7" t="s">
        <v>32</v>
      </c>
      <c r="F5248" s="8">
        <v>6.0</v>
      </c>
      <c r="G5248" s="9">
        <v>6.0</v>
      </c>
    </row>
    <row r="5249" ht="14.25" hidden="1" customHeight="1">
      <c r="B5249" s="7" t="s">
        <v>14</v>
      </c>
      <c r="C5249" s="7" t="s">
        <v>7</v>
      </c>
      <c r="D5249" s="7" t="s">
        <v>33</v>
      </c>
      <c r="E5249" s="7" t="s">
        <v>31</v>
      </c>
      <c r="F5249" s="8">
        <v>6.0</v>
      </c>
      <c r="G5249" s="9">
        <v>3.0</v>
      </c>
    </row>
    <row r="5250" ht="14.25" hidden="1" customHeight="1">
      <c r="B5250" s="7" t="s">
        <v>14</v>
      </c>
      <c r="C5250" s="7" t="s">
        <v>30</v>
      </c>
      <c r="D5250" s="7" t="s">
        <v>28</v>
      </c>
      <c r="E5250" s="7" t="s">
        <v>31</v>
      </c>
      <c r="F5250" s="8">
        <v>6.0</v>
      </c>
      <c r="G5250" s="9">
        <v>3.0</v>
      </c>
    </row>
    <row r="5251" ht="14.25" hidden="1" customHeight="1">
      <c r="B5251" s="7" t="s">
        <v>14</v>
      </c>
      <c r="C5251" s="7" t="s">
        <v>7</v>
      </c>
      <c r="D5251" s="7" t="s">
        <v>9</v>
      </c>
      <c r="E5251" s="7" t="s">
        <v>28</v>
      </c>
      <c r="F5251" s="8">
        <v>6.0</v>
      </c>
      <c r="G5251" s="9">
        <v>3.0</v>
      </c>
    </row>
    <row r="5252" ht="14.25" hidden="1" customHeight="1">
      <c r="B5252" s="7" t="s">
        <v>14</v>
      </c>
      <c r="C5252" s="7" t="s">
        <v>30</v>
      </c>
      <c r="D5252" s="7" t="s">
        <v>9</v>
      </c>
      <c r="E5252" s="7" t="s">
        <v>31</v>
      </c>
      <c r="F5252" s="8">
        <v>6.0</v>
      </c>
      <c r="G5252" s="9">
        <v>3.0</v>
      </c>
    </row>
    <row r="5253" ht="14.25" hidden="1" customHeight="1">
      <c r="B5253" s="7" t="s">
        <v>14</v>
      </c>
      <c r="C5253" s="7" t="s">
        <v>7</v>
      </c>
      <c r="D5253" s="7" t="s">
        <v>9</v>
      </c>
      <c r="E5253" s="7" t="s">
        <v>8</v>
      </c>
      <c r="F5253" s="8">
        <v>6.0</v>
      </c>
      <c r="G5253" s="9">
        <v>6.0</v>
      </c>
    </row>
    <row r="5254" ht="14.25" hidden="1" customHeight="1">
      <c r="B5254" s="7" t="s">
        <v>14</v>
      </c>
      <c r="C5254" s="7" t="s">
        <v>7</v>
      </c>
      <c r="D5254" s="7" t="s">
        <v>10</v>
      </c>
      <c r="E5254" s="7" t="s">
        <v>31</v>
      </c>
      <c r="F5254" s="8">
        <v>6.0</v>
      </c>
      <c r="G5254" s="9">
        <v>3.0</v>
      </c>
    </row>
    <row r="5255" ht="14.25" hidden="1" customHeight="1">
      <c r="B5255" s="7" t="s">
        <v>14</v>
      </c>
      <c r="C5255" s="7" t="s">
        <v>29</v>
      </c>
      <c r="D5255" s="7" t="s">
        <v>10</v>
      </c>
      <c r="E5255" s="7" t="s">
        <v>8</v>
      </c>
      <c r="F5255" s="8">
        <v>6.0</v>
      </c>
      <c r="G5255" s="9">
        <v>6.0</v>
      </c>
    </row>
    <row r="5256" ht="14.25" hidden="1" customHeight="1">
      <c r="B5256" s="7" t="s">
        <v>14</v>
      </c>
      <c r="C5256" s="7" t="s">
        <v>7</v>
      </c>
      <c r="D5256" s="7" t="s">
        <v>31</v>
      </c>
      <c r="E5256" s="7" t="s">
        <v>28</v>
      </c>
      <c r="F5256" s="8">
        <v>6.0</v>
      </c>
      <c r="G5256" s="9">
        <v>3.0</v>
      </c>
    </row>
    <row r="5257" ht="14.25" hidden="1" customHeight="1">
      <c r="B5257" s="7" t="s">
        <v>14</v>
      </c>
      <c r="C5257" s="7" t="s">
        <v>29</v>
      </c>
      <c r="D5257" s="7" t="s">
        <v>31</v>
      </c>
      <c r="E5257" s="7" t="s">
        <v>9</v>
      </c>
      <c r="F5257" s="8">
        <v>6.0</v>
      </c>
      <c r="G5257" s="9">
        <v>6.0</v>
      </c>
    </row>
    <row r="5258" ht="14.25" hidden="1" customHeight="1">
      <c r="B5258" s="7" t="s">
        <v>14</v>
      </c>
      <c r="C5258" s="7" t="s">
        <v>30</v>
      </c>
      <c r="D5258" s="7" t="s">
        <v>31</v>
      </c>
      <c r="E5258" s="7" t="s">
        <v>8</v>
      </c>
      <c r="F5258" s="8">
        <v>6.0</v>
      </c>
      <c r="G5258" s="9">
        <v>3.0</v>
      </c>
    </row>
    <row r="5259" ht="14.25" hidden="1" customHeight="1">
      <c r="B5259" s="7" t="s">
        <v>14</v>
      </c>
      <c r="C5259" s="7" t="s">
        <v>7</v>
      </c>
      <c r="D5259" s="7" t="s">
        <v>8</v>
      </c>
      <c r="E5259" s="7" t="s">
        <v>9</v>
      </c>
      <c r="F5259" s="8">
        <v>6.0</v>
      </c>
      <c r="G5259" s="9">
        <v>3.0</v>
      </c>
    </row>
    <row r="5260" ht="14.25" hidden="1" customHeight="1">
      <c r="B5260" s="7" t="s">
        <v>14</v>
      </c>
      <c r="C5260" s="7" t="s">
        <v>7</v>
      </c>
      <c r="D5260" s="7" t="s">
        <v>8</v>
      </c>
      <c r="E5260" s="7" t="s">
        <v>10</v>
      </c>
      <c r="F5260" s="8">
        <v>6.0</v>
      </c>
      <c r="G5260" s="9">
        <v>3.0</v>
      </c>
    </row>
    <row r="5261" ht="14.25" hidden="1" customHeight="1">
      <c r="B5261" s="7" t="s">
        <v>14</v>
      </c>
      <c r="C5261" s="7" t="s">
        <v>29</v>
      </c>
      <c r="D5261" s="7" t="s">
        <v>33</v>
      </c>
      <c r="E5261" s="7" t="s">
        <v>25</v>
      </c>
      <c r="F5261" s="8">
        <v>5.0</v>
      </c>
      <c r="G5261" s="9">
        <v>5.0</v>
      </c>
    </row>
    <row r="5262" ht="14.25" hidden="1" customHeight="1">
      <c r="B5262" s="7" t="s">
        <v>14</v>
      </c>
      <c r="C5262" s="7" t="s">
        <v>29</v>
      </c>
      <c r="D5262" s="7" t="s">
        <v>9</v>
      </c>
      <c r="E5262" s="7" t="s">
        <v>31</v>
      </c>
      <c r="F5262" s="8">
        <v>5.0</v>
      </c>
      <c r="G5262" s="9">
        <v>5.0</v>
      </c>
    </row>
    <row r="5263" ht="14.25" hidden="1" customHeight="1">
      <c r="B5263" s="7" t="s">
        <v>14</v>
      </c>
      <c r="C5263" s="7" t="s">
        <v>29</v>
      </c>
      <c r="D5263" s="7" t="s">
        <v>10</v>
      </c>
      <c r="E5263" s="7" t="s">
        <v>31</v>
      </c>
      <c r="F5263" s="8">
        <v>5.0</v>
      </c>
      <c r="G5263" s="9">
        <v>5.0</v>
      </c>
    </row>
    <row r="5264" ht="14.25" hidden="1" customHeight="1">
      <c r="B5264" s="7" t="s">
        <v>14</v>
      </c>
      <c r="C5264" s="7" t="s">
        <v>29</v>
      </c>
      <c r="D5264" s="7" t="s">
        <v>32</v>
      </c>
      <c r="E5264" s="7" t="s">
        <v>25</v>
      </c>
      <c r="F5264" s="8">
        <v>5.0</v>
      </c>
      <c r="G5264" s="9">
        <v>5.0</v>
      </c>
    </row>
    <row r="5265" ht="14.25" hidden="1" customHeight="1">
      <c r="B5265" s="7" t="s">
        <v>14</v>
      </c>
      <c r="C5265" s="7" t="s">
        <v>29</v>
      </c>
      <c r="D5265" s="7" t="s">
        <v>31</v>
      </c>
      <c r="E5265" s="7" t="s">
        <v>25</v>
      </c>
      <c r="F5265" s="8">
        <v>5.0</v>
      </c>
      <c r="G5265" s="9">
        <v>5.0</v>
      </c>
    </row>
    <row r="5266" ht="14.25" hidden="1" customHeight="1">
      <c r="B5266" s="7" t="s">
        <v>14</v>
      </c>
      <c r="C5266" s="7" t="s">
        <v>7</v>
      </c>
      <c r="D5266" s="7" t="s">
        <v>25</v>
      </c>
      <c r="E5266" s="7" t="s">
        <v>33</v>
      </c>
      <c r="F5266" s="8">
        <v>4.0</v>
      </c>
      <c r="G5266" s="9">
        <v>4.0</v>
      </c>
    </row>
    <row r="5267" ht="14.25" hidden="1" customHeight="1">
      <c r="B5267" s="7" t="s">
        <v>14</v>
      </c>
      <c r="C5267" s="7" t="s">
        <v>29</v>
      </c>
      <c r="D5267" s="7" t="s">
        <v>33</v>
      </c>
      <c r="E5267" s="7" t="s">
        <v>25</v>
      </c>
      <c r="F5267" s="8">
        <v>4.0</v>
      </c>
      <c r="G5267" s="9">
        <v>4.0</v>
      </c>
    </row>
    <row r="5268" ht="14.25" hidden="1" customHeight="1">
      <c r="B5268" s="7" t="s">
        <v>14</v>
      </c>
      <c r="C5268" s="7" t="s">
        <v>29</v>
      </c>
      <c r="D5268" s="7" t="s">
        <v>33</v>
      </c>
      <c r="E5268" s="7" t="s">
        <v>11</v>
      </c>
      <c r="F5268" s="8">
        <v>4.0</v>
      </c>
      <c r="G5268" s="9">
        <v>4.0</v>
      </c>
    </row>
    <row r="5269" ht="14.25" hidden="1" customHeight="1">
      <c r="B5269" s="7" t="s">
        <v>14</v>
      </c>
      <c r="C5269" s="7" t="s">
        <v>7</v>
      </c>
      <c r="D5269" s="7" t="s">
        <v>33</v>
      </c>
      <c r="E5269" s="7" t="s">
        <v>8</v>
      </c>
      <c r="F5269" s="8">
        <v>4.0</v>
      </c>
      <c r="G5269" s="9">
        <v>4.0</v>
      </c>
    </row>
    <row r="5270" ht="14.25" hidden="1" customHeight="1">
      <c r="B5270" s="7" t="s">
        <v>14</v>
      </c>
      <c r="C5270" s="7" t="s">
        <v>7</v>
      </c>
      <c r="D5270" s="7" t="s">
        <v>33</v>
      </c>
      <c r="E5270" s="7" t="s">
        <v>8</v>
      </c>
      <c r="F5270" s="8">
        <v>4.0</v>
      </c>
      <c r="G5270" s="9">
        <v>2.0</v>
      </c>
    </row>
    <row r="5271" ht="14.25" hidden="1" customHeight="1">
      <c r="B5271" s="7" t="s">
        <v>14</v>
      </c>
      <c r="C5271" s="7" t="s">
        <v>29</v>
      </c>
      <c r="D5271" s="7" t="s">
        <v>28</v>
      </c>
      <c r="E5271" s="7" t="s">
        <v>25</v>
      </c>
      <c r="F5271" s="8">
        <v>4.0</v>
      </c>
      <c r="G5271" s="9">
        <v>4.0</v>
      </c>
    </row>
    <row r="5272" ht="14.25" hidden="1" customHeight="1">
      <c r="B5272" s="7" t="s">
        <v>14</v>
      </c>
      <c r="C5272" s="7" t="s">
        <v>7</v>
      </c>
      <c r="D5272" s="7" t="s">
        <v>28</v>
      </c>
      <c r="E5272" s="7" t="s">
        <v>8</v>
      </c>
      <c r="F5272" s="8">
        <v>4.0</v>
      </c>
      <c r="G5272" s="9">
        <v>4.0</v>
      </c>
    </row>
    <row r="5273" ht="14.25" hidden="1" customHeight="1">
      <c r="B5273" s="7" t="s">
        <v>14</v>
      </c>
      <c r="C5273" s="7" t="s">
        <v>29</v>
      </c>
      <c r="D5273" s="7" t="s">
        <v>11</v>
      </c>
      <c r="E5273" s="7" t="s">
        <v>25</v>
      </c>
      <c r="F5273" s="8">
        <v>4.0</v>
      </c>
      <c r="G5273" s="9">
        <v>4.0</v>
      </c>
    </row>
    <row r="5274" ht="14.25" hidden="1" customHeight="1">
      <c r="B5274" s="7" t="s">
        <v>14</v>
      </c>
      <c r="C5274" s="7" t="s">
        <v>29</v>
      </c>
      <c r="D5274" s="7" t="s">
        <v>11</v>
      </c>
      <c r="E5274" s="7" t="s">
        <v>31</v>
      </c>
      <c r="F5274" s="8">
        <v>4.0</v>
      </c>
      <c r="G5274" s="9">
        <v>4.0</v>
      </c>
    </row>
    <row r="5275" ht="14.25" hidden="1" customHeight="1">
      <c r="B5275" s="7" t="s">
        <v>14</v>
      </c>
      <c r="C5275" s="7" t="s">
        <v>30</v>
      </c>
      <c r="D5275" s="7" t="s">
        <v>11</v>
      </c>
      <c r="E5275" s="7" t="s">
        <v>31</v>
      </c>
      <c r="F5275" s="8">
        <v>4.0</v>
      </c>
      <c r="G5275" s="9">
        <v>2.0</v>
      </c>
    </row>
    <row r="5276" ht="14.25" hidden="1" customHeight="1">
      <c r="B5276" s="7" t="s">
        <v>14</v>
      </c>
      <c r="C5276" s="7" t="s">
        <v>7</v>
      </c>
      <c r="D5276" s="7" t="s">
        <v>11</v>
      </c>
      <c r="E5276" s="7" t="s">
        <v>8</v>
      </c>
      <c r="F5276" s="8">
        <v>4.0</v>
      </c>
      <c r="G5276" s="9">
        <v>2.0</v>
      </c>
    </row>
    <row r="5277" ht="14.25" hidden="1" customHeight="1">
      <c r="B5277" s="7" t="s">
        <v>14</v>
      </c>
      <c r="C5277" s="7" t="s">
        <v>29</v>
      </c>
      <c r="D5277" s="7" t="s">
        <v>34</v>
      </c>
      <c r="E5277" s="7" t="s">
        <v>28</v>
      </c>
      <c r="F5277" s="8">
        <v>4.0</v>
      </c>
      <c r="G5277" s="9">
        <v>4.0</v>
      </c>
    </row>
    <row r="5278" ht="14.25" hidden="1" customHeight="1">
      <c r="B5278" s="7" t="s">
        <v>14</v>
      </c>
      <c r="C5278" s="7" t="s">
        <v>7</v>
      </c>
      <c r="D5278" s="7" t="s">
        <v>34</v>
      </c>
      <c r="E5278" s="7" t="s">
        <v>28</v>
      </c>
      <c r="F5278" s="8">
        <v>4.0</v>
      </c>
      <c r="G5278" s="9">
        <v>2.0</v>
      </c>
    </row>
    <row r="5279" ht="14.25" hidden="1" customHeight="1">
      <c r="B5279" s="7" t="s">
        <v>14</v>
      </c>
      <c r="C5279" s="7" t="s">
        <v>7</v>
      </c>
      <c r="D5279" s="7" t="s">
        <v>9</v>
      </c>
      <c r="E5279" s="7" t="s">
        <v>28</v>
      </c>
      <c r="F5279" s="8">
        <v>4.0</v>
      </c>
      <c r="G5279" s="9">
        <v>2.0</v>
      </c>
    </row>
    <row r="5280" ht="14.25" hidden="1" customHeight="1">
      <c r="B5280" s="7" t="s">
        <v>14</v>
      </c>
      <c r="C5280" s="7" t="s">
        <v>30</v>
      </c>
      <c r="D5280" s="7" t="s">
        <v>24</v>
      </c>
      <c r="E5280" s="7" t="s">
        <v>10</v>
      </c>
      <c r="F5280" s="8">
        <v>4.0</v>
      </c>
      <c r="G5280" s="9">
        <v>2.0</v>
      </c>
    </row>
    <row r="5281" ht="14.25" hidden="1" customHeight="1">
      <c r="B5281" s="7" t="s">
        <v>14</v>
      </c>
      <c r="C5281" s="7" t="s">
        <v>29</v>
      </c>
      <c r="D5281" s="7" t="s">
        <v>10</v>
      </c>
      <c r="E5281" s="7" t="s">
        <v>25</v>
      </c>
      <c r="F5281" s="8">
        <v>4.0</v>
      </c>
      <c r="G5281" s="9">
        <v>4.0</v>
      </c>
    </row>
    <row r="5282" ht="14.25" hidden="1" customHeight="1">
      <c r="B5282" s="7" t="s">
        <v>14</v>
      </c>
      <c r="C5282" s="7" t="s">
        <v>7</v>
      </c>
      <c r="D5282" s="7" t="s">
        <v>10</v>
      </c>
      <c r="E5282" s="7" t="s">
        <v>33</v>
      </c>
      <c r="F5282" s="8">
        <v>4.0</v>
      </c>
      <c r="G5282" s="9">
        <v>2.0</v>
      </c>
    </row>
    <row r="5283" ht="14.25" hidden="1" customHeight="1">
      <c r="B5283" s="7" t="s">
        <v>14</v>
      </c>
      <c r="C5283" s="7" t="s">
        <v>30</v>
      </c>
      <c r="D5283" s="7" t="s">
        <v>10</v>
      </c>
      <c r="E5283" s="7" t="s">
        <v>28</v>
      </c>
      <c r="F5283" s="8">
        <v>4.0</v>
      </c>
      <c r="G5283" s="9">
        <v>2.0</v>
      </c>
    </row>
    <row r="5284" ht="14.25" hidden="1" customHeight="1">
      <c r="B5284" s="7" t="s">
        <v>14</v>
      </c>
      <c r="C5284" s="7" t="s">
        <v>29</v>
      </c>
      <c r="D5284" s="7" t="s">
        <v>10</v>
      </c>
      <c r="E5284" s="7" t="s">
        <v>9</v>
      </c>
      <c r="F5284" s="8">
        <v>4.0</v>
      </c>
      <c r="G5284" s="9">
        <v>4.0</v>
      </c>
    </row>
    <row r="5285" ht="14.25" hidden="1" customHeight="1">
      <c r="B5285" s="7" t="s">
        <v>14</v>
      </c>
      <c r="C5285" s="7" t="s">
        <v>7</v>
      </c>
      <c r="D5285" s="7" t="s">
        <v>10</v>
      </c>
      <c r="E5285" s="7" t="s">
        <v>9</v>
      </c>
      <c r="F5285" s="8">
        <v>4.0</v>
      </c>
      <c r="G5285" s="9">
        <v>2.0</v>
      </c>
    </row>
    <row r="5286" ht="14.25" hidden="1" customHeight="1">
      <c r="B5286" s="7" t="s">
        <v>14</v>
      </c>
      <c r="C5286" s="7" t="s">
        <v>7</v>
      </c>
      <c r="D5286" s="7" t="s">
        <v>10</v>
      </c>
      <c r="E5286" s="7" t="s">
        <v>24</v>
      </c>
      <c r="F5286" s="8">
        <v>4.0</v>
      </c>
      <c r="G5286" s="9">
        <v>2.0</v>
      </c>
    </row>
    <row r="5287" ht="14.25" hidden="1" customHeight="1">
      <c r="B5287" s="7" t="s">
        <v>14</v>
      </c>
      <c r="C5287" s="7" t="s">
        <v>7</v>
      </c>
      <c r="D5287" s="7" t="s">
        <v>32</v>
      </c>
      <c r="E5287" s="7" t="s">
        <v>33</v>
      </c>
      <c r="F5287" s="8">
        <v>4.0</v>
      </c>
      <c r="G5287" s="9">
        <v>2.0</v>
      </c>
    </row>
    <row r="5288" ht="14.25" hidden="1" customHeight="1">
      <c r="B5288" s="7" t="s">
        <v>14</v>
      </c>
      <c r="C5288" s="7" t="s">
        <v>7</v>
      </c>
      <c r="D5288" s="7" t="s">
        <v>32</v>
      </c>
      <c r="E5288" s="7" t="s">
        <v>9</v>
      </c>
      <c r="F5288" s="8">
        <v>4.0</v>
      </c>
      <c r="G5288" s="9">
        <v>2.0</v>
      </c>
    </row>
    <row r="5289" ht="14.25" hidden="1" customHeight="1">
      <c r="B5289" s="7" t="s">
        <v>14</v>
      </c>
      <c r="C5289" s="7" t="s">
        <v>7</v>
      </c>
      <c r="D5289" s="7" t="s">
        <v>31</v>
      </c>
      <c r="E5289" s="7" t="s">
        <v>28</v>
      </c>
      <c r="F5289" s="8">
        <v>4.0</v>
      </c>
      <c r="G5289" s="9">
        <v>2.0</v>
      </c>
    </row>
    <row r="5290" ht="14.25" hidden="1" customHeight="1">
      <c r="B5290" s="7" t="s">
        <v>14</v>
      </c>
      <c r="C5290" s="7" t="s">
        <v>7</v>
      </c>
      <c r="D5290" s="7" t="s">
        <v>31</v>
      </c>
      <c r="E5290" s="7" t="s">
        <v>9</v>
      </c>
      <c r="F5290" s="8">
        <v>4.0</v>
      </c>
      <c r="G5290" s="9">
        <v>4.0</v>
      </c>
    </row>
    <row r="5291" ht="14.25" hidden="1" customHeight="1">
      <c r="B5291" s="7" t="s">
        <v>14</v>
      </c>
      <c r="C5291" s="7" t="s">
        <v>30</v>
      </c>
      <c r="D5291" s="7" t="s">
        <v>31</v>
      </c>
      <c r="E5291" s="7" t="s">
        <v>10</v>
      </c>
      <c r="F5291" s="8">
        <v>4.0</v>
      </c>
      <c r="G5291" s="9">
        <v>2.0</v>
      </c>
    </row>
    <row r="5292" ht="14.25" hidden="1" customHeight="1">
      <c r="B5292" s="7" t="s">
        <v>14</v>
      </c>
      <c r="C5292" s="7" t="s">
        <v>7</v>
      </c>
      <c r="D5292" s="7" t="s">
        <v>8</v>
      </c>
      <c r="E5292" s="7" t="s">
        <v>33</v>
      </c>
      <c r="F5292" s="8">
        <v>4.0</v>
      </c>
      <c r="G5292" s="9">
        <v>2.0</v>
      </c>
    </row>
    <row r="5293" ht="14.25" hidden="1" customHeight="1">
      <c r="B5293" s="7" t="s">
        <v>14</v>
      </c>
      <c r="C5293" s="7" t="s">
        <v>7</v>
      </c>
      <c r="D5293" s="7" t="s">
        <v>8</v>
      </c>
      <c r="E5293" s="7" t="s">
        <v>33</v>
      </c>
      <c r="F5293" s="8">
        <v>4.0</v>
      </c>
      <c r="G5293" s="9">
        <v>2.0</v>
      </c>
    </row>
    <row r="5294" ht="14.25" hidden="1" customHeight="1">
      <c r="B5294" s="7" t="s">
        <v>14</v>
      </c>
      <c r="C5294" s="7" t="s">
        <v>30</v>
      </c>
      <c r="D5294" s="7" t="s">
        <v>8</v>
      </c>
      <c r="E5294" s="7" t="s">
        <v>33</v>
      </c>
      <c r="F5294" s="8">
        <v>4.0</v>
      </c>
      <c r="G5294" s="9">
        <v>2.0</v>
      </c>
    </row>
    <row r="5295" ht="14.25" hidden="1" customHeight="1">
      <c r="B5295" s="7" t="s">
        <v>14</v>
      </c>
      <c r="C5295" s="7" t="s">
        <v>7</v>
      </c>
      <c r="D5295" s="7" t="s">
        <v>8</v>
      </c>
      <c r="E5295" s="7" t="s">
        <v>28</v>
      </c>
      <c r="F5295" s="8">
        <v>4.0</v>
      </c>
      <c r="G5295" s="9">
        <v>2.0</v>
      </c>
    </row>
    <row r="5296" ht="14.25" hidden="1" customHeight="1">
      <c r="B5296" s="7" t="s">
        <v>14</v>
      </c>
      <c r="C5296" s="7" t="s">
        <v>7</v>
      </c>
      <c r="D5296" s="7" t="s">
        <v>8</v>
      </c>
      <c r="E5296" s="7" t="s">
        <v>9</v>
      </c>
      <c r="F5296" s="8">
        <v>4.0</v>
      </c>
      <c r="G5296" s="9">
        <v>2.0</v>
      </c>
    </row>
    <row r="5297" ht="14.25" customHeight="1">
      <c r="B5297" s="7" t="s">
        <v>14</v>
      </c>
      <c r="C5297" s="7" t="s">
        <v>29</v>
      </c>
      <c r="D5297" s="7" t="s">
        <v>8</v>
      </c>
      <c r="E5297" s="7" t="s">
        <v>31</v>
      </c>
      <c r="F5297" s="8">
        <v>4.0</v>
      </c>
      <c r="G5297" s="9">
        <v>4.0</v>
      </c>
    </row>
    <row r="5298" ht="14.25" hidden="1" customHeight="1">
      <c r="B5298" s="7" t="s">
        <v>14</v>
      </c>
      <c r="C5298" s="7" t="s">
        <v>29</v>
      </c>
      <c r="D5298" s="7" t="s">
        <v>25</v>
      </c>
      <c r="E5298" s="7" t="s">
        <v>28</v>
      </c>
      <c r="F5298" s="8">
        <v>3.0</v>
      </c>
      <c r="G5298" s="9">
        <v>3.0</v>
      </c>
    </row>
    <row r="5299" ht="14.25" hidden="1" customHeight="1">
      <c r="B5299" s="7" t="s">
        <v>14</v>
      </c>
      <c r="C5299" s="7" t="s">
        <v>29</v>
      </c>
      <c r="D5299" s="7" t="s">
        <v>25</v>
      </c>
      <c r="E5299" s="7" t="s">
        <v>10</v>
      </c>
      <c r="F5299" s="8">
        <v>3.0</v>
      </c>
      <c r="G5299" s="9">
        <v>3.0</v>
      </c>
    </row>
    <row r="5300" ht="14.25" hidden="1" customHeight="1">
      <c r="B5300" s="7" t="s">
        <v>14</v>
      </c>
      <c r="C5300" s="7" t="s">
        <v>29</v>
      </c>
      <c r="D5300" s="7" t="s">
        <v>28</v>
      </c>
      <c r="E5300" s="7" t="s">
        <v>31</v>
      </c>
      <c r="F5300" s="8">
        <v>3.0</v>
      </c>
      <c r="G5300" s="9">
        <v>3.0</v>
      </c>
    </row>
    <row r="5301" ht="14.25" hidden="1" customHeight="1">
      <c r="B5301" s="7" t="s">
        <v>14</v>
      </c>
      <c r="C5301" s="7" t="s">
        <v>29</v>
      </c>
      <c r="D5301" s="7" t="s">
        <v>34</v>
      </c>
      <c r="E5301" s="7" t="s">
        <v>33</v>
      </c>
      <c r="F5301" s="8">
        <v>3.0</v>
      </c>
      <c r="G5301" s="9">
        <v>3.0</v>
      </c>
    </row>
    <row r="5302" ht="14.25" hidden="1" customHeight="1">
      <c r="B5302" s="7" t="s">
        <v>14</v>
      </c>
      <c r="C5302" s="7" t="s">
        <v>29</v>
      </c>
      <c r="D5302" s="7" t="s">
        <v>34</v>
      </c>
      <c r="E5302" s="7" t="s">
        <v>28</v>
      </c>
      <c r="F5302" s="8">
        <v>3.0</v>
      </c>
      <c r="G5302" s="9">
        <v>3.0</v>
      </c>
    </row>
    <row r="5303" ht="14.25" hidden="1" customHeight="1">
      <c r="B5303" s="7" t="s">
        <v>14</v>
      </c>
      <c r="C5303" s="7" t="s">
        <v>29</v>
      </c>
      <c r="D5303" s="7" t="s">
        <v>9</v>
      </c>
      <c r="E5303" s="7" t="s">
        <v>25</v>
      </c>
      <c r="F5303" s="8">
        <v>3.0</v>
      </c>
      <c r="G5303" s="9">
        <v>3.0</v>
      </c>
    </row>
    <row r="5304" ht="14.25" hidden="1" customHeight="1">
      <c r="B5304" s="7" t="s">
        <v>14</v>
      </c>
      <c r="C5304" s="7" t="s">
        <v>29</v>
      </c>
      <c r="D5304" s="7" t="s">
        <v>9</v>
      </c>
      <c r="E5304" s="7" t="s">
        <v>10</v>
      </c>
      <c r="F5304" s="8">
        <v>3.0</v>
      </c>
      <c r="G5304" s="9">
        <v>3.0</v>
      </c>
    </row>
    <row r="5305" ht="14.25" hidden="1" customHeight="1">
      <c r="B5305" s="7" t="s">
        <v>14</v>
      </c>
      <c r="C5305" s="7" t="s">
        <v>29</v>
      </c>
      <c r="D5305" s="7" t="s">
        <v>10</v>
      </c>
      <c r="E5305" s="7" t="s">
        <v>28</v>
      </c>
      <c r="F5305" s="8">
        <v>3.0</v>
      </c>
      <c r="G5305" s="9">
        <v>3.0</v>
      </c>
    </row>
    <row r="5306" ht="14.25" hidden="1" customHeight="1">
      <c r="B5306" s="7" t="s">
        <v>14</v>
      </c>
      <c r="C5306" s="7" t="s">
        <v>29</v>
      </c>
      <c r="D5306" s="7" t="s">
        <v>32</v>
      </c>
      <c r="E5306" s="7" t="s">
        <v>24</v>
      </c>
      <c r="F5306" s="8">
        <v>3.0</v>
      </c>
      <c r="G5306" s="9">
        <v>3.0</v>
      </c>
    </row>
    <row r="5307" ht="14.25" hidden="1" customHeight="1">
      <c r="B5307" s="7" t="s">
        <v>14</v>
      </c>
      <c r="C5307" s="7" t="s">
        <v>29</v>
      </c>
      <c r="D5307" s="7" t="s">
        <v>32</v>
      </c>
      <c r="E5307" s="7" t="s">
        <v>8</v>
      </c>
      <c r="F5307" s="8">
        <v>3.0</v>
      </c>
      <c r="G5307" s="9">
        <v>3.0</v>
      </c>
    </row>
    <row r="5308" ht="14.25" hidden="1" customHeight="1">
      <c r="B5308" s="7" t="s">
        <v>14</v>
      </c>
      <c r="C5308" s="7" t="s">
        <v>29</v>
      </c>
      <c r="D5308" s="7" t="s">
        <v>8</v>
      </c>
      <c r="E5308" s="7" t="s">
        <v>33</v>
      </c>
      <c r="F5308" s="8">
        <v>3.0</v>
      </c>
      <c r="G5308" s="9">
        <v>3.0</v>
      </c>
    </row>
    <row r="5309" ht="14.25" hidden="1" customHeight="1">
      <c r="B5309" s="7" t="s">
        <v>14</v>
      </c>
      <c r="C5309" s="7" t="s">
        <v>29</v>
      </c>
      <c r="D5309" s="7" t="s">
        <v>8</v>
      </c>
      <c r="E5309" s="7" t="s">
        <v>9</v>
      </c>
      <c r="F5309" s="8">
        <v>3.0</v>
      </c>
      <c r="G5309" s="9">
        <v>3.0</v>
      </c>
    </row>
    <row r="5310" ht="14.25" hidden="1" customHeight="1">
      <c r="B5310" s="7" t="s">
        <v>14</v>
      </c>
      <c r="C5310" s="7" t="s">
        <v>29</v>
      </c>
      <c r="D5310" s="7" t="s">
        <v>25</v>
      </c>
      <c r="E5310" s="7" t="s">
        <v>10</v>
      </c>
      <c r="F5310" s="8">
        <v>2.0</v>
      </c>
      <c r="G5310" s="9">
        <v>2.0</v>
      </c>
    </row>
    <row r="5311" ht="14.25" hidden="1" customHeight="1">
      <c r="B5311" s="7" t="s">
        <v>14</v>
      </c>
      <c r="C5311" s="7" t="s">
        <v>29</v>
      </c>
      <c r="D5311" s="7" t="s">
        <v>25</v>
      </c>
      <c r="E5311" s="7" t="s">
        <v>32</v>
      </c>
      <c r="F5311" s="8">
        <v>2.0</v>
      </c>
      <c r="G5311" s="9">
        <v>2.0</v>
      </c>
    </row>
    <row r="5312" ht="14.25" hidden="1" customHeight="1">
      <c r="B5312" s="7" t="s">
        <v>14</v>
      </c>
      <c r="C5312" s="7" t="s">
        <v>7</v>
      </c>
      <c r="D5312" s="7" t="s">
        <v>25</v>
      </c>
      <c r="E5312" s="7" t="s">
        <v>31</v>
      </c>
      <c r="F5312" s="8">
        <v>2.0</v>
      </c>
      <c r="G5312" s="9">
        <v>2.0</v>
      </c>
    </row>
    <row r="5313" ht="14.25" hidden="1" customHeight="1">
      <c r="B5313" s="7" t="s">
        <v>14</v>
      </c>
      <c r="C5313" s="7" t="s">
        <v>29</v>
      </c>
      <c r="D5313" s="7" t="s">
        <v>25</v>
      </c>
      <c r="E5313" s="7" t="s">
        <v>8</v>
      </c>
      <c r="F5313" s="8">
        <v>2.0</v>
      </c>
      <c r="G5313" s="9">
        <v>2.0</v>
      </c>
    </row>
    <row r="5314" ht="14.25" hidden="1" customHeight="1">
      <c r="B5314" s="7" t="s">
        <v>14</v>
      </c>
      <c r="C5314" s="7" t="s">
        <v>7</v>
      </c>
      <c r="D5314" s="7" t="s">
        <v>25</v>
      </c>
      <c r="E5314" s="7" t="s">
        <v>8</v>
      </c>
      <c r="F5314" s="8">
        <v>2.0</v>
      </c>
      <c r="G5314" s="9">
        <v>1.0</v>
      </c>
    </row>
    <row r="5315" ht="14.25" hidden="1" customHeight="1">
      <c r="B5315" s="7" t="s">
        <v>14</v>
      </c>
      <c r="C5315" s="7" t="s">
        <v>7</v>
      </c>
      <c r="D5315" s="7" t="s">
        <v>33</v>
      </c>
      <c r="E5315" s="7" t="s">
        <v>28</v>
      </c>
      <c r="F5315" s="8">
        <v>2.0</v>
      </c>
      <c r="G5315" s="9">
        <v>1.0</v>
      </c>
    </row>
    <row r="5316" ht="14.25" hidden="1" customHeight="1">
      <c r="B5316" s="7" t="s">
        <v>14</v>
      </c>
      <c r="C5316" s="7" t="s">
        <v>7</v>
      </c>
      <c r="D5316" s="7" t="s">
        <v>33</v>
      </c>
      <c r="E5316" s="7" t="s">
        <v>28</v>
      </c>
      <c r="F5316" s="8">
        <v>2.0</v>
      </c>
      <c r="G5316" s="9">
        <v>1.0</v>
      </c>
    </row>
    <row r="5317" ht="14.25" hidden="1" customHeight="1">
      <c r="B5317" s="7" t="s">
        <v>14</v>
      </c>
      <c r="C5317" s="7" t="s">
        <v>7</v>
      </c>
      <c r="D5317" s="7" t="s">
        <v>33</v>
      </c>
      <c r="E5317" s="7" t="s">
        <v>31</v>
      </c>
      <c r="F5317" s="8">
        <v>2.0</v>
      </c>
      <c r="G5317" s="9">
        <v>1.0</v>
      </c>
    </row>
    <row r="5318" ht="14.25" hidden="1" customHeight="1">
      <c r="B5318" s="7" t="s">
        <v>14</v>
      </c>
      <c r="C5318" s="7" t="s">
        <v>7</v>
      </c>
      <c r="D5318" s="7" t="s">
        <v>33</v>
      </c>
      <c r="E5318" s="7" t="s">
        <v>8</v>
      </c>
      <c r="F5318" s="8">
        <v>2.0</v>
      </c>
      <c r="G5318" s="9">
        <v>1.0</v>
      </c>
    </row>
    <row r="5319" ht="14.25" hidden="1" customHeight="1">
      <c r="B5319" s="7" t="s">
        <v>14</v>
      </c>
      <c r="C5319" s="7" t="s">
        <v>7</v>
      </c>
      <c r="D5319" s="7" t="s">
        <v>33</v>
      </c>
      <c r="E5319" s="7" t="s">
        <v>8</v>
      </c>
      <c r="F5319" s="8">
        <v>2.0</v>
      </c>
      <c r="G5319" s="9">
        <v>1.0</v>
      </c>
    </row>
    <row r="5320" ht="14.25" hidden="1" customHeight="1">
      <c r="B5320" s="7" t="s">
        <v>14</v>
      </c>
      <c r="C5320" s="7" t="s">
        <v>7</v>
      </c>
      <c r="D5320" s="7" t="s">
        <v>28</v>
      </c>
      <c r="E5320" s="7" t="s">
        <v>31</v>
      </c>
      <c r="F5320" s="8">
        <v>2.0</v>
      </c>
      <c r="G5320" s="9">
        <v>1.0</v>
      </c>
    </row>
    <row r="5321" ht="14.25" hidden="1" customHeight="1">
      <c r="B5321" s="7" t="s">
        <v>14</v>
      </c>
      <c r="C5321" s="7" t="s">
        <v>7</v>
      </c>
      <c r="D5321" s="7" t="s">
        <v>28</v>
      </c>
      <c r="E5321" s="7" t="s">
        <v>8</v>
      </c>
      <c r="F5321" s="8">
        <v>2.0</v>
      </c>
      <c r="G5321" s="9">
        <v>1.0</v>
      </c>
    </row>
    <row r="5322" ht="14.25" hidden="1" customHeight="1">
      <c r="B5322" s="7" t="s">
        <v>14</v>
      </c>
      <c r="C5322" s="7" t="s">
        <v>36</v>
      </c>
      <c r="D5322" s="7" t="s">
        <v>11</v>
      </c>
      <c r="E5322" s="7" t="s">
        <v>8</v>
      </c>
      <c r="F5322" s="8">
        <v>2.0</v>
      </c>
      <c r="G5322" s="9">
        <v>2.0</v>
      </c>
    </row>
    <row r="5323" ht="14.25" hidden="1" customHeight="1">
      <c r="B5323" s="7" t="s">
        <v>14</v>
      </c>
      <c r="C5323" s="7" t="s">
        <v>29</v>
      </c>
      <c r="D5323" s="7" t="s">
        <v>34</v>
      </c>
      <c r="E5323" s="7" t="s">
        <v>32</v>
      </c>
      <c r="F5323" s="8">
        <v>2.0</v>
      </c>
      <c r="G5323" s="9">
        <v>2.0</v>
      </c>
    </row>
    <row r="5324" ht="14.25" hidden="1" customHeight="1">
      <c r="B5324" s="7" t="s">
        <v>14</v>
      </c>
      <c r="C5324" s="7" t="s">
        <v>7</v>
      </c>
      <c r="D5324" s="7" t="s">
        <v>34</v>
      </c>
      <c r="E5324" s="7" t="s">
        <v>32</v>
      </c>
      <c r="F5324" s="8">
        <v>2.0</v>
      </c>
      <c r="G5324" s="9">
        <v>1.0</v>
      </c>
    </row>
    <row r="5325" ht="14.25" hidden="1" customHeight="1">
      <c r="B5325" s="7" t="s">
        <v>14</v>
      </c>
      <c r="C5325" s="7" t="s">
        <v>7</v>
      </c>
      <c r="D5325" s="7" t="s">
        <v>34</v>
      </c>
      <c r="E5325" s="7" t="s">
        <v>8</v>
      </c>
      <c r="F5325" s="8">
        <v>2.0</v>
      </c>
      <c r="G5325" s="9">
        <v>1.0</v>
      </c>
    </row>
    <row r="5326" ht="14.25" hidden="1" customHeight="1">
      <c r="B5326" s="7" t="s">
        <v>14</v>
      </c>
      <c r="C5326" s="7" t="s">
        <v>7</v>
      </c>
      <c r="D5326" s="7" t="s">
        <v>9</v>
      </c>
      <c r="E5326" s="7" t="s">
        <v>25</v>
      </c>
      <c r="F5326" s="8">
        <v>2.0</v>
      </c>
      <c r="G5326" s="9">
        <v>2.0</v>
      </c>
    </row>
    <row r="5327" ht="14.25" hidden="1" customHeight="1">
      <c r="B5327" s="7" t="s">
        <v>14</v>
      </c>
      <c r="C5327" s="7" t="s">
        <v>7</v>
      </c>
      <c r="D5327" s="7" t="s">
        <v>9</v>
      </c>
      <c r="E5327" s="7" t="s">
        <v>33</v>
      </c>
      <c r="F5327" s="8">
        <v>2.0</v>
      </c>
      <c r="G5327" s="9">
        <v>1.0</v>
      </c>
    </row>
    <row r="5328" ht="14.25" hidden="1" customHeight="1">
      <c r="B5328" s="7" t="s">
        <v>14</v>
      </c>
      <c r="C5328" s="7" t="s">
        <v>29</v>
      </c>
      <c r="D5328" s="7" t="s">
        <v>9</v>
      </c>
      <c r="E5328" s="7" t="s">
        <v>28</v>
      </c>
      <c r="F5328" s="8">
        <v>2.0</v>
      </c>
      <c r="G5328" s="9">
        <v>2.0</v>
      </c>
    </row>
    <row r="5329" ht="14.25" hidden="1" customHeight="1">
      <c r="B5329" s="7" t="s">
        <v>14</v>
      </c>
      <c r="C5329" s="7" t="s">
        <v>7</v>
      </c>
      <c r="D5329" s="7" t="s">
        <v>9</v>
      </c>
      <c r="E5329" s="7" t="s">
        <v>28</v>
      </c>
      <c r="F5329" s="8">
        <v>2.0</v>
      </c>
      <c r="G5329" s="9">
        <v>1.0</v>
      </c>
    </row>
    <row r="5330" ht="14.25" hidden="1" customHeight="1">
      <c r="B5330" s="7" t="s">
        <v>14</v>
      </c>
      <c r="C5330" s="7" t="s">
        <v>7</v>
      </c>
      <c r="D5330" s="7" t="s">
        <v>9</v>
      </c>
      <c r="E5330" s="7" t="s">
        <v>10</v>
      </c>
      <c r="F5330" s="8">
        <v>2.0</v>
      </c>
      <c r="G5330" s="9">
        <v>1.0</v>
      </c>
    </row>
    <row r="5331" ht="14.25" hidden="1" customHeight="1">
      <c r="B5331" s="7" t="s">
        <v>14</v>
      </c>
      <c r="C5331" s="7" t="s">
        <v>29</v>
      </c>
      <c r="D5331" s="7" t="s">
        <v>9</v>
      </c>
      <c r="E5331" s="7" t="s">
        <v>31</v>
      </c>
      <c r="F5331" s="8">
        <v>2.0</v>
      </c>
      <c r="G5331" s="9">
        <v>2.0</v>
      </c>
    </row>
    <row r="5332" ht="14.25" hidden="1" customHeight="1">
      <c r="B5332" s="7" t="s">
        <v>14</v>
      </c>
      <c r="C5332" s="7" t="s">
        <v>7</v>
      </c>
      <c r="D5332" s="7" t="s">
        <v>9</v>
      </c>
      <c r="E5332" s="7" t="s">
        <v>31</v>
      </c>
      <c r="F5332" s="8">
        <v>2.0</v>
      </c>
      <c r="G5332" s="9">
        <v>1.0</v>
      </c>
    </row>
    <row r="5333" ht="14.25" hidden="1" customHeight="1">
      <c r="B5333" s="7" t="s">
        <v>14</v>
      </c>
      <c r="C5333" s="7" t="s">
        <v>30</v>
      </c>
      <c r="D5333" s="7" t="s">
        <v>9</v>
      </c>
      <c r="E5333" s="7" t="s">
        <v>8</v>
      </c>
      <c r="F5333" s="8">
        <v>2.0</v>
      </c>
      <c r="G5333" s="9">
        <v>1.0</v>
      </c>
    </row>
    <row r="5334" ht="14.25" hidden="1" customHeight="1">
      <c r="B5334" s="7" t="s">
        <v>14</v>
      </c>
      <c r="C5334" s="7" t="s">
        <v>29</v>
      </c>
      <c r="D5334" s="7" t="s">
        <v>24</v>
      </c>
      <c r="E5334" s="7" t="s">
        <v>28</v>
      </c>
      <c r="F5334" s="8">
        <v>2.0</v>
      </c>
      <c r="G5334" s="9">
        <v>2.0</v>
      </c>
    </row>
    <row r="5335" ht="14.25" hidden="1" customHeight="1">
      <c r="B5335" s="7" t="s">
        <v>14</v>
      </c>
      <c r="C5335" s="7" t="s">
        <v>7</v>
      </c>
      <c r="D5335" s="7" t="s">
        <v>24</v>
      </c>
      <c r="E5335" s="7" t="s">
        <v>8</v>
      </c>
      <c r="F5335" s="8">
        <v>2.0</v>
      </c>
      <c r="G5335" s="9">
        <v>1.0</v>
      </c>
    </row>
    <row r="5336" ht="14.25" hidden="1" customHeight="1">
      <c r="B5336" s="7" t="s">
        <v>14</v>
      </c>
      <c r="C5336" s="7" t="s">
        <v>30</v>
      </c>
      <c r="D5336" s="7" t="s">
        <v>10</v>
      </c>
      <c r="E5336" s="7" t="s">
        <v>25</v>
      </c>
      <c r="F5336" s="8">
        <v>2.0</v>
      </c>
      <c r="G5336" s="9">
        <v>1.0</v>
      </c>
    </row>
    <row r="5337" ht="14.25" hidden="1" customHeight="1">
      <c r="B5337" s="7" t="s">
        <v>14</v>
      </c>
      <c r="C5337" s="7" t="s">
        <v>29</v>
      </c>
      <c r="D5337" s="7" t="s">
        <v>10</v>
      </c>
      <c r="E5337" s="7" t="s">
        <v>9</v>
      </c>
      <c r="F5337" s="8">
        <v>2.0</v>
      </c>
      <c r="G5337" s="9">
        <v>2.0</v>
      </c>
    </row>
    <row r="5338" ht="14.25" hidden="1" customHeight="1">
      <c r="B5338" s="7" t="s">
        <v>14</v>
      </c>
      <c r="C5338" s="7" t="s">
        <v>7</v>
      </c>
      <c r="D5338" s="7" t="s">
        <v>10</v>
      </c>
      <c r="E5338" s="7" t="s">
        <v>9</v>
      </c>
      <c r="F5338" s="8">
        <v>2.0</v>
      </c>
      <c r="G5338" s="9">
        <v>1.0</v>
      </c>
    </row>
    <row r="5339" ht="14.25" hidden="1" customHeight="1">
      <c r="B5339" s="7" t="s">
        <v>14</v>
      </c>
      <c r="C5339" s="7" t="s">
        <v>30</v>
      </c>
      <c r="D5339" s="7" t="s">
        <v>10</v>
      </c>
      <c r="E5339" s="7" t="s">
        <v>31</v>
      </c>
      <c r="F5339" s="8">
        <v>2.0</v>
      </c>
      <c r="G5339" s="9">
        <v>1.0</v>
      </c>
    </row>
    <row r="5340" ht="14.25" hidden="1" customHeight="1">
      <c r="B5340" s="7" t="s">
        <v>14</v>
      </c>
      <c r="C5340" s="7" t="s">
        <v>30</v>
      </c>
      <c r="D5340" s="7" t="s">
        <v>32</v>
      </c>
      <c r="E5340" s="7" t="s">
        <v>24</v>
      </c>
      <c r="F5340" s="8">
        <v>2.0</v>
      </c>
      <c r="G5340" s="9">
        <v>1.0</v>
      </c>
    </row>
    <row r="5341" ht="14.25" hidden="1" customHeight="1">
      <c r="B5341" s="7" t="s">
        <v>14</v>
      </c>
      <c r="C5341" s="7" t="s">
        <v>29</v>
      </c>
      <c r="D5341" s="7" t="s">
        <v>32</v>
      </c>
      <c r="E5341" s="7" t="s">
        <v>31</v>
      </c>
      <c r="F5341" s="8">
        <v>2.0</v>
      </c>
      <c r="G5341" s="9">
        <v>2.0</v>
      </c>
    </row>
    <row r="5342" ht="14.25" hidden="1" customHeight="1">
      <c r="B5342" s="7" t="s">
        <v>14</v>
      </c>
      <c r="C5342" s="7" t="s">
        <v>30</v>
      </c>
      <c r="D5342" s="7" t="s">
        <v>32</v>
      </c>
      <c r="E5342" s="7" t="s">
        <v>8</v>
      </c>
      <c r="F5342" s="8">
        <v>2.0</v>
      </c>
      <c r="G5342" s="9">
        <v>1.0</v>
      </c>
    </row>
    <row r="5343" ht="14.25" hidden="1" customHeight="1">
      <c r="B5343" s="7" t="s">
        <v>14</v>
      </c>
      <c r="C5343" s="7" t="s">
        <v>7</v>
      </c>
      <c r="D5343" s="7" t="s">
        <v>31</v>
      </c>
      <c r="E5343" s="7" t="s">
        <v>33</v>
      </c>
      <c r="F5343" s="8">
        <v>2.0</v>
      </c>
      <c r="G5343" s="9">
        <v>2.0</v>
      </c>
    </row>
    <row r="5344" ht="14.25" hidden="1" customHeight="1">
      <c r="B5344" s="7" t="s">
        <v>14</v>
      </c>
      <c r="C5344" s="7" t="s">
        <v>7</v>
      </c>
      <c r="D5344" s="7" t="s">
        <v>31</v>
      </c>
      <c r="E5344" s="7" t="s">
        <v>9</v>
      </c>
      <c r="F5344" s="8">
        <v>2.0</v>
      </c>
      <c r="G5344" s="9">
        <v>1.0</v>
      </c>
    </row>
    <row r="5345" ht="14.25" hidden="1" customHeight="1">
      <c r="B5345" s="7" t="s">
        <v>14</v>
      </c>
      <c r="C5345" s="7" t="s">
        <v>7</v>
      </c>
      <c r="D5345" s="7" t="s">
        <v>31</v>
      </c>
      <c r="E5345" s="7" t="s">
        <v>9</v>
      </c>
      <c r="F5345" s="8">
        <v>2.0</v>
      </c>
      <c r="G5345" s="9">
        <v>1.0</v>
      </c>
    </row>
    <row r="5346" ht="14.25" hidden="1" customHeight="1">
      <c r="B5346" s="7" t="s">
        <v>14</v>
      </c>
      <c r="C5346" s="7" t="s">
        <v>30</v>
      </c>
      <c r="D5346" s="7" t="s">
        <v>31</v>
      </c>
      <c r="E5346" s="7" t="s">
        <v>31</v>
      </c>
      <c r="F5346" s="8">
        <v>2.0</v>
      </c>
      <c r="G5346" s="9">
        <v>1.0</v>
      </c>
    </row>
    <row r="5347" ht="14.25" hidden="1" customHeight="1">
      <c r="B5347" s="7" t="s">
        <v>14</v>
      </c>
      <c r="C5347" s="7" t="s">
        <v>7</v>
      </c>
      <c r="D5347" s="7" t="s">
        <v>31</v>
      </c>
      <c r="E5347" s="7" t="s">
        <v>8</v>
      </c>
      <c r="F5347" s="8">
        <v>2.0</v>
      </c>
      <c r="G5347" s="9">
        <v>2.0</v>
      </c>
    </row>
    <row r="5348" ht="14.25" hidden="1" customHeight="1">
      <c r="B5348" s="7" t="s">
        <v>14</v>
      </c>
      <c r="C5348" s="7" t="s">
        <v>29</v>
      </c>
      <c r="D5348" s="7" t="s">
        <v>31</v>
      </c>
      <c r="E5348" s="7" t="s">
        <v>8</v>
      </c>
      <c r="F5348" s="8">
        <v>2.0</v>
      </c>
      <c r="G5348" s="9">
        <v>2.0</v>
      </c>
    </row>
    <row r="5349" ht="14.25" hidden="1" customHeight="1">
      <c r="B5349" s="7" t="s">
        <v>14</v>
      </c>
      <c r="C5349" s="7" t="s">
        <v>29</v>
      </c>
      <c r="D5349" s="7" t="s">
        <v>8</v>
      </c>
      <c r="E5349" s="7" t="s">
        <v>25</v>
      </c>
      <c r="F5349" s="8">
        <v>2.0</v>
      </c>
      <c r="G5349" s="9">
        <v>2.0</v>
      </c>
    </row>
    <row r="5350" ht="14.25" hidden="1" customHeight="1">
      <c r="B5350" s="7" t="s">
        <v>14</v>
      </c>
      <c r="C5350" s="7" t="s">
        <v>36</v>
      </c>
      <c r="D5350" s="7" t="s">
        <v>8</v>
      </c>
      <c r="E5350" s="7" t="s">
        <v>9</v>
      </c>
      <c r="F5350" s="8">
        <v>2.0</v>
      </c>
      <c r="G5350" s="9">
        <v>2.0</v>
      </c>
    </row>
    <row r="5351" ht="14.25" hidden="1" customHeight="1">
      <c r="B5351" s="7" t="s">
        <v>14</v>
      </c>
      <c r="C5351" s="7" t="s">
        <v>7</v>
      </c>
      <c r="D5351" s="7" t="s">
        <v>8</v>
      </c>
      <c r="E5351" s="7" t="s">
        <v>32</v>
      </c>
      <c r="F5351" s="8">
        <v>2.0</v>
      </c>
      <c r="G5351" s="9">
        <v>1.0</v>
      </c>
    </row>
    <row r="5352" ht="14.25" hidden="1" customHeight="1">
      <c r="B5352" s="7" t="s">
        <v>14</v>
      </c>
      <c r="C5352" s="7" t="s">
        <v>29</v>
      </c>
      <c r="D5352" s="7" t="s">
        <v>25</v>
      </c>
      <c r="E5352" s="7" t="s">
        <v>33</v>
      </c>
      <c r="F5352" s="8">
        <v>1.0</v>
      </c>
      <c r="G5352" s="9">
        <v>1.0</v>
      </c>
    </row>
    <row r="5353" ht="14.25" hidden="1" customHeight="1">
      <c r="B5353" s="7" t="s">
        <v>14</v>
      </c>
      <c r="C5353" s="7" t="s">
        <v>29</v>
      </c>
      <c r="D5353" s="7" t="s">
        <v>25</v>
      </c>
      <c r="E5353" s="7" t="s">
        <v>31</v>
      </c>
      <c r="F5353" s="8">
        <v>1.0</v>
      </c>
      <c r="G5353" s="9">
        <v>1.0</v>
      </c>
    </row>
    <row r="5354" ht="14.25" hidden="1" customHeight="1">
      <c r="B5354" s="7" t="s">
        <v>14</v>
      </c>
      <c r="C5354" s="7" t="s">
        <v>29</v>
      </c>
      <c r="D5354" s="7" t="s">
        <v>33</v>
      </c>
      <c r="E5354" s="7" t="s">
        <v>28</v>
      </c>
      <c r="F5354" s="8">
        <v>1.0</v>
      </c>
      <c r="G5354" s="9">
        <v>1.0</v>
      </c>
    </row>
    <row r="5355" ht="14.25" hidden="1" customHeight="1">
      <c r="B5355" s="7" t="s">
        <v>14</v>
      </c>
      <c r="C5355" s="7" t="s">
        <v>29</v>
      </c>
      <c r="D5355" s="7" t="s">
        <v>33</v>
      </c>
      <c r="E5355" s="7" t="s">
        <v>31</v>
      </c>
      <c r="F5355" s="8">
        <v>1.0</v>
      </c>
      <c r="G5355" s="9">
        <v>1.0</v>
      </c>
    </row>
    <row r="5356" ht="14.25" hidden="1" customHeight="1">
      <c r="B5356" s="7" t="s">
        <v>14</v>
      </c>
      <c r="C5356" s="7" t="s">
        <v>29</v>
      </c>
      <c r="D5356" s="7" t="s">
        <v>33</v>
      </c>
      <c r="E5356" s="7" t="s">
        <v>8</v>
      </c>
      <c r="F5356" s="8">
        <v>1.0</v>
      </c>
      <c r="G5356" s="9">
        <v>1.0</v>
      </c>
    </row>
    <row r="5357" ht="14.25" hidden="1" customHeight="1">
      <c r="B5357" s="7" t="s">
        <v>14</v>
      </c>
      <c r="C5357" s="7" t="s">
        <v>29</v>
      </c>
      <c r="D5357" s="7" t="s">
        <v>28</v>
      </c>
      <c r="E5357" s="7" t="s">
        <v>33</v>
      </c>
      <c r="F5357" s="8">
        <v>1.0</v>
      </c>
      <c r="G5357" s="9">
        <v>1.0</v>
      </c>
    </row>
    <row r="5358" ht="14.25" hidden="1" customHeight="1">
      <c r="B5358" s="7" t="s">
        <v>14</v>
      </c>
      <c r="C5358" s="7" t="s">
        <v>29</v>
      </c>
      <c r="D5358" s="7" t="s">
        <v>28</v>
      </c>
      <c r="E5358" s="7" t="s">
        <v>8</v>
      </c>
      <c r="F5358" s="8">
        <v>1.0</v>
      </c>
      <c r="G5358" s="9">
        <v>1.0</v>
      </c>
    </row>
    <row r="5359" ht="14.25" hidden="1" customHeight="1">
      <c r="B5359" s="7" t="s">
        <v>14</v>
      </c>
      <c r="C5359" s="7" t="s">
        <v>29</v>
      </c>
      <c r="D5359" s="7" t="s">
        <v>11</v>
      </c>
      <c r="E5359" s="7" t="s">
        <v>8</v>
      </c>
      <c r="F5359" s="8">
        <v>1.0</v>
      </c>
      <c r="G5359" s="9">
        <v>1.0</v>
      </c>
    </row>
    <row r="5360" ht="14.25" hidden="1" customHeight="1">
      <c r="B5360" s="7" t="s">
        <v>14</v>
      </c>
      <c r="C5360" s="7" t="s">
        <v>29</v>
      </c>
      <c r="D5360" s="7" t="s">
        <v>9</v>
      </c>
      <c r="E5360" s="7" t="s">
        <v>33</v>
      </c>
      <c r="F5360" s="8">
        <v>1.0</v>
      </c>
      <c r="G5360" s="9">
        <v>1.0</v>
      </c>
    </row>
    <row r="5361" ht="14.25" hidden="1" customHeight="1">
      <c r="B5361" s="7" t="s">
        <v>14</v>
      </c>
      <c r="C5361" s="7" t="s">
        <v>29</v>
      </c>
      <c r="D5361" s="7" t="s">
        <v>9</v>
      </c>
      <c r="E5361" s="7" t="s">
        <v>28</v>
      </c>
      <c r="F5361" s="8">
        <v>1.0</v>
      </c>
      <c r="G5361" s="9">
        <v>1.0</v>
      </c>
    </row>
    <row r="5362" ht="14.25" hidden="1" customHeight="1">
      <c r="B5362" s="7" t="s">
        <v>14</v>
      </c>
      <c r="C5362" s="7" t="s">
        <v>29</v>
      </c>
      <c r="D5362" s="7" t="s">
        <v>9</v>
      </c>
      <c r="E5362" s="7" t="s">
        <v>31</v>
      </c>
      <c r="F5362" s="8">
        <v>1.0</v>
      </c>
      <c r="G5362" s="9">
        <v>1.0</v>
      </c>
    </row>
    <row r="5363" ht="14.25" hidden="1" customHeight="1">
      <c r="B5363" s="7" t="s">
        <v>14</v>
      </c>
      <c r="C5363" s="7" t="s">
        <v>29</v>
      </c>
      <c r="D5363" s="7" t="s">
        <v>24</v>
      </c>
      <c r="E5363" s="7" t="s">
        <v>31</v>
      </c>
      <c r="F5363" s="8">
        <v>1.0</v>
      </c>
      <c r="G5363" s="9">
        <v>1.0</v>
      </c>
    </row>
    <row r="5364" ht="14.25" hidden="1" customHeight="1">
      <c r="B5364" s="7" t="s">
        <v>14</v>
      </c>
      <c r="C5364" s="7" t="s">
        <v>29</v>
      </c>
      <c r="D5364" s="7" t="s">
        <v>10</v>
      </c>
      <c r="E5364" s="7" t="s">
        <v>8</v>
      </c>
      <c r="F5364" s="8">
        <v>1.0</v>
      </c>
      <c r="G5364" s="9">
        <v>1.0</v>
      </c>
    </row>
    <row r="5365" ht="14.25" hidden="1" customHeight="1">
      <c r="B5365" s="7" t="s">
        <v>14</v>
      </c>
      <c r="C5365" s="7" t="s">
        <v>29</v>
      </c>
      <c r="D5365" s="7" t="s">
        <v>32</v>
      </c>
      <c r="E5365" s="7" t="s">
        <v>9</v>
      </c>
      <c r="F5365" s="8">
        <v>1.0</v>
      </c>
      <c r="G5365" s="9">
        <v>1.0</v>
      </c>
    </row>
    <row r="5366" ht="14.25" hidden="1" customHeight="1">
      <c r="B5366" s="7" t="s">
        <v>14</v>
      </c>
      <c r="C5366" s="7" t="s">
        <v>36</v>
      </c>
      <c r="D5366" s="7" t="s">
        <v>32</v>
      </c>
      <c r="E5366" s="7" t="s">
        <v>31</v>
      </c>
      <c r="F5366" s="8">
        <v>1.0</v>
      </c>
      <c r="G5366" s="9">
        <v>1.0</v>
      </c>
    </row>
    <row r="5367" ht="14.25" hidden="1" customHeight="1">
      <c r="B5367" s="7" t="s">
        <v>14</v>
      </c>
      <c r="C5367" s="7" t="s">
        <v>29</v>
      </c>
      <c r="D5367" s="7" t="s">
        <v>32</v>
      </c>
      <c r="E5367" s="7" t="s">
        <v>8</v>
      </c>
      <c r="F5367" s="8">
        <v>1.0</v>
      </c>
      <c r="G5367" s="9">
        <v>1.0</v>
      </c>
    </row>
    <row r="5368" ht="14.25" hidden="1" customHeight="1">
      <c r="B5368" s="7" t="s">
        <v>14</v>
      </c>
      <c r="C5368" s="7" t="s">
        <v>29</v>
      </c>
      <c r="D5368" s="7" t="s">
        <v>31</v>
      </c>
      <c r="E5368" s="7" t="s">
        <v>28</v>
      </c>
      <c r="F5368" s="8">
        <v>1.0</v>
      </c>
      <c r="G5368" s="9">
        <v>1.0</v>
      </c>
    </row>
    <row r="5369" ht="14.25" hidden="1" customHeight="1">
      <c r="B5369" s="7" t="s">
        <v>14</v>
      </c>
      <c r="C5369" s="7" t="s">
        <v>36</v>
      </c>
      <c r="D5369" s="7" t="s">
        <v>31</v>
      </c>
      <c r="E5369" s="7" t="s">
        <v>28</v>
      </c>
      <c r="F5369" s="8">
        <v>1.0</v>
      </c>
      <c r="G5369" s="9">
        <v>1.0</v>
      </c>
    </row>
    <row r="5370" ht="14.25" hidden="1" customHeight="1">
      <c r="B5370" s="7" t="s">
        <v>14</v>
      </c>
      <c r="C5370" s="7" t="s">
        <v>36</v>
      </c>
      <c r="D5370" s="7" t="s">
        <v>31</v>
      </c>
      <c r="E5370" s="7" t="s">
        <v>9</v>
      </c>
      <c r="F5370" s="8">
        <v>1.0</v>
      </c>
      <c r="G5370" s="9">
        <v>1.0</v>
      </c>
    </row>
    <row r="5371" ht="14.25" hidden="1" customHeight="1">
      <c r="B5371" s="7" t="s">
        <v>14</v>
      </c>
      <c r="C5371" s="7" t="s">
        <v>29</v>
      </c>
      <c r="D5371" s="7" t="s">
        <v>8</v>
      </c>
      <c r="E5371" s="7" t="s">
        <v>28</v>
      </c>
      <c r="F5371" s="8">
        <v>1.0</v>
      </c>
      <c r="G5371" s="9">
        <v>1.0</v>
      </c>
    </row>
    <row r="5372" ht="14.25" hidden="1" customHeight="1">
      <c r="B5372" s="7" t="s">
        <v>14</v>
      </c>
      <c r="C5372" s="7" t="s">
        <v>36</v>
      </c>
      <c r="D5372" s="7" t="s">
        <v>8</v>
      </c>
      <c r="E5372" s="7" t="s">
        <v>24</v>
      </c>
      <c r="F5372" s="8">
        <v>1.0</v>
      </c>
      <c r="G5372" s="9">
        <v>1.0</v>
      </c>
    </row>
    <row r="5373" ht="14.25" hidden="1" customHeight="1">
      <c r="B5373" s="7" t="s">
        <v>14</v>
      </c>
      <c r="C5373" s="7" t="s">
        <v>29</v>
      </c>
      <c r="D5373" s="7" t="s">
        <v>8</v>
      </c>
      <c r="E5373" s="7" t="s">
        <v>10</v>
      </c>
      <c r="F5373" s="8">
        <v>1.0</v>
      </c>
      <c r="G5373" s="9">
        <v>1.0</v>
      </c>
    </row>
    <row r="5374" ht="14.25" customHeight="1">
      <c r="B5374" s="7" t="s">
        <v>14</v>
      </c>
      <c r="C5374" s="7" t="s">
        <v>29</v>
      </c>
      <c r="D5374" s="7" t="s">
        <v>8</v>
      </c>
      <c r="E5374" s="7" t="s">
        <v>31</v>
      </c>
      <c r="F5374" s="8">
        <v>1.0</v>
      </c>
      <c r="G5374" s="9">
        <v>1.0</v>
      </c>
    </row>
  </sheetData>
  <autoFilter ref="$B$2:$G$5374">
    <filterColumn colId="2">
      <filters>
        <filter val="AP"/>
        <filter val="MA"/>
        <filter val="SP"/>
      </filters>
    </filterColumn>
    <filterColumn colId="3">
      <filters>
        <filter val="SC"/>
        <filter val="RN"/>
      </filters>
    </filterColumn>
  </autoFilter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43"/>
    <col customWidth="1" min="2" max="2" width="17.71"/>
    <col customWidth="1" min="3" max="3" width="2.86"/>
    <col customWidth="1" min="4" max="4" width="3.71"/>
    <col customWidth="1" min="5" max="11" width="4.71"/>
    <col customWidth="1" min="12" max="12" width="2.71"/>
    <col customWidth="1" min="13" max="14" width="9.43"/>
    <col customWidth="1" min="15" max="15" width="14.71"/>
    <col customWidth="1" min="16" max="16" width="9.86"/>
    <col customWidth="1" min="17" max="18" width="8.86"/>
    <col customWidth="1" min="19" max="26" width="9.86"/>
    <col customWidth="1" min="27" max="27" width="11.43"/>
    <col customWidth="1" min="28" max="28" width="12.71"/>
    <col customWidth="1" min="29" max="30" width="8.71"/>
    <col customWidth="1" min="31" max="32" width="10.71"/>
    <col customWidth="1" min="33" max="35" width="8.71"/>
  </cols>
  <sheetData>
    <row r="1">
      <c r="A1" s="3"/>
      <c r="B1" s="3"/>
    </row>
    <row r="2" ht="14.25" customHeight="1">
      <c r="O2" s="19" t="s">
        <v>39</v>
      </c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1"/>
      <c r="AD2" s="19" t="s">
        <v>40</v>
      </c>
      <c r="AE2" s="20"/>
      <c r="AF2" s="20"/>
      <c r="AG2" s="21"/>
    </row>
    <row r="3" ht="14.25" customHeight="1">
      <c r="O3" s="4" t="s">
        <v>42</v>
      </c>
      <c r="P3" s="4" t="s">
        <v>25</v>
      </c>
      <c r="Q3" s="4" t="s">
        <v>34</v>
      </c>
      <c r="R3" s="4" t="s">
        <v>35</v>
      </c>
      <c r="S3" s="4" t="s">
        <v>28</v>
      </c>
      <c r="T3" s="4" t="s">
        <v>9</v>
      </c>
      <c r="U3" s="4" t="s">
        <v>33</v>
      </c>
      <c r="V3" s="4" t="s">
        <v>11</v>
      </c>
      <c r="W3" s="4" t="s">
        <v>10</v>
      </c>
      <c r="X3" s="4" t="s">
        <v>8</v>
      </c>
      <c r="Y3" s="4" t="s">
        <v>24</v>
      </c>
      <c r="Z3" s="4" t="s">
        <v>31</v>
      </c>
      <c r="AA3" s="4" t="s">
        <v>32</v>
      </c>
      <c r="AB3" s="4" t="s">
        <v>43</v>
      </c>
      <c r="AD3" s="22" t="s">
        <v>44</v>
      </c>
      <c r="AE3" s="23" t="s">
        <v>45</v>
      </c>
      <c r="AF3" s="23" t="s">
        <v>46</v>
      </c>
      <c r="AG3" s="23" t="s">
        <v>47</v>
      </c>
    </row>
    <row r="4" ht="14.25" customHeight="1">
      <c r="O4" s="26" t="s">
        <v>25</v>
      </c>
      <c r="P4" s="27"/>
      <c r="Q4" s="27"/>
      <c r="R4" s="27">
        <v>1.0</v>
      </c>
      <c r="S4" s="27">
        <v>1747.0</v>
      </c>
      <c r="T4" s="27">
        <v>313.0</v>
      </c>
      <c r="U4" s="27">
        <v>329.0</v>
      </c>
      <c r="V4" s="27"/>
      <c r="W4" s="27">
        <v>1002.0</v>
      </c>
      <c r="X4" s="27">
        <v>2513.0</v>
      </c>
      <c r="Y4" s="27"/>
      <c r="Z4" s="27">
        <v>475.0</v>
      </c>
      <c r="AA4" s="27">
        <v>19.0</v>
      </c>
      <c r="AB4" s="27">
        <f t="shared" ref="AB4:AB15" si="1">SUM(P4:AA4)</f>
        <v>6399</v>
      </c>
      <c r="AD4" s="26" t="s">
        <v>25</v>
      </c>
      <c r="AE4" s="27">
        <f>P16</f>
        <v>13472</v>
      </c>
      <c r="AF4" s="27">
        <f t="shared" ref="AF4:AF15" si="2">AB4</f>
        <v>6399</v>
      </c>
      <c r="AG4" s="27">
        <f t="shared" ref="AG4:AG15" si="3">AE4-AF4</f>
        <v>7073</v>
      </c>
    </row>
    <row r="5" ht="14.25" customHeight="1">
      <c r="O5" s="26" t="s">
        <v>34</v>
      </c>
      <c r="P5" s="27"/>
      <c r="Q5" s="27"/>
      <c r="R5" s="27"/>
      <c r="S5" s="27">
        <v>3833.0</v>
      </c>
      <c r="T5" s="27"/>
      <c r="U5" s="27">
        <v>50.0</v>
      </c>
      <c r="V5" s="27"/>
      <c r="W5" s="27"/>
      <c r="X5" s="27">
        <v>3453.0</v>
      </c>
      <c r="Y5" s="27"/>
      <c r="Z5" s="27">
        <v>33.0</v>
      </c>
      <c r="AA5" s="27">
        <v>25.0</v>
      </c>
      <c r="AB5" s="27">
        <f t="shared" si="1"/>
        <v>7394</v>
      </c>
      <c r="AD5" s="26" t="s">
        <v>34</v>
      </c>
      <c r="AE5" s="27">
        <f>Q16</f>
        <v>327</v>
      </c>
      <c r="AF5" s="27">
        <f t="shared" si="2"/>
        <v>7394</v>
      </c>
      <c r="AG5" s="27">
        <f t="shared" si="3"/>
        <v>-7067</v>
      </c>
    </row>
    <row r="6" ht="14.25" customHeight="1">
      <c r="O6" s="26" t="s">
        <v>35</v>
      </c>
      <c r="P6" s="27"/>
      <c r="Q6" s="27"/>
      <c r="R6" s="27"/>
      <c r="S6" s="27">
        <v>9.0</v>
      </c>
      <c r="T6" s="27"/>
      <c r="U6" s="27"/>
      <c r="V6" s="27"/>
      <c r="W6" s="27"/>
      <c r="X6" s="27"/>
      <c r="Y6" s="27"/>
      <c r="Z6" s="27"/>
      <c r="AA6" s="27">
        <v>9.0</v>
      </c>
      <c r="AB6" s="27">
        <f t="shared" si="1"/>
        <v>18</v>
      </c>
      <c r="AD6" s="26" t="s">
        <v>35</v>
      </c>
      <c r="AE6" s="27">
        <f>R16</f>
        <v>1601</v>
      </c>
      <c r="AF6" s="27">
        <f t="shared" si="2"/>
        <v>18</v>
      </c>
      <c r="AG6" s="27">
        <f t="shared" si="3"/>
        <v>1583</v>
      </c>
    </row>
    <row r="7" ht="14.25" customHeight="1">
      <c r="O7" s="26" t="s">
        <v>28</v>
      </c>
      <c r="P7" s="27">
        <v>2926.0</v>
      </c>
      <c r="Q7" s="27">
        <v>327.0</v>
      </c>
      <c r="R7" s="27">
        <v>22.0</v>
      </c>
      <c r="S7" s="27"/>
      <c r="T7" s="27">
        <v>282.0</v>
      </c>
      <c r="U7" s="27">
        <v>491.0</v>
      </c>
      <c r="V7" s="27"/>
      <c r="W7" s="27">
        <v>1239.0</v>
      </c>
      <c r="X7" s="27">
        <v>9135.0</v>
      </c>
      <c r="Y7" s="27"/>
      <c r="Z7" s="27">
        <v>4055.0</v>
      </c>
      <c r="AA7" s="27">
        <v>432.0</v>
      </c>
      <c r="AB7" s="27">
        <f t="shared" si="1"/>
        <v>18909</v>
      </c>
      <c r="AD7" s="26" t="s">
        <v>28</v>
      </c>
      <c r="AE7" s="27">
        <f>S16</f>
        <v>34483</v>
      </c>
      <c r="AF7" s="27">
        <f t="shared" si="2"/>
        <v>18909</v>
      </c>
      <c r="AG7" s="27">
        <f t="shared" si="3"/>
        <v>15574</v>
      </c>
    </row>
    <row r="8" ht="14.25" customHeight="1">
      <c r="O8" s="26" t="s">
        <v>9</v>
      </c>
      <c r="P8" s="27">
        <v>2039.0</v>
      </c>
      <c r="Q8" s="27"/>
      <c r="R8" s="27">
        <v>1.0</v>
      </c>
      <c r="S8" s="27">
        <v>1481.0</v>
      </c>
      <c r="T8" s="27"/>
      <c r="U8" s="27">
        <v>2967.0</v>
      </c>
      <c r="V8" s="27">
        <v>17.0</v>
      </c>
      <c r="W8" s="27">
        <v>1887.0</v>
      </c>
      <c r="X8" s="27">
        <v>8519.0</v>
      </c>
      <c r="Y8" s="27">
        <v>1.0</v>
      </c>
      <c r="Z8" s="27">
        <v>827.0</v>
      </c>
      <c r="AA8" s="27">
        <v>264.0</v>
      </c>
      <c r="AB8" s="27">
        <f t="shared" si="1"/>
        <v>18003</v>
      </c>
      <c r="AD8" s="26" t="s">
        <v>9</v>
      </c>
      <c r="AE8" s="27">
        <f>T16</f>
        <v>27865</v>
      </c>
      <c r="AF8" s="27">
        <f t="shared" si="2"/>
        <v>18003</v>
      </c>
      <c r="AG8" s="27">
        <f t="shared" si="3"/>
        <v>9862</v>
      </c>
    </row>
    <row r="9" ht="14.25" customHeight="1">
      <c r="O9" s="26" t="s">
        <v>33</v>
      </c>
      <c r="P9" s="27">
        <v>407.0</v>
      </c>
      <c r="Q9" s="27"/>
      <c r="R9" s="27"/>
      <c r="S9" s="27">
        <v>779.0</v>
      </c>
      <c r="T9" s="27">
        <v>670.0</v>
      </c>
      <c r="U9" s="27"/>
      <c r="V9" s="27">
        <v>11.0</v>
      </c>
      <c r="W9" s="27">
        <v>565.0</v>
      </c>
      <c r="X9" s="27">
        <v>10907.0</v>
      </c>
      <c r="Y9" s="27">
        <v>56.0</v>
      </c>
      <c r="Z9" s="27">
        <v>289.0</v>
      </c>
      <c r="AA9" s="27">
        <v>145.0</v>
      </c>
      <c r="AB9" s="27">
        <f t="shared" si="1"/>
        <v>13829</v>
      </c>
      <c r="AD9" s="26" t="s">
        <v>33</v>
      </c>
      <c r="AE9" s="27">
        <f>U16</f>
        <v>14720</v>
      </c>
      <c r="AF9" s="27">
        <f t="shared" si="2"/>
        <v>13829</v>
      </c>
      <c r="AG9" s="27">
        <f t="shared" si="3"/>
        <v>891</v>
      </c>
    </row>
    <row r="10" ht="14.25" customHeight="1">
      <c r="O10" s="26" t="s">
        <v>11</v>
      </c>
      <c r="P10" s="27">
        <v>652.0</v>
      </c>
      <c r="Q10" s="27"/>
      <c r="R10" s="27"/>
      <c r="S10" s="27"/>
      <c r="T10" s="27">
        <v>39.0</v>
      </c>
      <c r="U10" s="27"/>
      <c r="V10" s="31"/>
      <c r="W10" s="31">
        <v>38075.0</v>
      </c>
      <c r="X10" s="31">
        <v>5566.0</v>
      </c>
      <c r="Y10" s="31"/>
      <c r="Z10" s="31">
        <v>55.0</v>
      </c>
      <c r="AA10" s="31">
        <v>2.0</v>
      </c>
      <c r="AB10" s="27">
        <f t="shared" si="1"/>
        <v>44389</v>
      </c>
      <c r="AD10" s="26" t="s">
        <v>11</v>
      </c>
      <c r="AE10" s="27">
        <f>V16</f>
        <v>14162</v>
      </c>
      <c r="AF10" s="27">
        <f t="shared" si="2"/>
        <v>44389</v>
      </c>
      <c r="AG10" s="27">
        <f t="shared" si="3"/>
        <v>-30227</v>
      </c>
    </row>
    <row r="11" ht="14.25" customHeight="1">
      <c r="O11" s="26" t="s">
        <v>10</v>
      </c>
      <c r="P11" s="27">
        <v>1770.0</v>
      </c>
      <c r="Q11" s="27"/>
      <c r="R11" s="27"/>
      <c r="S11" s="27">
        <v>322.0</v>
      </c>
      <c r="T11" s="27">
        <v>517.0</v>
      </c>
      <c r="U11" s="27">
        <v>663.0</v>
      </c>
      <c r="V11" s="31">
        <v>9148.0</v>
      </c>
      <c r="W11" s="31"/>
      <c r="X11" s="31">
        <v>1315.0</v>
      </c>
      <c r="Y11" s="31">
        <v>95.0</v>
      </c>
      <c r="Z11" s="31">
        <v>761.0</v>
      </c>
      <c r="AA11" s="31"/>
      <c r="AB11" s="27">
        <f t="shared" si="1"/>
        <v>14591</v>
      </c>
      <c r="AD11" s="26" t="s">
        <v>10</v>
      </c>
      <c r="AE11" s="27">
        <f>W16</f>
        <v>47784</v>
      </c>
      <c r="AF11" s="27">
        <f t="shared" si="2"/>
        <v>14591</v>
      </c>
      <c r="AG11" s="27">
        <f t="shared" si="3"/>
        <v>33193</v>
      </c>
    </row>
    <row r="12" ht="14.25" customHeight="1">
      <c r="O12" s="26" t="s">
        <v>8</v>
      </c>
      <c r="P12" s="27">
        <v>4058.0</v>
      </c>
      <c r="Q12" s="27"/>
      <c r="R12" s="27">
        <v>31.0</v>
      </c>
      <c r="S12" s="27">
        <v>6369.0</v>
      </c>
      <c r="T12" s="27">
        <v>6570.0</v>
      </c>
      <c r="U12" s="27">
        <v>2077.0</v>
      </c>
      <c r="V12" s="31">
        <v>4986.0</v>
      </c>
      <c r="W12" s="31">
        <v>4217.0</v>
      </c>
      <c r="X12" s="31"/>
      <c r="Y12" s="31">
        <v>8785.0</v>
      </c>
      <c r="Z12" s="31">
        <v>4563.0</v>
      </c>
      <c r="AA12" s="31"/>
      <c r="AB12" s="27">
        <f t="shared" si="1"/>
        <v>41656</v>
      </c>
      <c r="AD12" s="26" t="s">
        <v>8</v>
      </c>
      <c r="AE12" s="27">
        <f>X16</f>
        <v>42126</v>
      </c>
      <c r="AF12" s="27">
        <f t="shared" si="2"/>
        <v>41656</v>
      </c>
      <c r="AG12" s="27">
        <f t="shared" si="3"/>
        <v>470</v>
      </c>
    </row>
    <row r="13" ht="14.25" customHeight="1">
      <c r="O13" s="26" t="s">
        <v>24</v>
      </c>
      <c r="P13" s="27"/>
      <c r="Q13" s="27"/>
      <c r="R13" s="27"/>
      <c r="S13" s="27">
        <v>11.0</v>
      </c>
      <c r="T13" s="27"/>
      <c r="U13" s="27">
        <v>11.0</v>
      </c>
      <c r="V13" s="31"/>
      <c r="W13" s="31">
        <v>3.0</v>
      </c>
      <c r="X13" s="31">
        <v>1.0</v>
      </c>
      <c r="Y13" s="31"/>
      <c r="Z13" s="31">
        <v>455.0</v>
      </c>
      <c r="AA13" s="31"/>
      <c r="AB13" s="27">
        <f t="shared" si="1"/>
        <v>481</v>
      </c>
      <c r="AD13" s="26" t="s">
        <v>24</v>
      </c>
      <c r="AE13" s="27">
        <f>Y16</f>
        <v>10534</v>
      </c>
      <c r="AF13" s="27">
        <f t="shared" si="2"/>
        <v>481</v>
      </c>
      <c r="AG13" s="27">
        <f t="shared" si="3"/>
        <v>10053</v>
      </c>
    </row>
    <row r="14" ht="14.25" customHeight="1">
      <c r="O14" s="26" t="s">
        <v>31</v>
      </c>
      <c r="P14" s="27">
        <v>1452.0</v>
      </c>
      <c r="Q14" s="27"/>
      <c r="R14" s="27">
        <v>346.0</v>
      </c>
      <c r="S14" s="27">
        <v>11836.0</v>
      </c>
      <c r="T14" s="27">
        <v>13601.0</v>
      </c>
      <c r="U14" s="27">
        <v>4203.0</v>
      </c>
      <c r="V14" s="31"/>
      <c r="W14" s="31">
        <v>778.0</v>
      </c>
      <c r="X14" s="31">
        <v>256.0</v>
      </c>
      <c r="Y14" s="31">
        <v>1573.0</v>
      </c>
      <c r="Z14" s="31">
        <v>803.0</v>
      </c>
      <c r="AA14" s="31">
        <v>6.0</v>
      </c>
      <c r="AB14" s="27">
        <f t="shared" si="1"/>
        <v>34854</v>
      </c>
      <c r="AD14" s="26" t="s">
        <v>31</v>
      </c>
      <c r="AE14" s="27">
        <f>Z16</f>
        <v>12703</v>
      </c>
      <c r="AF14" s="27">
        <f t="shared" si="2"/>
        <v>34854</v>
      </c>
      <c r="AG14" s="27">
        <f t="shared" si="3"/>
        <v>-22151</v>
      </c>
    </row>
    <row r="15" ht="14.25" customHeight="1">
      <c r="O15" s="26" t="s">
        <v>32</v>
      </c>
      <c r="P15" s="27">
        <v>168.0</v>
      </c>
      <c r="Q15" s="27"/>
      <c r="R15" s="27">
        <v>1200.0</v>
      </c>
      <c r="S15" s="27">
        <v>8096.0</v>
      </c>
      <c r="T15" s="27">
        <v>5873.0</v>
      </c>
      <c r="U15" s="27">
        <v>3929.0</v>
      </c>
      <c r="V15" s="31"/>
      <c r="W15" s="31">
        <v>18.0</v>
      </c>
      <c r="X15" s="31">
        <v>461.0</v>
      </c>
      <c r="Y15" s="31">
        <v>24.0</v>
      </c>
      <c r="Z15" s="31">
        <v>387.0</v>
      </c>
      <c r="AA15" s="31"/>
      <c r="AB15" s="27">
        <f t="shared" si="1"/>
        <v>20156</v>
      </c>
      <c r="AD15" s="26" t="s">
        <v>32</v>
      </c>
      <c r="AE15" s="27">
        <f>AA16</f>
        <v>902</v>
      </c>
      <c r="AF15" s="27">
        <f t="shared" si="2"/>
        <v>20156</v>
      </c>
      <c r="AG15" s="27">
        <f t="shared" si="3"/>
        <v>-19254</v>
      </c>
    </row>
    <row r="16" ht="14.25" customHeight="1">
      <c r="O16" s="32" t="s">
        <v>48</v>
      </c>
      <c r="P16" s="33">
        <f t="shared" ref="P16:AB16" si="4">SUM(P4:P15)</f>
        <v>13472</v>
      </c>
      <c r="Q16" s="33">
        <f t="shared" si="4"/>
        <v>327</v>
      </c>
      <c r="R16" s="33">
        <f t="shared" si="4"/>
        <v>1601</v>
      </c>
      <c r="S16" s="33">
        <f t="shared" si="4"/>
        <v>34483</v>
      </c>
      <c r="T16" s="33">
        <f t="shared" si="4"/>
        <v>27865</v>
      </c>
      <c r="U16" s="33">
        <f t="shared" si="4"/>
        <v>14720</v>
      </c>
      <c r="V16" s="33">
        <f t="shared" si="4"/>
        <v>14162</v>
      </c>
      <c r="W16" s="33">
        <f t="shared" si="4"/>
        <v>47784</v>
      </c>
      <c r="X16" s="33">
        <f t="shared" si="4"/>
        <v>42126</v>
      </c>
      <c r="Y16" s="33">
        <f t="shared" si="4"/>
        <v>10534</v>
      </c>
      <c r="Z16" s="33">
        <f t="shared" si="4"/>
        <v>12703</v>
      </c>
      <c r="AA16" s="33">
        <f t="shared" si="4"/>
        <v>902</v>
      </c>
      <c r="AB16" s="33">
        <f t="shared" si="4"/>
        <v>220679</v>
      </c>
      <c r="AD16" s="32" t="s">
        <v>49</v>
      </c>
      <c r="AE16" s="33">
        <f t="shared" ref="AE16:AF16" si="5">SUM(AE4:AE15)</f>
        <v>220679</v>
      </c>
      <c r="AF16" s="33">
        <f t="shared" si="5"/>
        <v>220679</v>
      </c>
      <c r="AG16" s="33">
        <f>ABS(AG4)+ABS(AG5)+ABS(AG6)+ABS(AG7)+ABS(AG8)+ABS(AG9)+ABS(AG10)+ABS(AG11)+ABS(AG12)+ABS(AG13)+ABS(AG14)+ABS(AG15)</f>
        <v>157398</v>
      </c>
    </row>
    <row r="17" ht="14.25" customHeight="1"/>
    <row r="18" ht="14.25" customHeight="1">
      <c r="O18" s="19" t="s">
        <v>50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1"/>
      <c r="AD18" s="19" t="s">
        <v>51</v>
      </c>
      <c r="AE18" s="20"/>
      <c r="AF18" s="20"/>
      <c r="AG18" s="21"/>
    </row>
    <row r="19" ht="14.25" customHeight="1">
      <c r="O19" s="4" t="s">
        <v>42</v>
      </c>
      <c r="P19" s="4" t="s">
        <v>25</v>
      </c>
      <c r="Q19" s="4" t="s">
        <v>34</v>
      </c>
      <c r="R19" s="4" t="s">
        <v>35</v>
      </c>
      <c r="S19" s="4" t="s">
        <v>28</v>
      </c>
      <c r="T19" s="4" t="s">
        <v>9</v>
      </c>
      <c r="U19" s="4" t="s">
        <v>33</v>
      </c>
      <c r="V19" s="4" t="s">
        <v>11</v>
      </c>
      <c r="W19" s="4" t="s">
        <v>10</v>
      </c>
      <c r="X19" s="4" t="s">
        <v>8</v>
      </c>
      <c r="Y19" s="4" t="s">
        <v>24</v>
      </c>
      <c r="Z19" s="4" t="s">
        <v>31</v>
      </c>
      <c r="AA19" s="4" t="s">
        <v>32</v>
      </c>
      <c r="AB19" s="4" t="s">
        <v>43</v>
      </c>
      <c r="AD19" s="22" t="s">
        <v>44</v>
      </c>
      <c r="AE19" s="23" t="s">
        <v>45</v>
      </c>
      <c r="AF19" s="23" t="s">
        <v>46</v>
      </c>
      <c r="AG19" s="23" t="s">
        <v>47</v>
      </c>
    </row>
    <row r="20" ht="14.25" customHeight="1">
      <c r="O20" s="26" t="s">
        <v>25</v>
      </c>
      <c r="P20" s="34"/>
      <c r="Q20" s="34"/>
      <c r="R20" s="34"/>
      <c r="S20" s="27"/>
      <c r="T20" s="27">
        <v>1.0</v>
      </c>
      <c r="U20" s="27">
        <v>2.0</v>
      </c>
      <c r="V20" s="27"/>
      <c r="W20" s="27"/>
      <c r="X20" s="27"/>
      <c r="Y20" s="27"/>
      <c r="Z20" s="27"/>
      <c r="AA20" s="27"/>
      <c r="AB20" s="27">
        <f t="shared" ref="AB20:AB31" si="6">SUM(P20:AA20)</f>
        <v>3</v>
      </c>
      <c r="AD20" s="26" t="s">
        <v>25</v>
      </c>
      <c r="AE20" s="27">
        <f>P32</f>
        <v>0</v>
      </c>
      <c r="AF20" s="27">
        <f t="shared" ref="AF20:AF31" si="7">AB20</f>
        <v>3</v>
      </c>
      <c r="AG20" s="27">
        <f t="shared" ref="AG20:AG31" si="8">AE20-AF20</f>
        <v>-3</v>
      </c>
    </row>
    <row r="21" ht="14.25" customHeight="1">
      <c r="O21" s="26" t="s">
        <v>34</v>
      </c>
      <c r="P21" s="34"/>
      <c r="Q21" s="34"/>
      <c r="R21" s="34"/>
      <c r="S21" s="27"/>
      <c r="T21" s="27"/>
      <c r="U21" s="27"/>
      <c r="V21" s="27"/>
      <c r="W21" s="27"/>
      <c r="X21" s="27"/>
      <c r="Y21" s="27"/>
      <c r="Z21" s="27"/>
      <c r="AA21" s="27"/>
      <c r="AB21" s="27">
        <f t="shared" si="6"/>
        <v>0</v>
      </c>
      <c r="AD21" s="26" t="s">
        <v>34</v>
      </c>
      <c r="AE21" s="27">
        <f>Q32</f>
        <v>0</v>
      </c>
      <c r="AF21" s="27">
        <f t="shared" si="7"/>
        <v>0</v>
      </c>
      <c r="AG21" s="27">
        <f t="shared" si="8"/>
        <v>0</v>
      </c>
    </row>
    <row r="22" ht="14.25" customHeight="1">
      <c r="O22" s="26" t="s">
        <v>35</v>
      </c>
      <c r="P22" s="34"/>
      <c r="Q22" s="34"/>
      <c r="R22" s="34"/>
      <c r="S22" s="27"/>
      <c r="T22" s="27"/>
      <c r="U22" s="27"/>
      <c r="V22" s="27"/>
      <c r="W22" s="27"/>
      <c r="X22" s="27"/>
      <c r="Y22" s="27"/>
      <c r="Z22" s="27"/>
      <c r="AA22" s="27"/>
      <c r="AB22" s="27">
        <f t="shared" si="6"/>
        <v>0</v>
      </c>
      <c r="AD22" s="26" t="s">
        <v>35</v>
      </c>
      <c r="AE22" s="27">
        <f>R32</f>
        <v>0</v>
      </c>
      <c r="AF22" s="27">
        <f t="shared" si="7"/>
        <v>0</v>
      </c>
      <c r="AG22" s="27">
        <f t="shared" si="8"/>
        <v>0</v>
      </c>
    </row>
    <row r="23" ht="14.25" customHeight="1">
      <c r="O23" s="26" t="s">
        <v>28</v>
      </c>
      <c r="P23" s="34"/>
      <c r="Q23" s="34"/>
      <c r="R23" s="34"/>
      <c r="S23" s="27"/>
      <c r="T23" s="27"/>
      <c r="U23" s="27"/>
      <c r="V23" s="27"/>
      <c r="W23" s="27"/>
      <c r="X23" s="27"/>
      <c r="Y23" s="27"/>
      <c r="Z23" s="27"/>
      <c r="AA23" s="27"/>
      <c r="AB23" s="27">
        <f t="shared" si="6"/>
        <v>0</v>
      </c>
      <c r="AD23" s="26" t="s">
        <v>28</v>
      </c>
      <c r="AE23" s="27">
        <f>S32</f>
        <v>33</v>
      </c>
      <c r="AF23" s="27">
        <f t="shared" si="7"/>
        <v>0</v>
      </c>
      <c r="AG23" s="27">
        <f t="shared" si="8"/>
        <v>33</v>
      </c>
    </row>
    <row r="24" ht="14.25" customHeight="1">
      <c r="O24" s="26" t="s">
        <v>9</v>
      </c>
      <c r="P24" s="34"/>
      <c r="Q24" s="34"/>
      <c r="R24" s="34"/>
      <c r="S24" s="27">
        <v>3.0</v>
      </c>
      <c r="T24" s="27"/>
      <c r="U24" s="27"/>
      <c r="V24" s="27"/>
      <c r="W24" s="27"/>
      <c r="X24" s="27">
        <v>1.0</v>
      </c>
      <c r="Y24" s="27"/>
      <c r="Z24" s="27">
        <v>4.0</v>
      </c>
      <c r="AA24" s="27"/>
      <c r="AB24" s="27">
        <f t="shared" si="6"/>
        <v>8</v>
      </c>
      <c r="AD24" s="26" t="s">
        <v>9</v>
      </c>
      <c r="AE24" s="27">
        <f>T32</f>
        <v>29</v>
      </c>
      <c r="AF24" s="27">
        <f t="shared" si="7"/>
        <v>8</v>
      </c>
      <c r="AG24" s="27">
        <f t="shared" si="8"/>
        <v>21</v>
      </c>
    </row>
    <row r="25" ht="14.25" customHeight="1">
      <c r="O25" s="26" t="s">
        <v>33</v>
      </c>
      <c r="P25" s="34"/>
      <c r="Q25" s="34"/>
      <c r="R25" s="34"/>
      <c r="S25" s="27">
        <v>4.0</v>
      </c>
      <c r="T25" s="27">
        <v>2.0</v>
      </c>
      <c r="U25" s="27"/>
      <c r="V25" s="27"/>
      <c r="W25" s="27"/>
      <c r="X25" s="27">
        <v>2.0</v>
      </c>
      <c r="Y25" s="27"/>
      <c r="Z25" s="27">
        <v>2.0</v>
      </c>
      <c r="AA25" s="27"/>
      <c r="AB25" s="27">
        <f t="shared" si="6"/>
        <v>10</v>
      </c>
      <c r="AD25" s="26" t="s">
        <v>33</v>
      </c>
      <c r="AE25" s="27">
        <f>U32</f>
        <v>4</v>
      </c>
      <c r="AF25" s="27">
        <f t="shared" si="7"/>
        <v>10</v>
      </c>
      <c r="AG25" s="27">
        <f t="shared" si="8"/>
        <v>-6</v>
      </c>
    </row>
    <row r="26" ht="14.25" customHeight="1">
      <c r="O26" s="26" t="s">
        <v>11</v>
      </c>
      <c r="P26" s="34"/>
      <c r="Q26" s="34"/>
      <c r="R26" s="34"/>
      <c r="S26" s="27"/>
      <c r="T26" s="27"/>
      <c r="U26" s="27"/>
      <c r="V26" s="31"/>
      <c r="W26" s="31">
        <v>2.0</v>
      </c>
      <c r="X26" s="31">
        <v>9.0</v>
      </c>
      <c r="Y26" s="31"/>
      <c r="Z26" s="31">
        <v>1.0</v>
      </c>
      <c r="AA26" s="31"/>
      <c r="AB26" s="27">
        <f t="shared" si="6"/>
        <v>12</v>
      </c>
      <c r="AD26" s="26" t="s">
        <v>11</v>
      </c>
      <c r="AE26" s="27">
        <f>V32</f>
        <v>0</v>
      </c>
      <c r="AF26" s="27">
        <f t="shared" si="7"/>
        <v>12</v>
      </c>
      <c r="AG26" s="27">
        <f t="shared" si="8"/>
        <v>-12</v>
      </c>
    </row>
    <row r="27" ht="14.25" customHeight="1">
      <c r="O27" s="26" t="s">
        <v>10</v>
      </c>
      <c r="P27" s="34"/>
      <c r="Q27" s="34"/>
      <c r="R27" s="34"/>
      <c r="S27" s="27">
        <v>1.0</v>
      </c>
      <c r="T27" s="27"/>
      <c r="U27" s="27"/>
      <c r="V27" s="31"/>
      <c r="W27" s="31"/>
      <c r="X27" s="31">
        <v>1.0</v>
      </c>
      <c r="Y27" s="31">
        <v>1.0</v>
      </c>
      <c r="Z27" s="31">
        <v>1.0</v>
      </c>
      <c r="AA27" s="31"/>
      <c r="AB27" s="27">
        <f t="shared" si="6"/>
        <v>4</v>
      </c>
      <c r="AD27" s="26" t="s">
        <v>10</v>
      </c>
      <c r="AE27" s="27">
        <f>W32</f>
        <v>8</v>
      </c>
      <c r="AF27" s="27">
        <f t="shared" si="7"/>
        <v>4</v>
      </c>
      <c r="AG27" s="27">
        <f t="shared" si="8"/>
        <v>4</v>
      </c>
    </row>
    <row r="28" ht="14.25" customHeight="1">
      <c r="O28" s="26" t="s">
        <v>8</v>
      </c>
      <c r="P28" s="34"/>
      <c r="Q28" s="34"/>
      <c r="R28" s="34"/>
      <c r="S28" s="27">
        <v>17.0</v>
      </c>
      <c r="T28" s="27">
        <v>16.0</v>
      </c>
      <c r="U28" s="27">
        <v>2.0</v>
      </c>
      <c r="V28" s="31"/>
      <c r="W28" s="31">
        <v>5.0</v>
      </c>
      <c r="X28" s="31"/>
      <c r="Y28" s="31">
        <v>24.0</v>
      </c>
      <c r="Z28" s="31">
        <v>6.0</v>
      </c>
      <c r="AA28" s="31"/>
      <c r="AB28" s="27">
        <f t="shared" si="6"/>
        <v>70</v>
      </c>
      <c r="AD28" s="26" t="s">
        <v>8</v>
      </c>
      <c r="AE28" s="27">
        <f>X32</f>
        <v>13</v>
      </c>
      <c r="AF28" s="27">
        <f t="shared" si="7"/>
        <v>70</v>
      </c>
      <c r="AG28" s="27">
        <f t="shared" si="8"/>
        <v>-57</v>
      </c>
    </row>
    <row r="29" ht="14.25" customHeight="1">
      <c r="O29" s="26" t="s">
        <v>24</v>
      </c>
      <c r="P29" s="34"/>
      <c r="Q29" s="34"/>
      <c r="R29" s="34"/>
      <c r="S29" s="27"/>
      <c r="T29" s="27"/>
      <c r="U29" s="27"/>
      <c r="V29" s="31"/>
      <c r="W29" s="31"/>
      <c r="X29" s="31"/>
      <c r="Y29" s="31"/>
      <c r="Z29" s="31"/>
      <c r="AA29" s="31"/>
      <c r="AB29" s="27">
        <f t="shared" si="6"/>
        <v>0</v>
      </c>
      <c r="AD29" s="26" t="s">
        <v>24</v>
      </c>
      <c r="AE29" s="27">
        <f>Y32</f>
        <v>35</v>
      </c>
      <c r="AF29" s="27">
        <f t="shared" si="7"/>
        <v>0</v>
      </c>
      <c r="AG29" s="27">
        <f t="shared" si="8"/>
        <v>35</v>
      </c>
    </row>
    <row r="30" ht="14.25" customHeight="1">
      <c r="O30" s="26" t="s">
        <v>31</v>
      </c>
      <c r="P30" s="34"/>
      <c r="Q30" s="34"/>
      <c r="R30" s="34"/>
      <c r="S30" s="27">
        <v>7.0</v>
      </c>
      <c r="T30" s="27">
        <v>9.0</v>
      </c>
      <c r="U30" s="27"/>
      <c r="V30" s="31"/>
      <c r="W30" s="31">
        <v>1.0</v>
      </c>
      <c r="X30" s="31"/>
      <c r="Y30" s="31">
        <v>10.0</v>
      </c>
      <c r="Z30" s="31">
        <v>1.0</v>
      </c>
      <c r="AA30" s="31"/>
      <c r="AB30" s="27">
        <f t="shared" si="6"/>
        <v>28</v>
      </c>
      <c r="AD30" s="26" t="s">
        <v>31</v>
      </c>
      <c r="AE30" s="27">
        <f>Z32</f>
        <v>16</v>
      </c>
      <c r="AF30" s="27">
        <f t="shared" si="7"/>
        <v>28</v>
      </c>
      <c r="AG30" s="27">
        <f t="shared" si="8"/>
        <v>-12</v>
      </c>
    </row>
    <row r="31" ht="14.25" customHeight="1">
      <c r="O31" s="26" t="s">
        <v>32</v>
      </c>
      <c r="P31" s="34"/>
      <c r="Q31" s="34"/>
      <c r="R31" s="34"/>
      <c r="S31" s="27">
        <v>1.0</v>
      </c>
      <c r="T31" s="27">
        <v>1.0</v>
      </c>
      <c r="U31" s="27"/>
      <c r="V31" s="31"/>
      <c r="W31" s="31"/>
      <c r="X31" s="31"/>
      <c r="Y31" s="31"/>
      <c r="Z31" s="31">
        <v>1.0</v>
      </c>
      <c r="AA31" s="31"/>
      <c r="AB31" s="27">
        <f t="shared" si="6"/>
        <v>3</v>
      </c>
      <c r="AD31" s="26" t="s">
        <v>32</v>
      </c>
      <c r="AE31" s="27">
        <f>AA32</f>
        <v>0</v>
      </c>
      <c r="AF31" s="27">
        <f t="shared" si="7"/>
        <v>3</v>
      </c>
      <c r="AG31" s="27">
        <f t="shared" si="8"/>
        <v>-3</v>
      </c>
    </row>
    <row r="32" ht="14.25" customHeight="1">
      <c r="O32" s="32" t="s">
        <v>48</v>
      </c>
      <c r="P32" s="35">
        <f t="shared" ref="P32:AB32" si="9">SUM(P20:P31)</f>
        <v>0</v>
      </c>
      <c r="Q32" s="35">
        <f t="shared" si="9"/>
        <v>0</v>
      </c>
      <c r="R32" s="35">
        <f t="shared" si="9"/>
        <v>0</v>
      </c>
      <c r="S32" s="35">
        <f t="shared" si="9"/>
        <v>33</v>
      </c>
      <c r="T32" s="35">
        <f t="shared" si="9"/>
        <v>29</v>
      </c>
      <c r="U32" s="35">
        <f t="shared" si="9"/>
        <v>4</v>
      </c>
      <c r="V32" s="35">
        <f t="shared" si="9"/>
        <v>0</v>
      </c>
      <c r="W32" s="35">
        <f t="shared" si="9"/>
        <v>8</v>
      </c>
      <c r="X32" s="35">
        <f t="shared" si="9"/>
        <v>13</v>
      </c>
      <c r="Y32" s="35">
        <f t="shared" si="9"/>
        <v>35</v>
      </c>
      <c r="Z32" s="35">
        <f t="shared" si="9"/>
        <v>16</v>
      </c>
      <c r="AA32" s="35">
        <f t="shared" si="9"/>
        <v>0</v>
      </c>
      <c r="AB32" s="35">
        <f t="shared" si="9"/>
        <v>138</v>
      </c>
      <c r="AD32" s="32" t="s">
        <v>49</v>
      </c>
      <c r="AE32" s="33">
        <f t="shared" ref="AE32:AF32" si="10">SUM(AE20:AE31)</f>
        <v>138</v>
      </c>
      <c r="AF32" s="33">
        <f t="shared" si="10"/>
        <v>138</v>
      </c>
      <c r="AG32" s="33">
        <f>ABS(AG20)+ABS(AG21)+ABS(AG22)+ABS(AG23)+ABS(AG24)+ABS(AG25)+ABS(AG26)+ABS(AG27)+ABS(AG28)+ABS(AG29)+ABS(AG30)+ABS(AG31)</f>
        <v>186</v>
      </c>
    </row>
    <row r="33" ht="14.25" customHeight="1"/>
    <row r="34" ht="14.25" customHeight="1">
      <c r="O34" s="19" t="s">
        <v>52</v>
      </c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1"/>
      <c r="AD34" s="19" t="s">
        <v>53</v>
      </c>
      <c r="AE34" s="20"/>
      <c r="AF34" s="20"/>
      <c r="AG34" s="21"/>
    </row>
    <row r="35" ht="14.25" customHeight="1">
      <c r="O35" s="4" t="s">
        <v>42</v>
      </c>
      <c r="P35" s="4" t="s">
        <v>25</v>
      </c>
      <c r="Q35" s="4" t="s">
        <v>34</v>
      </c>
      <c r="R35" s="4" t="s">
        <v>35</v>
      </c>
      <c r="S35" s="4" t="s">
        <v>28</v>
      </c>
      <c r="T35" s="4" t="s">
        <v>9</v>
      </c>
      <c r="U35" s="4" t="s">
        <v>33</v>
      </c>
      <c r="V35" s="4" t="s">
        <v>11</v>
      </c>
      <c r="W35" s="4" t="s">
        <v>10</v>
      </c>
      <c r="X35" s="4" t="s">
        <v>8</v>
      </c>
      <c r="Y35" s="4" t="s">
        <v>24</v>
      </c>
      <c r="Z35" s="4" t="s">
        <v>31</v>
      </c>
      <c r="AA35" s="4" t="s">
        <v>32</v>
      </c>
      <c r="AB35" s="4" t="s">
        <v>43</v>
      </c>
      <c r="AD35" s="22" t="s">
        <v>44</v>
      </c>
      <c r="AE35" s="23" t="s">
        <v>45</v>
      </c>
      <c r="AF35" s="23" t="s">
        <v>46</v>
      </c>
      <c r="AG35" s="23" t="s">
        <v>47</v>
      </c>
    </row>
    <row r="36" ht="14.25" customHeight="1">
      <c r="O36" s="26" t="s">
        <v>25</v>
      </c>
      <c r="P36" s="27"/>
      <c r="Q36" s="27"/>
      <c r="R36" s="27">
        <v>9.0</v>
      </c>
      <c r="S36" s="27">
        <v>6066.0</v>
      </c>
      <c r="T36" s="27">
        <v>8232.0</v>
      </c>
      <c r="U36" s="27">
        <v>3166.0</v>
      </c>
      <c r="V36" s="27"/>
      <c r="W36" s="27">
        <v>7014.0</v>
      </c>
      <c r="X36" s="27">
        <v>54983.0</v>
      </c>
      <c r="Y36" s="27">
        <v>3.0</v>
      </c>
      <c r="Z36" s="27">
        <v>5501.0</v>
      </c>
      <c r="AA36" s="27">
        <v>699.0</v>
      </c>
      <c r="AB36" s="27">
        <f t="shared" ref="AB36:AB47" si="11">SUM(P36:AA36)</f>
        <v>85673</v>
      </c>
      <c r="AD36" s="26" t="s">
        <v>25</v>
      </c>
      <c r="AE36" s="27">
        <f>P48</f>
        <v>66942</v>
      </c>
      <c r="AF36" s="27">
        <f t="shared" ref="AF36:AF47" si="12">AB36</f>
        <v>85673</v>
      </c>
      <c r="AG36" s="27">
        <f t="shared" ref="AG36:AG47" si="13">AE36-AF36</f>
        <v>-18731</v>
      </c>
    </row>
    <row r="37" ht="14.25" customHeight="1">
      <c r="O37" s="26" t="s">
        <v>34</v>
      </c>
      <c r="P37" s="27"/>
      <c r="Q37" s="27"/>
      <c r="R37" s="27"/>
      <c r="S37" s="27">
        <v>1805.0</v>
      </c>
      <c r="T37" s="27"/>
      <c r="U37" s="27">
        <v>4.0</v>
      </c>
      <c r="V37" s="27"/>
      <c r="W37" s="27"/>
      <c r="X37" s="27">
        <v>704.0</v>
      </c>
      <c r="Y37" s="27"/>
      <c r="Z37" s="27">
        <v>92.0</v>
      </c>
      <c r="AA37" s="27">
        <v>6.0</v>
      </c>
      <c r="AB37" s="27">
        <f t="shared" si="11"/>
        <v>2611</v>
      </c>
      <c r="AD37" s="26" t="s">
        <v>34</v>
      </c>
      <c r="AE37" s="27">
        <f>Q48</f>
        <v>986</v>
      </c>
      <c r="AF37" s="27">
        <f t="shared" si="12"/>
        <v>2611</v>
      </c>
      <c r="AG37" s="27">
        <f t="shared" si="13"/>
        <v>-1625</v>
      </c>
    </row>
    <row r="38" ht="14.25" customHeight="1">
      <c r="O38" s="26" t="s">
        <v>35</v>
      </c>
      <c r="P38" s="27"/>
      <c r="Q38" s="27"/>
      <c r="R38" s="27"/>
      <c r="S38" s="27">
        <v>51.0</v>
      </c>
      <c r="T38" s="27"/>
      <c r="U38" s="27"/>
      <c r="V38" s="27"/>
      <c r="W38" s="27"/>
      <c r="X38" s="27">
        <v>52.0</v>
      </c>
      <c r="Y38" s="27"/>
      <c r="Z38" s="27"/>
      <c r="AA38" s="27">
        <v>3.0</v>
      </c>
      <c r="AB38" s="27">
        <f t="shared" si="11"/>
        <v>106</v>
      </c>
      <c r="AD38" s="26" t="s">
        <v>35</v>
      </c>
      <c r="AE38" s="27">
        <f>R48</f>
        <v>2511</v>
      </c>
      <c r="AF38" s="27">
        <f t="shared" si="12"/>
        <v>106</v>
      </c>
      <c r="AG38" s="27">
        <f t="shared" si="13"/>
        <v>2405</v>
      </c>
    </row>
    <row r="39" ht="14.25" customHeight="1">
      <c r="O39" s="26" t="s">
        <v>28</v>
      </c>
      <c r="P39" s="27">
        <v>10303.0</v>
      </c>
      <c r="Q39" s="27">
        <v>985.0</v>
      </c>
      <c r="R39" s="27">
        <v>157.0</v>
      </c>
      <c r="S39" s="27"/>
      <c r="T39" s="27">
        <v>2481.0</v>
      </c>
      <c r="U39" s="27">
        <v>101.0</v>
      </c>
      <c r="V39" s="27"/>
      <c r="W39" s="27">
        <v>462.0</v>
      </c>
      <c r="X39" s="27">
        <v>7856.0</v>
      </c>
      <c r="Y39" s="27"/>
      <c r="Z39" s="27">
        <v>3188.0</v>
      </c>
      <c r="AA39" s="27">
        <v>366.0</v>
      </c>
      <c r="AB39" s="27">
        <f t="shared" si="11"/>
        <v>25899</v>
      </c>
      <c r="AD39" s="26" t="s">
        <v>28</v>
      </c>
      <c r="AE39" s="27">
        <f>S48</f>
        <v>57391</v>
      </c>
      <c r="AF39" s="27">
        <f t="shared" si="12"/>
        <v>25899</v>
      </c>
      <c r="AG39" s="27">
        <f t="shared" si="13"/>
        <v>31492</v>
      </c>
    </row>
    <row r="40" ht="14.25" customHeight="1">
      <c r="O40" s="26" t="s">
        <v>9</v>
      </c>
      <c r="P40" s="27">
        <v>17515.0</v>
      </c>
      <c r="Q40" s="27"/>
      <c r="R40" s="27">
        <v>405.0</v>
      </c>
      <c r="S40" s="27">
        <v>5046.0</v>
      </c>
      <c r="T40" s="27"/>
      <c r="U40" s="27">
        <v>652.0</v>
      </c>
      <c r="V40" s="27">
        <v>103.0</v>
      </c>
      <c r="W40" s="27">
        <v>1554.0</v>
      </c>
      <c r="X40" s="27">
        <v>9764.0</v>
      </c>
      <c r="Y40" s="27"/>
      <c r="Z40" s="27">
        <v>4287.0</v>
      </c>
      <c r="AA40" s="27">
        <v>963.0</v>
      </c>
      <c r="AB40" s="27">
        <f t="shared" si="11"/>
        <v>40289</v>
      </c>
      <c r="AD40" s="26" t="s">
        <v>9</v>
      </c>
      <c r="AE40" s="27">
        <f>T48</f>
        <v>70371</v>
      </c>
      <c r="AF40" s="27">
        <f t="shared" si="12"/>
        <v>40289</v>
      </c>
      <c r="AG40" s="27">
        <f t="shared" si="13"/>
        <v>30082</v>
      </c>
    </row>
    <row r="41" ht="14.25" customHeight="1">
      <c r="O41" s="26" t="s">
        <v>33</v>
      </c>
      <c r="P41" s="27">
        <v>3252.0</v>
      </c>
      <c r="Q41" s="27"/>
      <c r="R41" s="27">
        <v>82.0</v>
      </c>
      <c r="S41" s="27">
        <v>2029.0</v>
      </c>
      <c r="T41" s="27">
        <v>1364.0</v>
      </c>
      <c r="U41" s="27"/>
      <c r="V41" s="27">
        <v>58.0</v>
      </c>
      <c r="W41" s="27">
        <v>1612.0</v>
      </c>
      <c r="X41" s="27">
        <v>10648.0</v>
      </c>
      <c r="Y41" s="27">
        <v>100.0</v>
      </c>
      <c r="Z41" s="27">
        <v>2531.0</v>
      </c>
      <c r="AA41" s="27">
        <v>490.0</v>
      </c>
      <c r="AB41" s="27">
        <f t="shared" si="11"/>
        <v>22166</v>
      </c>
      <c r="AD41" s="26" t="s">
        <v>33</v>
      </c>
      <c r="AE41" s="27">
        <f>U48</f>
        <v>16952</v>
      </c>
      <c r="AF41" s="27">
        <f t="shared" si="12"/>
        <v>22166</v>
      </c>
      <c r="AG41" s="27">
        <f t="shared" si="13"/>
        <v>-5214</v>
      </c>
    </row>
    <row r="42" ht="14.25" customHeight="1">
      <c r="O42" s="26" t="s">
        <v>11</v>
      </c>
      <c r="P42" s="27">
        <v>933.0</v>
      </c>
      <c r="Q42" s="27"/>
      <c r="R42" s="27"/>
      <c r="S42" s="27"/>
      <c r="T42" s="27">
        <v>11.0</v>
      </c>
      <c r="U42" s="27"/>
      <c r="V42" s="31"/>
      <c r="W42" s="31">
        <v>3802.0</v>
      </c>
      <c r="X42" s="31">
        <v>2419.0</v>
      </c>
      <c r="Y42" s="31"/>
      <c r="Z42" s="31">
        <v>31.0</v>
      </c>
      <c r="AA42" s="31">
        <v>8.0</v>
      </c>
      <c r="AB42" s="27">
        <f t="shared" si="11"/>
        <v>7204</v>
      </c>
      <c r="AD42" s="26" t="s">
        <v>11</v>
      </c>
      <c r="AE42" s="27">
        <f>V48</f>
        <v>30266</v>
      </c>
      <c r="AF42" s="27">
        <f t="shared" si="12"/>
        <v>7204</v>
      </c>
      <c r="AG42" s="27">
        <f t="shared" si="13"/>
        <v>23062</v>
      </c>
    </row>
    <row r="43" ht="14.25" customHeight="1">
      <c r="O43" s="26" t="s">
        <v>10</v>
      </c>
      <c r="P43" s="27">
        <v>3272.0</v>
      </c>
      <c r="Q43" s="27"/>
      <c r="R43" s="27">
        <v>10.0</v>
      </c>
      <c r="S43" s="27">
        <v>1358.0</v>
      </c>
      <c r="T43" s="27">
        <v>5765.0</v>
      </c>
      <c r="U43" s="27">
        <v>3757.0</v>
      </c>
      <c r="V43" s="31">
        <v>17898.0</v>
      </c>
      <c r="W43" s="31"/>
      <c r="X43" s="31">
        <v>2957.0</v>
      </c>
      <c r="Y43" s="31">
        <v>102.0</v>
      </c>
      <c r="Z43" s="31">
        <v>1095.0</v>
      </c>
      <c r="AA43" s="31">
        <v>2.0</v>
      </c>
      <c r="AB43" s="27">
        <f t="shared" si="11"/>
        <v>36216</v>
      </c>
      <c r="AD43" s="26" t="s">
        <v>10</v>
      </c>
      <c r="AE43" s="27">
        <f>W48</f>
        <v>22587</v>
      </c>
      <c r="AF43" s="27">
        <f t="shared" si="12"/>
        <v>36216</v>
      </c>
      <c r="AG43" s="27">
        <f t="shared" si="13"/>
        <v>-13629</v>
      </c>
    </row>
    <row r="44" ht="14.25" customHeight="1">
      <c r="O44" s="26" t="s">
        <v>8</v>
      </c>
      <c r="P44" s="27">
        <v>18041.0</v>
      </c>
      <c r="Q44" s="27">
        <v>1.0</v>
      </c>
      <c r="R44" s="27">
        <v>1087.0</v>
      </c>
      <c r="S44" s="27">
        <v>22859.0</v>
      </c>
      <c r="T44" s="27">
        <v>29225.0</v>
      </c>
      <c r="U44" s="27">
        <v>4383.0</v>
      </c>
      <c r="V44" s="31">
        <v>12207.0</v>
      </c>
      <c r="W44" s="31">
        <v>7382.0</v>
      </c>
      <c r="X44" s="31"/>
      <c r="Y44" s="31">
        <v>20877.0</v>
      </c>
      <c r="Z44" s="31">
        <v>14334.0</v>
      </c>
      <c r="AA44" s="31">
        <v>8.0</v>
      </c>
      <c r="AB44" s="27">
        <f t="shared" si="11"/>
        <v>130404</v>
      </c>
      <c r="AD44" s="26" t="s">
        <v>8</v>
      </c>
      <c r="AE44" s="27">
        <f>X48</f>
        <v>90993</v>
      </c>
      <c r="AF44" s="27">
        <f t="shared" si="12"/>
        <v>130404</v>
      </c>
      <c r="AG44" s="27">
        <f t="shared" si="13"/>
        <v>-39411</v>
      </c>
    </row>
    <row r="45" ht="14.25" customHeight="1">
      <c r="O45" s="26" t="s">
        <v>24</v>
      </c>
      <c r="P45" s="27"/>
      <c r="Q45" s="27"/>
      <c r="R45" s="27"/>
      <c r="S45" s="27">
        <v>4.0</v>
      </c>
      <c r="T45" s="27"/>
      <c r="U45" s="27"/>
      <c r="V45" s="31"/>
      <c r="W45" s="31">
        <v>27.0</v>
      </c>
      <c r="X45" s="31">
        <v>49.0</v>
      </c>
      <c r="Y45" s="31"/>
      <c r="Z45" s="31">
        <v>957.0</v>
      </c>
      <c r="AA45" s="31"/>
      <c r="AB45" s="27">
        <f t="shared" si="11"/>
        <v>1037</v>
      </c>
      <c r="AD45" s="26" t="s">
        <v>24</v>
      </c>
      <c r="AE45" s="27">
        <f>Y48</f>
        <v>23971</v>
      </c>
      <c r="AF45" s="27">
        <f t="shared" si="12"/>
        <v>1037</v>
      </c>
      <c r="AG45" s="27">
        <f t="shared" si="13"/>
        <v>22934</v>
      </c>
    </row>
    <row r="46" ht="14.25" customHeight="1">
      <c r="O46" s="26" t="s">
        <v>31</v>
      </c>
      <c r="P46" s="27">
        <v>11210.0</v>
      </c>
      <c r="Q46" s="27"/>
      <c r="R46" s="27">
        <v>617.0</v>
      </c>
      <c r="S46" s="27">
        <v>13198.0</v>
      </c>
      <c r="T46" s="27">
        <v>20046.0</v>
      </c>
      <c r="U46" s="27">
        <v>2406.0</v>
      </c>
      <c r="V46" s="31"/>
      <c r="W46" s="31">
        <v>730.0</v>
      </c>
      <c r="X46" s="31">
        <v>396.0</v>
      </c>
      <c r="Y46" s="31">
        <v>2809.0</v>
      </c>
      <c r="Z46" s="31">
        <v>1592.0</v>
      </c>
      <c r="AA46" s="31">
        <v>7.0</v>
      </c>
      <c r="AB46" s="27">
        <f t="shared" si="11"/>
        <v>53011</v>
      </c>
      <c r="AD46" s="26" t="s">
        <v>31</v>
      </c>
      <c r="AE46" s="27">
        <f>Z48</f>
        <v>35220</v>
      </c>
      <c r="AF46" s="27">
        <f t="shared" si="12"/>
        <v>53011</v>
      </c>
      <c r="AG46" s="27">
        <f t="shared" si="13"/>
        <v>-17791</v>
      </c>
    </row>
    <row r="47" ht="14.25" customHeight="1">
      <c r="O47" s="26" t="s">
        <v>32</v>
      </c>
      <c r="P47" s="27">
        <v>2416.0</v>
      </c>
      <c r="Q47" s="27"/>
      <c r="R47" s="27">
        <v>144.0</v>
      </c>
      <c r="S47" s="27">
        <v>4975.0</v>
      </c>
      <c r="T47" s="27">
        <v>3247.0</v>
      </c>
      <c r="U47" s="27">
        <v>2483.0</v>
      </c>
      <c r="V47" s="31"/>
      <c r="W47" s="31">
        <v>4.0</v>
      </c>
      <c r="X47" s="31">
        <v>1165.0</v>
      </c>
      <c r="Y47" s="31">
        <v>80.0</v>
      </c>
      <c r="Z47" s="31">
        <v>1612.0</v>
      </c>
      <c r="AA47" s="31"/>
      <c r="AB47" s="27">
        <f t="shared" si="11"/>
        <v>16126</v>
      </c>
      <c r="AD47" s="26" t="s">
        <v>32</v>
      </c>
      <c r="AE47" s="27">
        <f>AA48</f>
        <v>2552</v>
      </c>
      <c r="AF47" s="27">
        <f t="shared" si="12"/>
        <v>16126</v>
      </c>
      <c r="AG47" s="27">
        <f t="shared" si="13"/>
        <v>-13574</v>
      </c>
    </row>
    <row r="48" ht="14.25" customHeight="1">
      <c r="O48" s="32" t="s">
        <v>48</v>
      </c>
      <c r="P48" s="33">
        <f t="shared" ref="P48:AB48" si="14">SUM(P36:P47)</f>
        <v>66942</v>
      </c>
      <c r="Q48" s="33">
        <f t="shared" si="14"/>
        <v>986</v>
      </c>
      <c r="R48" s="33">
        <f t="shared" si="14"/>
        <v>2511</v>
      </c>
      <c r="S48" s="33">
        <f t="shared" si="14"/>
        <v>57391</v>
      </c>
      <c r="T48" s="33">
        <f t="shared" si="14"/>
        <v>70371</v>
      </c>
      <c r="U48" s="33">
        <f t="shared" si="14"/>
        <v>16952</v>
      </c>
      <c r="V48" s="33">
        <f t="shared" si="14"/>
        <v>30266</v>
      </c>
      <c r="W48" s="33">
        <f t="shared" si="14"/>
        <v>22587</v>
      </c>
      <c r="X48" s="33">
        <f t="shared" si="14"/>
        <v>90993</v>
      </c>
      <c r="Y48" s="33">
        <f t="shared" si="14"/>
        <v>23971</v>
      </c>
      <c r="Z48" s="33">
        <f t="shared" si="14"/>
        <v>35220</v>
      </c>
      <c r="AA48" s="33">
        <f t="shared" si="14"/>
        <v>2552</v>
      </c>
      <c r="AB48" s="33">
        <f t="shared" si="14"/>
        <v>420742</v>
      </c>
      <c r="AD48" s="32" t="s">
        <v>49</v>
      </c>
      <c r="AE48" s="33">
        <f t="shared" ref="AE48:AF48" si="15">SUM(AE36:AE47)</f>
        <v>420742</v>
      </c>
      <c r="AF48" s="33">
        <f t="shared" si="15"/>
        <v>420742</v>
      </c>
      <c r="AG48" s="33">
        <f>ABS(AG36)+ABS(AG37)+ABS(AG38)+ABS(AG39)+ABS(AG40)+ABS(AG41)+ABS(AG42)+ABS(AG43)+ABS(AG44)+ABS(AG45)+ABS(AG46)+ABS(AG47)</f>
        <v>219950</v>
      </c>
    </row>
    <row r="49" ht="14.25" customHeight="1"/>
    <row r="50" ht="14.25" customHeight="1">
      <c r="O50" s="19" t="s">
        <v>54</v>
      </c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1"/>
      <c r="AD50" s="19" t="s">
        <v>55</v>
      </c>
      <c r="AE50" s="20"/>
      <c r="AF50" s="20"/>
      <c r="AG50" s="21"/>
    </row>
    <row r="51" ht="14.25" customHeight="1">
      <c r="O51" s="4" t="s">
        <v>42</v>
      </c>
      <c r="P51" s="4" t="s">
        <v>25</v>
      </c>
      <c r="Q51" s="4" t="s">
        <v>34</v>
      </c>
      <c r="R51" s="4" t="s">
        <v>35</v>
      </c>
      <c r="S51" s="4" t="s">
        <v>28</v>
      </c>
      <c r="T51" s="4" t="s">
        <v>9</v>
      </c>
      <c r="U51" s="4" t="s">
        <v>33</v>
      </c>
      <c r="V51" s="4" t="s">
        <v>11</v>
      </c>
      <c r="W51" s="4" t="s">
        <v>10</v>
      </c>
      <c r="X51" s="4" t="s">
        <v>8</v>
      </c>
      <c r="Y51" s="4" t="s">
        <v>24</v>
      </c>
      <c r="Z51" s="4" t="s">
        <v>31</v>
      </c>
      <c r="AA51" s="4" t="s">
        <v>32</v>
      </c>
      <c r="AB51" s="4" t="s">
        <v>43</v>
      </c>
      <c r="AD51" s="22" t="s">
        <v>44</v>
      </c>
      <c r="AE51" s="23" t="s">
        <v>45</v>
      </c>
      <c r="AF51" s="23" t="s">
        <v>46</v>
      </c>
      <c r="AG51" s="23" t="s">
        <v>47</v>
      </c>
    </row>
    <row r="52" ht="14.25" customHeight="1">
      <c r="O52" s="26" t="s">
        <v>25</v>
      </c>
      <c r="P52" s="27"/>
      <c r="Q52" s="27"/>
      <c r="R52" s="27"/>
      <c r="S52" s="27">
        <v>12.0</v>
      </c>
      <c r="T52" s="27">
        <v>6.0</v>
      </c>
      <c r="U52" s="27">
        <v>1.0</v>
      </c>
      <c r="V52" s="27"/>
      <c r="W52" s="27">
        <v>35.0</v>
      </c>
      <c r="X52" s="27">
        <v>58.0</v>
      </c>
      <c r="Y52" s="27"/>
      <c r="Z52" s="27">
        <v>46.0</v>
      </c>
      <c r="AA52" s="27"/>
      <c r="AB52" s="27">
        <f t="shared" ref="AB52:AB63" si="16">SUM(P52:AA52)</f>
        <v>158</v>
      </c>
      <c r="AD52" s="26" t="s">
        <v>25</v>
      </c>
      <c r="AE52" s="27">
        <f>P64</f>
        <v>10569</v>
      </c>
      <c r="AF52" s="27">
        <f t="shared" ref="AF52:AF63" si="17">AB52</f>
        <v>158</v>
      </c>
      <c r="AG52" s="27">
        <f t="shared" ref="AG52:AG63" si="18">AE52-AF52</f>
        <v>10411</v>
      </c>
    </row>
    <row r="53" ht="14.25" customHeight="1">
      <c r="O53" s="26" t="s">
        <v>34</v>
      </c>
      <c r="P53" s="27"/>
      <c r="Q53" s="27"/>
      <c r="R53" s="27"/>
      <c r="S53" s="27">
        <v>368.0</v>
      </c>
      <c r="T53" s="27"/>
      <c r="U53" s="27">
        <v>12.0</v>
      </c>
      <c r="V53" s="27"/>
      <c r="W53" s="27"/>
      <c r="X53" s="27">
        <v>122.0</v>
      </c>
      <c r="Y53" s="27"/>
      <c r="Z53" s="27"/>
      <c r="AA53" s="27">
        <v>1.0</v>
      </c>
      <c r="AB53" s="27">
        <f t="shared" si="16"/>
        <v>503</v>
      </c>
      <c r="AD53" s="26" t="s">
        <v>34</v>
      </c>
      <c r="AE53" s="27">
        <f>Q64</f>
        <v>88</v>
      </c>
      <c r="AF53" s="27">
        <f t="shared" si="17"/>
        <v>503</v>
      </c>
      <c r="AG53" s="27">
        <f t="shared" si="18"/>
        <v>-415</v>
      </c>
    </row>
    <row r="54" ht="14.25" customHeight="1">
      <c r="O54" s="26" t="s">
        <v>35</v>
      </c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>
        <f t="shared" si="16"/>
        <v>0</v>
      </c>
      <c r="AD54" s="26" t="s">
        <v>35</v>
      </c>
      <c r="AE54" s="27">
        <f>R64</f>
        <v>153</v>
      </c>
      <c r="AF54" s="27">
        <f t="shared" si="17"/>
        <v>0</v>
      </c>
      <c r="AG54" s="27">
        <f t="shared" si="18"/>
        <v>153</v>
      </c>
    </row>
    <row r="55" ht="14.25" customHeight="1">
      <c r="O55" s="26" t="s">
        <v>28</v>
      </c>
      <c r="P55" s="27">
        <v>155.0</v>
      </c>
      <c r="Q55" s="27">
        <v>88.0</v>
      </c>
      <c r="R55" s="27">
        <v>24.0</v>
      </c>
      <c r="S55" s="27"/>
      <c r="T55" s="27">
        <v>17.0</v>
      </c>
      <c r="U55" s="27">
        <v>2.0</v>
      </c>
      <c r="V55" s="27"/>
      <c r="W55" s="27">
        <v>86.0</v>
      </c>
      <c r="X55" s="27">
        <v>215.0</v>
      </c>
      <c r="Y55" s="27"/>
      <c r="Z55" s="27">
        <v>78.0</v>
      </c>
      <c r="AA55" s="27"/>
      <c r="AB55" s="27">
        <f t="shared" si="16"/>
        <v>665</v>
      </c>
      <c r="AD55" s="26" t="s">
        <v>28</v>
      </c>
      <c r="AE55" s="27">
        <f>S64</f>
        <v>7083</v>
      </c>
      <c r="AF55" s="27">
        <f t="shared" si="17"/>
        <v>665</v>
      </c>
      <c r="AG55" s="27">
        <f t="shared" si="18"/>
        <v>6418</v>
      </c>
    </row>
    <row r="56" ht="14.25" customHeight="1">
      <c r="O56" s="26" t="s">
        <v>9</v>
      </c>
      <c r="P56" s="27">
        <v>1593.0</v>
      </c>
      <c r="Q56" s="27"/>
      <c r="R56" s="27">
        <v>37.0</v>
      </c>
      <c r="S56" s="27">
        <v>407.0</v>
      </c>
      <c r="T56" s="27"/>
      <c r="U56" s="27">
        <v>1.0</v>
      </c>
      <c r="V56" s="27"/>
      <c r="W56" s="27">
        <v>13.0</v>
      </c>
      <c r="X56" s="27">
        <v>40.0</v>
      </c>
      <c r="Y56" s="27">
        <v>4.0</v>
      </c>
      <c r="Z56" s="27">
        <v>9.0</v>
      </c>
      <c r="AA56" s="27"/>
      <c r="AB56" s="27">
        <f t="shared" si="16"/>
        <v>2104</v>
      </c>
      <c r="AD56" s="26" t="s">
        <v>9</v>
      </c>
      <c r="AE56" s="27">
        <f>T64</f>
        <v>7955</v>
      </c>
      <c r="AF56" s="27">
        <f t="shared" si="17"/>
        <v>2104</v>
      </c>
      <c r="AG56" s="27">
        <f t="shared" si="18"/>
        <v>5851</v>
      </c>
    </row>
    <row r="57" ht="14.25" customHeight="1">
      <c r="O57" s="26" t="s">
        <v>33</v>
      </c>
      <c r="P57" s="27">
        <v>214.0</v>
      </c>
      <c r="Q57" s="27"/>
      <c r="R57" s="27"/>
      <c r="S57" s="27">
        <v>327.0</v>
      </c>
      <c r="T57" s="27">
        <v>339.0</v>
      </c>
      <c r="U57" s="27"/>
      <c r="V57" s="27"/>
      <c r="W57" s="27">
        <v>60.0</v>
      </c>
      <c r="X57" s="27">
        <v>644.0</v>
      </c>
      <c r="Y57" s="27">
        <v>9.0</v>
      </c>
      <c r="Z57" s="27">
        <v>24.0</v>
      </c>
      <c r="AA57" s="27"/>
      <c r="AB57" s="27">
        <f t="shared" si="16"/>
        <v>1617</v>
      </c>
      <c r="AD57" s="26" t="s">
        <v>33</v>
      </c>
      <c r="AE57" s="27">
        <f>U64</f>
        <v>1535</v>
      </c>
      <c r="AF57" s="27">
        <f t="shared" si="17"/>
        <v>1617</v>
      </c>
      <c r="AG57" s="27">
        <f t="shared" si="18"/>
        <v>-82</v>
      </c>
    </row>
    <row r="58" ht="14.25" customHeight="1">
      <c r="O58" s="26" t="s">
        <v>11</v>
      </c>
      <c r="P58" s="27">
        <v>1.0</v>
      </c>
      <c r="Q58" s="27"/>
      <c r="R58" s="27"/>
      <c r="S58" s="27"/>
      <c r="T58" s="27"/>
      <c r="U58" s="27"/>
      <c r="V58" s="31"/>
      <c r="W58" s="31">
        <v>38.0</v>
      </c>
      <c r="X58" s="31">
        <v>29.0</v>
      </c>
      <c r="Y58" s="31"/>
      <c r="Z58" s="31">
        <v>5.0</v>
      </c>
      <c r="AA58" s="31"/>
      <c r="AB58" s="27">
        <f t="shared" si="16"/>
        <v>73</v>
      </c>
      <c r="AD58" s="26" t="s">
        <v>11</v>
      </c>
      <c r="AE58" s="27">
        <f>V64</f>
        <v>0</v>
      </c>
      <c r="AF58" s="27">
        <f t="shared" si="17"/>
        <v>73</v>
      </c>
      <c r="AG58" s="27">
        <f t="shared" si="18"/>
        <v>-73</v>
      </c>
    </row>
    <row r="59" ht="14.25" customHeight="1">
      <c r="O59" s="26" t="s">
        <v>10</v>
      </c>
      <c r="P59" s="27">
        <v>60.0</v>
      </c>
      <c r="Q59" s="27"/>
      <c r="R59" s="27"/>
      <c r="S59" s="27">
        <v>59.0</v>
      </c>
      <c r="T59" s="27">
        <v>138.0</v>
      </c>
      <c r="U59" s="27">
        <v>51.0</v>
      </c>
      <c r="V59" s="31"/>
      <c r="W59" s="31"/>
      <c r="X59" s="31">
        <v>145.0</v>
      </c>
      <c r="Y59" s="31">
        <v>11.0</v>
      </c>
      <c r="Z59" s="31">
        <v>170.0</v>
      </c>
      <c r="AA59" s="31"/>
      <c r="AB59" s="27">
        <f t="shared" si="16"/>
        <v>634</v>
      </c>
      <c r="AD59" s="26" t="s">
        <v>10</v>
      </c>
      <c r="AE59" s="27">
        <f>W64</f>
        <v>1913</v>
      </c>
      <c r="AF59" s="27">
        <f t="shared" si="17"/>
        <v>634</v>
      </c>
      <c r="AG59" s="27">
        <f t="shared" si="18"/>
        <v>1279</v>
      </c>
    </row>
    <row r="60" ht="14.25" customHeight="1">
      <c r="O60" s="26" t="s">
        <v>8</v>
      </c>
      <c r="P60" s="27">
        <v>2308.0</v>
      </c>
      <c r="Q60" s="27"/>
      <c r="R60" s="27">
        <v>49.0</v>
      </c>
      <c r="S60" s="27">
        <v>2321.0</v>
      </c>
      <c r="T60" s="27">
        <v>2268.0</v>
      </c>
      <c r="U60" s="27">
        <v>331.0</v>
      </c>
      <c r="V60" s="31"/>
      <c r="W60" s="31">
        <v>988.0</v>
      </c>
      <c r="X60" s="31"/>
      <c r="Y60" s="31">
        <v>2882.0</v>
      </c>
      <c r="Z60" s="31">
        <v>3237.0</v>
      </c>
      <c r="AA60" s="31">
        <v>1.0</v>
      </c>
      <c r="AB60" s="27">
        <f t="shared" si="16"/>
        <v>14385</v>
      </c>
      <c r="AD60" s="26" t="s">
        <v>8</v>
      </c>
      <c r="AE60" s="27">
        <f>X64</f>
        <v>1583</v>
      </c>
      <c r="AF60" s="27">
        <f t="shared" si="17"/>
        <v>14385</v>
      </c>
      <c r="AG60" s="27">
        <f t="shared" si="18"/>
        <v>-12802</v>
      </c>
    </row>
    <row r="61" ht="14.25" customHeight="1">
      <c r="O61" s="26" t="s">
        <v>24</v>
      </c>
      <c r="P61" s="27"/>
      <c r="Q61" s="27"/>
      <c r="R61" s="27"/>
      <c r="S61" s="27">
        <v>5.0</v>
      </c>
      <c r="T61" s="27"/>
      <c r="U61" s="27"/>
      <c r="V61" s="31"/>
      <c r="W61" s="31">
        <v>35.0</v>
      </c>
      <c r="X61" s="31">
        <v>46.0</v>
      </c>
      <c r="Y61" s="31"/>
      <c r="Z61" s="31">
        <v>271.0</v>
      </c>
      <c r="AA61" s="31"/>
      <c r="AB61" s="27">
        <f t="shared" si="16"/>
        <v>357</v>
      </c>
      <c r="AD61" s="26" t="s">
        <v>24</v>
      </c>
      <c r="AE61" s="27">
        <f>Y64</f>
        <v>3244</v>
      </c>
      <c r="AF61" s="27">
        <f t="shared" si="17"/>
        <v>357</v>
      </c>
      <c r="AG61" s="27">
        <f t="shared" si="18"/>
        <v>2887</v>
      </c>
    </row>
    <row r="62" ht="14.25" customHeight="1">
      <c r="O62" s="26" t="s">
        <v>31</v>
      </c>
      <c r="P62" s="27">
        <v>6226.0</v>
      </c>
      <c r="Q62" s="27"/>
      <c r="R62" s="27">
        <v>43.0</v>
      </c>
      <c r="S62" s="27">
        <v>3479.0</v>
      </c>
      <c r="T62" s="27">
        <v>5045.0</v>
      </c>
      <c r="U62" s="27">
        <v>1134.0</v>
      </c>
      <c r="V62" s="31"/>
      <c r="W62" s="31">
        <v>654.0</v>
      </c>
      <c r="X62" s="31">
        <v>53.0</v>
      </c>
      <c r="Y62" s="31">
        <v>326.0</v>
      </c>
      <c r="Z62" s="31">
        <v>835.0</v>
      </c>
      <c r="AA62" s="31">
        <v>1.0</v>
      </c>
      <c r="AB62" s="27">
        <f t="shared" si="16"/>
        <v>17796</v>
      </c>
      <c r="AD62" s="26" t="s">
        <v>31</v>
      </c>
      <c r="AE62" s="27">
        <f>Z64</f>
        <v>5149</v>
      </c>
      <c r="AF62" s="27">
        <f t="shared" si="17"/>
        <v>17796</v>
      </c>
      <c r="AG62" s="27">
        <f t="shared" si="18"/>
        <v>-12647</v>
      </c>
    </row>
    <row r="63" ht="14.25" customHeight="1">
      <c r="O63" s="26" t="s">
        <v>32</v>
      </c>
      <c r="P63" s="27">
        <v>12.0</v>
      </c>
      <c r="Q63" s="27"/>
      <c r="R63" s="27"/>
      <c r="S63" s="27">
        <v>105.0</v>
      </c>
      <c r="T63" s="27">
        <v>142.0</v>
      </c>
      <c r="U63" s="27">
        <v>3.0</v>
      </c>
      <c r="V63" s="31"/>
      <c r="W63" s="31">
        <v>4.0</v>
      </c>
      <c r="X63" s="31">
        <v>231.0</v>
      </c>
      <c r="Y63" s="31">
        <v>12.0</v>
      </c>
      <c r="Z63" s="31">
        <v>474.0</v>
      </c>
      <c r="AA63" s="31"/>
      <c r="AB63" s="27">
        <f t="shared" si="16"/>
        <v>983</v>
      </c>
      <c r="AD63" s="26" t="s">
        <v>32</v>
      </c>
      <c r="AE63" s="27">
        <f>AA64</f>
        <v>3</v>
      </c>
      <c r="AF63" s="27">
        <f t="shared" si="17"/>
        <v>983</v>
      </c>
      <c r="AG63" s="27">
        <f t="shared" si="18"/>
        <v>-980</v>
      </c>
    </row>
    <row r="64" ht="14.25" customHeight="1">
      <c r="O64" s="32" t="s">
        <v>48</v>
      </c>
      <c r="P64" s="33">
        <f t="shared" ref="P64:AB64" si="19">SUM(P52:P63)</f>
        <v>10569</v>
      </c>
      <c r="Q64" s="33">
        <f t="shared" si="19"/>
        <v>88</v>
      </c>
      <c r="R64" s="33">
        <f t="shared" si="19"/>
        <v>153</v>
      </c>
      <c r="S64" s="33">
        <f t="shared" si="19"/>
        <v>7083</v>
      </c>
      <c r="T64" s="33">
        <f t="shared" si="19"/>
        <v>7955</v>
      </c>
      <c r="U64" s="33">
        <f t="shared" si="19"/>
        <v>1535</v>
      </c>
      <c r="V64" s="33">
        <f t="shared" si="19"/>
        <v>0</v>
      </c>
      <c r="W64" s="33">
        <f t="shared" si="19"/>
        <v>1913</v>
      </c>
      <c r="X64" s="33">
        <f t="shared" si="19"/>
        <v>1583</v>
      </c>
      <c r="Y64" s="33">
        <f t="shared" si="19"/>
        <v>3244</v>
      </c>
      <c r="Z64" s="33">
        <f t="shared" si="19"/>
        <v>5149</v>
      </c>
      <c r="AA64" s="33">
        <f t="shared" si="19"/>
        <v>3</v>
      </c>
      <c r="AB64" s="33">
        <f t="shared" si="19"/>
        <v>39275</v>
      </c>
      <c r="AD64" s="32" t="s">
        <v>49</v>
      </c>
      <c r="AE64" s="33">
        <f t="shared" ref="AE64:AF64" si="20">SUM(AE52:AE63)</f>
        <v>39275</v>
      </c>
      <c r="AF64" s="33">
        <f t="shared" si="20"/>
        <v>39275</v>
      </c>
      <c r="AG64" s="33">
        <f>ABS(AG52)+ABS(AG53)+ABS(AG54)+ABS(AG55)+ABS(AG56)+ABS(AG57)+ABS(AG58)+ABS(AG59)+ABS(AG60)+ABS(AG61)+ABS(AG62)+ABS(AG63)</f>
        <v>53998</v>
      </c>
    </row>
    <row r="65" ht="14.25" customHeight="1"/>
    <row r="66" ht="14.25" customHeight="1">
      <c r="O66" s="19" t="s">
        <v>56</v>
      </c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1"/>
      <c r="AD66" s="19" t="s">
        <v>57</v>
      </c>
      <c r="AE66" s="20"/>
      <c r="AF66" s="20"/>
      <c r="AG66" s="21"/>
    </row>
    <row r="67" ht="14.25" customHeight="1">
      <c r="O67" s="4" t="s">
        <v>42</v>
      </c>
      <c r="P67" s="4" t="s">
        <v>25</v>
      </c>
      <c r="Q67" s="4" t="s">
        <v>34</v>
      </c>
      <c r="R67" s="4" t="s">
        <v>35</v>
      </c>
      <c r="S67" s="4" t="s">
        <v>28</v>
      </c>
      <c r="T67" s="4" t="s">
        <v>9</v>
      </c>
      <c r="U67" s="4" t="s">
        <v>33</v>
      </c>
      <c r="V67" s="4" t="s">
        <v>11</v>
      </c>
      <c r="W67" s="4" t="s">
        <v>10</v>
      </c>
      <c r="X67" s="4" t="s">
        <v>8</v>
      </c>
      <c r="Y67" s="4" t="s">
        <v>24</v>
      </c>
      <c r="Z67" s="4" t="s">
        <v>31</v>
      </c>
      <c r="AA67" s="4" t="s">
        <v>32</v>
      </c>
      <c r="AB67" s="4" t="s">
        <v>43</v>
      </c>
      <c r="AD67" s="22" t="s">
        <v>44</v>
      </c>
      <c r="AE67" s="23" t="s">
        <v>45</v>
      </c>
      <c r="AF67" s="23" t="s">
        <v>46</v>
      </c>
      <c r="AG67" s="23" t="s">
        <v>47</v>
      </c>
    </row>
    <row r="68" ht="14.25" customHeight="1">
      <c r="O68" s="26" t="s">
        <v>25</v>
      </c>
      <c r="P68" s="27">
        <f t="shared" ref="P68:AA68" si="21">P4+P20+P36+P52</f>
        <v>0</v>
      </c>
      <c r="Q68" s="27">
        <f t="shared" si="21"/>
        <v>0</v>
      </c>
      <c r="R68" s="27">
        <f t="shared" si="21"/>
        <v>10</v>
      </c>
      <c r="S68" s="27">
        <f t="shared" si="21"/>
        <v>7825</v>
      </c>
      <c r="T68" s="27">
        <f t="shared" si="21"/>
        <v>8552</v>
      </c>
      <c r="U68" s="27">
        <f t="shared" si="21"/>
        <v>3498</v>
      </c>
      <c r="V68" s="27">
        <f t="shared" si="21"/>
        <v>0</v>
      </c>
      <c r="W68" s="27">
        <f t="shared" si="21"/>
        <v>8051</v>
      </c>
      <c r="X68" s="27">
        <f t="shared" si="21"/>
        <v>57554</v>
      </c>
      <c r="Y68" s="27">
        <f t="shared" si="21"/>
        <v>3</v>
      </c>
      <c r="Z68" s="27">
        <f t="shared" si="21"/>
        <v>6022</v>
      </c>
      <c r="AA68" s="27">
        <f t="shared" si="21"/>
        <v>718</v>
      </c>
      <c r="AB68" s="27">
        <f t="shared" ref="AB68:AB79" si="23">SUM(P68:AA68)</f>
        <v>92233</v>
      </c>
      <c r="AD68" s="26" t="s">
        <v>25</v>
      </c>
      <c r="AE68" s="27">
        <f>P80</f>
        <v>90983</v>
      </c>
      <c r="AF68" s="27">
        <f t="shared" ref="AF68:AF79" si="24">AB68</f>
        <v>92233</v>
      </c>
      <c r="AG68" s="27">
        <f t="shared" ref="AG68:AG79" si="25">AE68-AF68</f>
        <v>-1250</v>
      </c>
    </row>
    <row r="69" ht="14.25" customHeight="1">
      <c r="O69" s="26" t="s">
        <v>34</v>
      </c>
      <c r="P69" s="27">
        <f t="shared" ref="P69:AA69" si="22">P5+P21+P37+P53</f>
        <v>0</v>
      </c>
      <c r="Q69" s="27">
        <f t="shared" si="22"/>
        <v>0</v>
      </c>
      <c r="R69" s="27">
        <f t="shared" si="22"/>
        <v>0</v>
      </c>
      <c r="S69" s="27">
        <f t="shared" si="22"/>
        <v>6006</v>
      </c>
      <c r="T69" s="27">
        <f t="shared" si="22"/>
        <v>0</v>
      </c>
      <c r="U69" s="27">
        <f t="shared" si="22"/>
        <v>66</v>
      </c>
      <c r="V69" s="27">
        <f t="shared" si="22"/>
        <v>0</v>
      </c>
      <c r="W69" s="27">
        <f t="shared" si="22"/>
        <v>0</v>
      </c>
      <c r="X69" s="27">
        <f t="shared" si="22"/>
        <v>4279</v>
      </c>
      <c r="Y69" s="27">
        <f t="shared" si="22"/>
        <v>0</v>
      </c>
      <c r="Z69" s="27">
        <f t="shared" si="22"/>
        <v>125</v>
      </c>
      <c r="AA69" s="27">
        <f t="shared" si="22"/>
        <v>32</v>
      </c>
      <c r="AB69" s="27">
        <f t="shared" si="23"/>
        <v>10508</v>
      </c>
      <c r="AD69" s="26" t="s">
        <v>34</v>
      </c>
      <c r="AE69" s="27">
        <f>Q80</f>
        <v>1401</v>
      </c>
      <c r="AF69" s="27">
        <f t="shared" si="24"/>
        <v>10508</v>
      </c>
      <c r="AG69" s="27">
        <f t="shared" si="25"/>
        <v>-9107</v>
      </c>
    </row>
    <row r="70" ht="14.25" customHeight="1">
      <c r="O70" s="26" t="s">
        <v>35</v>
      </c>
      <c r="P70" s="27">
        <f t="shared" ref="P70:AA70" si="26">P6+P22+P38+P54</f>
        <v>0</v>
      </c>
      <c r="Q70" s="27">
        <f t="shared" si="26"/>
        <v>0</v>
      </c>
      <c r="R70" s="27">
        <f t="shared" si="26"/>
        <v>0</v>
      </c>
      <c r="S70" s="27">
        <f t="shared" si="26"/>
        <v>60</v>
      </c>
      <c r="T70" s="27">
        <f t="shared" si="26"/>
        <v>0</v>
      </c>
      <c r="U70" s="27">
        <f t="shared" si="26"/>
        <v>0</v>
      </c>
      <c r="V70" s="27">
        <f t="shared" si="26"/>
        <v>0</v>
      </c>
      <c r="W70" s="27">
        <f t="shared" si="26"/>
        <v>0</v>
      </c>
      <c r="X70" s="27">
        <f t="shared" si="26"/>
        <v>52</v>
      </c>
      <c r="Y70" s="27">
        <f t="shared" si="26"/>
        <v>0</v>
      </c>
      <c r="Z70" s="27">
        <f t="shared" si="26"/>
        <v>0</v>
      </c>
      <c r="AA70" s="27">
        <f t="shared" si="26"/>
        <v>12</v>
      </c>
      <c r="AB70" s="27">
        <f t="shared" si="23"/>
        <v>124</v>
      </c>
      <c r="AD70" s="26" t="s">
        <v>35</v>
      </c>
      <c r="AE70" s="27">
        <f>R80</f>
        <v>4265</v>
      </c>
      <c r="AF70" s="27">
        <f t="shared" si="24"/>
        <v>124</v>
      </c>
      <c r="AG70" s="27">
        <f t="shared" si="25"/>
        <v>4141</v>
      </c>
    </row>
    <row r="71" ht="14.25" customHeight="1">
      <c r="O71" s="26" t="s">
        <v>28</v>
      </c>
      <c r="P71" s="27">
        <f t="shared" ref="P71:AA71" si="27">P7+P23+P39+P55</f>
        <v>13384</v>
      </c>
      <c r="Q71" s="27">
        <f t="shared" si="27"/>
        <v>1400</v>
      </c>
      <c r="R71" s="27">
        <f t="shared" si="27"/>
        <v>203</v>
      </c>
      <c r="S71" s="27">
        <f t="shared" si="27"/>
        <v>0</v>
      </c>
      <c r="T71" s="27">
        <f t="shared" si="27"/>
        <v>2780</v>
      </c>
      <c r="U71" s="27">
        <f t="shared" si="27"/>
        <v>594</v>
      </c>
      <c r="V71" s="27">
        <f t="shared" si="27"/>
        <v>0</v>
      </c>
      <c r="W71" s="27">
        <f t="shared" si="27"/>
        <v>1787</v>
      </c>
      <c r="X71" s="27">
        <f t="shared" si="27"/>
        <v>17206</v>
      </c>
      <c r="Y71" s="27">
        <f t="shared" si="27"/>
        <v>0</v>
      </c>
      <c r="Z71" s="27">
        <f t="shared" si="27"/>
        <v>7321</v>
      </c>
      <c r="AA71" s="27">
        <f t="shared" si="27"/>
        <v>798</v>
      </c>
      <c r="AB71" s="27">
        <f t="shared" si="23"/>
        <v>45473</v>
      </c>
      <c r="AD71" s="26" t="s">
        <v>28</v>
      </c>
      <c r="AE71" s="27">
        <f>S80</f>
        <v>98990</v>
      </c>
      <c r="AF71" s="27">
        <f t="shared" si="24"/>
        <v>45473</v>
      </c>
      <c r="AG71" s="27">
        <f t="shared" si="25"/>
        <v>53517</v>
      </c>
    </row>
    <row r="72" ht="14.25" customHeight="1">
      <c r="O72" s="26" t="s">
        <v>9</v>
      </c>
      <c r="P72" s="27">
        <f t="shared" ref="P72:AA72" si="28">P8+P24+P40+P56</f>
        <v>21147</v>
      </c>
      <c r="Q72" s="27">
        <f t="shared" si="28"/>
        <v>0</v>
      </c>
      <c r="R72" s="27">
        <f t="shared" si="28"/>
        <v>443</v>
      </c>
      <c r="S72" s="27">
        <f t="shared" si="28"/>
        <v>6937</v>
      </c>
      <c r="T72" s="27">
        <f t="shared" si="28"/>
        <v>0</v>
      </c>
      <c r="U72" s="27">
        <f t="shared" si="28"/>
        <v>3620</v>
      </c>
      <c r="V72" s="27">
        <f t="shared" si="28"/>
        <v>120</v>
      </c>
      <c r="W72" s="27">
        <f t="shared" si="28"/>
        <v>3454</v>
      </c>
      <c r="X72" s="27">
        <f t="shared" si="28"/>
        <v>18324</v>
      </c>
      <c r="Y72" s="27">
        <f t="shared" si="28"/>
        <v>5</v>
      </c>
      <c r="Z72" s="27">
        <f t="shared" si="28"/>
        <v>5127</v>
      </c>
      <c r="AA72" s="27">
        <f t="shared" si="28"/>
        <v>1227</v>
      </c>
      <c r="AB72" s="27">
        <f t="shared" si="23"/>
        <v>60404</v>
      </c>
      <c r="AD72" s="26" t="s">
        <v>9</v>
      </c>
      <c r="AE72" s="27">
        <f>T80</f>
        <v>106220</v>
      </c>
      <c r="AF72" s="27">
        <f t="shared" si="24"/>
        <v>60404</v>
      </c>
      <c r="AG72" s="27">
        <f t="shared" si="25"/>
        <v>45816</v>
      </c>
    </row>
    <row r="73" ht="14.25" customHeight="1">
      <c r="O73" s="26" t="s">
        <v>33</v>
      </c>
      <c r="P73" s="27">
        <f t="shared" ref="P73:AA73" si="29">P9+P25+P41+P57</f>
        <v>3873</v>
      </c>
      <c r="Q73" s="27">
        <f t="shared" si="29"/>
        <v>0</v>
      </c>
      <c r="R73" s="27">
        <f t="shared" si="29"/>
        <v>82</v>
      </c>
      <c r="S73" s="27">
        <f t="shared" si="29"/>
        <v>3139</v>
      </c>
      <c r="T73" s="27">
        <f t="shared" si="29"/>
        <v>2375</v>
      </c>
      <c r="U73" s="27">
        <f t="shared" si="29"/>
        <v>0</v>
      </c>
      <c r="V73" s="27">
        <f t="shared" si="29"/>
        <v>69</v>
      </c>
      <c r="W73" s="27">
        <f t="shared" si="29"/>
        <v>2237</v>
      </c>
      <c r="X73" s="27">
        <f t="shared" si="29"/>
        <v>22201</v>
      </c>
      <c r="Y73" s="27">
        <f t="shared" si="29"/>
        <v>165</v>
      </c>
      <c r="Z73" s="27">
        <f t="shared" si="29"/>
        <v>2846</v>
      </c>
      <c r="AA73" s="27">
        <f t="shared" si="29"/>
        <v>635</v>
      </c>
      <c r="AB73" s="27">
        <f t="shared" si="23"/>
        <v>37622</v>
      </c>
      <c r="AD73" s="26" t="s">
        <v>33</v>
      </c>
      <c r="AE73" s="27">
        <f>U80</f>
        <v>33211</v>
      </c>
      <c r="AF73" s="27">
        <f t="shared" si="24"/>
        <v>37622</v>
      </c>
      <c r="AG73" s="27">
        <f t="shared" si="25"/>
        <v>-4411</v>
      </c>
    </row>
    <row r="74" ht="14.25" customHeight="1">
      <c r="O74" s="26" t="s">
        <v>11</v>
      </c>
      <c r="P74" s="27">
        <f t="shared" ref="P74:AA74" si="30">P10+P26+P42+P58</f>
        <v>1586</v>
      </c>
      <c r="Q74" s="27">
        <f t="shared" si="30"/>
        <v>0</v>
      </c>
      <c r="R74" s="27">
        <f t="shared" si="30"/>
        <v>0</v>
      </c>
      <c r="S74" s="27">
        <f t="shared" si="30"/>
        <v>0</v>
      </c>
      <c r="T74" s="27">
        <f t="shared" si="30"/>
        <v>50</v>
      </c>
      <c r="U74" s="27">
        <f t="shared" si="30"/>
        <v>0</v>
      </c>
      <c r="V74" s="31">
        <f t="shared" si="30"/>
        <v>0</v>
      </c>
      <c r="W74" s="31">
        <f t="shared" si="30"/>
        <v>41917</v>
      </c>
      <c r="X74" s="31">
        <f t="shared" si="30"/>
        <v>8023</v>
      </c>
      <c r="Y74" s="31">
        <f t="shared" si="30"/>
        <v>0</v>
      </c>
      <c r="Z74" s="31">
        <f t="shared" si="30"/>
        <v>92</v>
      </c>
      <c r="AA74" s="31">
        <f t="shared" si="30"/>
        <v>10</v>
      </c>
      <c r="AB74" s="27">
        <f t="shared" si="23"/>
        <v>51678</v>
      </c>
      <c r="AD74" s="26" t="s">
        <v>11</v>
      </c>
      <c r="AE74" s="27">
        <f>V80</f>
        <v>44428</v>
      </c>
      <c r="AF74" s="27">
        <f t="shared" si="24"/>
        <v>51678</v>
      </c>
      <c r="AG74" s="27">
        <f t="shared" si="25"/>
        <v>-7250</v>
      </c>
    </row>
    <row r="75" ht="14.25" customHeight="1">
      <c r="O75" s="26" t="s">
        <v>10</v>
      </c>
      <c r="P75" s="27">
        <f t="shared" ref="P75:AA75" si="31">P11+P27+P43+P59</f>
        <v>5102</v>
      </c>
      <c r="Q75" s="27">
        <f t="shared" si="31"/>
        <v>0</v>
      </c>
      <c r="R75" s="27">
        <f t="shared" si="31"/>
        <v>10</v>
      </c>
      <c r="S75" s="27">
        <f t="shared" si="31"/>
        <v>1740</v>
      </c>
      <c r="T75" s="27">
        <f t="shared" si="31"/>
        <v>6420</v>
      </c>
      <c r="U75" s="27">
        <f t="shared" si="31"/>
        <v>4471</v>
      </c>
      <c r="V75" s="31">
        <f t="shared" si="31"/>
        <v>27046</v>
      </c>
      <c r="W75" s="31">
        <f t="shared" si="31"/>
        <v>0</v>
      </c>
      <c r="X75" s="31">
        <f t="shared" si="31"/>
        <v>4418</v>
      </c>
      <c r="Y75" s="31">
        <f t="shared" si="31"/>
        <v>209</v>
      </c>
      <c r="Z75" s="31">
        <f t="shared" si="31"/>
        <v>2027</v>
      </c>
      <c r="AA75" s="31">
        <f t="shared" si="31"/>
        <v>2</v>
      </c>
      <c r="AB75" s="27">
        <f t="shared" si="23"/>
        <v>51445</v>
      </c>
      <c r="AD75" s="26" t="s">
        <v>10</v>
      </c>
      <c r="AE75" s="27">
        <f>W80</f>
        <v>72292</v>
      </c>
      <c r="AF75" s="27">
        <f t="shared" si="24"/>
        <v>51445</v>
      </c>
      <c r="AG75" s="27">
        <f t="shared" si="25"/>
        <v>20847</v>
      </c>
    </row>
    <row r="76" ht="14.25" customHeight="1">
      <c r="O76" s="26" t="s">
        <v>8</v>
      </c>
      <c r="P76" s="27">
        <f t="shared" ref="P76:AA76" si="32">P12+P28+P44+P60</f>
        <v>24407</v>
      </c>
      <c r="Q76" s="27">
        <f t="shared" si="32"/>
        <v>1</v>
      </c>
      <c r="R76" s="27">
        <f t="shared" si="32"/>
        <v>1167</v>
      </c>
      <c r="S76" s="27">
        <f t="shared" si="32"/>
        <v>31566</v>
      </c>
      <c r="T76" s="27">
        <f t="shared" si="32"/>
        <v>38079</v>
      </c>
      <c r="U76" s="27">
        <f t="shared" si="32"/>
        <v>6793</v>
      </c>
      <c r="V76" s="31">
        <f t="shared" si="32"/>
        <v>17193</v>
      </c>
      <c r="W76" s="31">
        <f t="shared" si="32"/>
        <v>12592</v>
      </c>
      <c r="X76" s="31">
        <f t="shared" si="32"/>
        <v>0</v>
      </c>
      <c r="Y76" s="31">
        <f t="shared" si="32"/>
        <v>32568</v>
      </c>
      <c r="Z76" s="31">
        <f t="shared" si="32"/>
        <v>22140</v>
      </c>
      <c r="AA76" s="31">
        <f t="shared" si="32"/>
        <v>9</v>
      </c>
      <c r="AB76" s="27">
        <f t="shared" si="23"/>
        <v>186515</v>
      </c>
      <c r="AD76" s="26" t="s">
        <v>8</v>
      </c>
      <c r="AE76" s="27">
        <f>X80</f>
        <v>134715</v>
      </c>
      <c r="AF76" s="27">
        <f t="shared" si="24"/>
        <v>186515</v>
      </c>
      <c r="AG76" s="27">
        <f t="shared" si="25"/>
        <v>-51800</v>
      </c>
    </row>
    <row r="77" ht="14.25" customHeight="1">
      <c r="O77" s="26" t="s">
        <v>24</v>
      </c>
      <c r="P77" s="27">
        <f t="shared" ref="P77:AA77" si="33">P13+P29+P45+P61</f>
        <v>0</v>
      </c>
      <c r="Q77" s="27">
        <f t="shared" si="33"/>
        <v>0</v>
      </c>
      <c r="R77" s="27">
        <f t="shared" si="33"/>
        <v>0</v>
      </c>
      <c r="S77" s="27">
        <f t="shared" si="33"/>
        <v>20</v>
      </c>
      <c r="T77" s="27">
        <f t="shared" si="33"/>
        <v>0</v>
      </c>
      <c r="U77" s="27">
        <f t="shared" si="33"/>
        <v>11</v>
      </c>
      <c r="V77" s="31">
        <f t="shared" si="33"/>
        <v>0</v>
      </c>
      <c r="W77" s="31">
        <f t="shared" si="33"/>
        <v>65</v>
      </c>
      <c r="X77" s="31">
        <f t="shared" si="33"/>
        <v>96</v>
      </c>
      <c r="Y77" s="31">
        <f t="shared" si="33"/>
        <v>0</v>
      </c>
      <c r="Z77" s="31">
        <f t="shared" si="33"/>
        <v>1683</v>
      </c>
      <c r="AA77" s="31">
        <f t="shared" si="33"/>
        <v>0</v>
      </c>
      <c r="AB77" s="27">
        <f t="shared" si="23"/>
        <v>1875</v>
      </c>
      <c r="AD77" s="26" t="s">
        <v>24</v>
      </c>
      <c r="AE77" s="27">
        <f>Y80</f>
        <v>37784</v>
      </c>
      <c r="AF77" s="27">
        <f t="shared" si="24"/>
        <v>1875</v>
      </c>
      <c r="AG77" s="27">
        <f t="shared" si="25"/>
        <v>35909</v>
      </c>
    </row>
    <row r="78" ht="14.25" customHeight="1">
      <c r="O78" s="26" t="s">
        <v>31</v>
      </c>
      <c r="P78" s="27">
        <f t="shared" ref="P78:AA78" si="34">P14+P30+P46+P62</f>
        <v>18888</v>
      </c>
      <c r="Q78" s="27">
        <f t="shared" si="34"/>
        <v>0</v>
      </c>
      <c r="R78" s="27">
        <f t="shared" si="34"/>
        <v>1006</v>
      </c>
      <c r="S78" s="27">
        <f t="shared" si="34"/>
        <v>28520</v>
      </c>
      <c r="T78" s="27">
        <f t="shared" si="34"/>
        <v>38701</v>
      </c>
      <c r="U78" s="27">
        <f t="shared" si="34"/>
        <v>7743</v>
      </c>
      <c r="V78" s="31">
        <f t="shared" si="34"/>
        <v>0</v>
      </c>
      <c r="W78" s="31">
        <f t="shared" si="34"/>
        <v>2163</v>
      </c>
      <c r="X78" s="31">
        <f t="shared" si="34"/>
        <v>705</v>
      </c>
      <c r="Y78" s="31">
        <f t="shared" si="34"/>
        <v>4718</v>
      </c>
      <c r="Z78" s="31">
        <f t="shared" si="34"/>
        <v>3231</v>
      </c>
      <c r="AA78" s="31">
        <f t="shared" si="34"/>
        <v>14</v>
      </c>
      <c r="AB78" s="27">
        <f t="shared" si="23"/>
        <v>105689</v>
      </c>
      <c r="AD78" s="26" t="s">
        <v>31</v>
      </c>
      <c r="AE78" s="27">
        <f>Z80</f>
        <v>53088</v>
      </c>
      <c r="AF78" s="27">
        <f t="shared" si="24"/>
        <v>105689</v>
      </c>
      <c r="AG78" s="27">
        <f t="shared" si="25"/>
        <v>-52601</v>
      </c>
    </row>
    <row r="79" ht="14.25" customHeight="1">
      <c r="O79" s="26" t="s">
        <v>32</v>
      </c>
      <c r="P79" s="27">
        <f t="shared" ref="P79:AA79" si="35">P15+P31+P47+P63</f>
        <v>2596</v>
      </c>
      <c r="Q79" s="27">
        <f t="shared" si="35"/>
        <v>0</v>
      </c>
      <c r="R79" s="27">
        <f t="shared" si="35"/>
        <v>1344</v>
      </c>
      <c r="S79" s="27">
        <f t="shared" si="35"/>
        <v>13177</v>
      </c>
      <c r="T79" s="27">
        <f t="shared" si="35"/>
        <v>9263</v>
      </c>
      <c r="U79" s="27">
        <f t="shared" si="35"/>
        <v>6415</v>
      </c>
      <c r="V79" s="31">
        <f t="shared" si="35"/>
        <v>0</v>
      </c>
      <c r="W79" s="31">
        <f t="shared" si="35"/>
        <v>26</v>
      </c>
      <c r="X79" s="31">
        <f t="shared" si="35"/>
        <v>1857</v>
      </c>
      <c r="Y79" s="31">
        <f t="shared" si="35"/>
        <v>116</v>
      </c>
      <c r="Z79" s="31">
        <f t="shared" si="35"/>
        <v>2474</v>
      </c>
      <c r="AA79" s="31">
        <f t="shared" si="35"/>
        <v>0</v>
      </c>
      <c r="AB79" s="27">
        <f t="shared" si="23"/>
        <v>37268</v>
      </c>
      <c r="AD79" s="26" t="s">
        <v>32</v>
      </c>
      <c r="AE79" s="27">
        <f>AA80</f>
        <v>3457</v>
      </c>
      <c r="AF79" s="27">
        <f t="shared" si="24"/>
        <v>37268</v>
      </c>
      <c r="AG79" s="27">
        <f t="shared" si="25"/>
        <v>-33811</v>
      </c>
    </row>
    <row r="80" ht="14.25" customHeight="1">
      <c r="O80" s="32" t="s">
        <v>48</v>
      </c>
      <c r="P80" s="33">
        <f t="shared" ref="P80:AB80" si="36">SUM(P68:P79)</f>
        <v>90983</v>
      </c>
      <c r="Q80" s="33">
        <f t="shared" si="36"/>
        <v>1401</v>
      </c>
      <c r="R80" s="33">
        <f t="shared" si="36"/>
        <v>4265</v>
      </c>
      <c r="S80" s="33">
        <f t="shared" si="36"/>
        <v>98990</v>
      </c>
      <c r="T80" s="33">
        <f t="shared" si="36"/>
        <v>106220</v>
      </c>
      <c r="U80" s="33">
        <f t="shared" si="36"/>
        <v>33211</v>
      </c>
      <c r="V80" s="33">
        <f t="shared" si="36"/>
        <v>44428</v>
      </c>
      <c r="W80" s="33">
        <f t="shared" si="36"/>
        <v>72292</v>
      </c>
      <c r="X80" s="33">
        <f t="shared" si="36"/>
        <v>134715</v>
      </c>
      <c r="Y80" s="33">
        <f t="shared" si="36"/>
        <v>37784</v>
      </c>
      <c r="Z80" s="33">
        <f t="shared" si="36"/>
        <v>53088</v>
      </c>
      <c r="AA80" s="33">
        <f t="shared" si="36"/>
        <v>3457</v>
      </c>
      <c r="AB80" s="33">
        <f t="shared" si="36"/>
        <v>680834</v>
      </c>
      <c r="AD80" s="32" t="s">
        <v>49</v>
      </c>
      <c r="AE80" s="33">
        <f t="shared" ref="AE80:AF80" si="37">SUM(AE68:AE79)</f>
        <v>680834</v>
      </c>
      <c r="AF80" s="33">
        <f t="shared" si="37"/>
        <v>680834</v>
      </c>
      <c r="AG80" s="33">
        <f>ABS(AG68)+ABS(AG69)+ABS(AG70)+ABS(AG71)+ABS(AG72)+ABS(AG73)+ABS(AG74)+ABS(AG75)+ABS(AG76)+ABS(AG77)+ABS(AG78)+ABS(AG79)</f>
        <v>320460</v>
      </c>
      <c r="AI80" s="36">
        <f>AG98-AG80</f>
        <v>111072</v>
      </c>
    </row>
    <row r="81" ht="14.25" customHeight="1"/>
    <row r="82" ht="14.25" customHeight="1">
      <c r="O82" s="19" t="s">
        <v>58</v>
      </c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1"/>
      <c r="AD82" s="19" t="s">
        <v>59</v>
      </c>
      <c r="AE82" s="20"/>
      <c r="AF82" s="20"/>
      <c r="AG82" s="21"/>
    </row>
    <row r="83" ht="14.25" customHeight="1">
      <c r="O83" s="4" t="s">
        <v>42</v>
      </c>
      <c r="P83" s="4" t="s">
        <v>25</v>
      </c>
      <c r="Q83" s="4" t="s">
        <v>34</v>
      </c>
      <c r="R83" s="4" t="s">
        <v>35</v>
      </c>
      <c r="S83" s="4" t="s">
        <v>28</v>
      </c>
      <c r="T83" s="4" t="s">
        <v>9</v>
      </c>
      <c r="U83" s="4" t="s">
        <v>33</v>
      </c>
      <c r="V83" s="4" t="s">
        <v>11</v>
      </c>
      <c r="W83" s="4" t="s">
        <v>10</v>
      </c>
      <c r="X83" s="4" t="s">
        <v>8</v>
      </c>
      <c r="Y83" s="4" t="s">
        <v>24</v>
      </c>
      <c r="Z83" s="4" t="s">
        <v>31</v>
      </c>
      <c r="AA83" s="4" t="s">
        <v>32</v>
      </c>
      <c r="AB83" s="4" t="s">
        <v>43</v>
      </c>
      <c r="AD83" s="22" t="s">
        <v>44</v>
      </c>
      <c r="AE83" s="23" t="s">
        <v>45</v>
      </c>
      <c r="AF83" s="23" t="s">
        <v>46</v>
      </c>
      <c r="AG83" s="23" t="s">
        <v>47</v>
      </c>
    </row>
    <row r="84" ht="14.25" customHeight="1">
      <c r="O84" s="26" t="s">
        <v>25</v>
      </c>
      <c r="P84" s="27">
        <f t="shared" ref="P84:AA84" si="38">P68+P36+P52</f>
        <v>0</v>
      </c>
      <c r="Q84" s="27">
        <f t="shared" si="38"/>
        <v>0</v>
      </c>
      <c r="R84" s="27">
        <f t="shared" si="38"/>
        <v>19</v>
      </c>
      <c r="S84" s="27">
        <f t="shared" si="38"/>
        <v>13903</v>
      </c>
      <c r="T84" s="27">
        <f t="shared" si="38"/>
        <v>16790</v>
      </c>
      <c r="U84" s="27">
        <f t="shared" si="38"/>
        <v>6665</v>
      </c>
      <c r="V84" s="27">
        <f t="shared" si="38"/>
        <v>0</v>
      </c>
      <c r="W84" s="27">
        <f t="shared" si="38"/>
        <v>15100</v>
      </c>
      <c r="X84" s="27">
        <f t="shared" si="38"/>
        <v>112595</v>
      </c>
      <c r="Y84" s="27">
        <f t="shared" si="38"/>
        <v>6</v>
      </c>
      <c r="Z84" s="27">
        <f t="shared" si="38"/>
        <v>11569</v>
      </c>
      <c r="AA84" s="27">
        <f t="shared" si="38"/>
        <v>1417</v>
      </c>
      <c r="AB84" s="27">
        <f t="shared" ref="AB84:AB95" si="40">SUM(P84:AA84)</f>
        <v>178064</v>
      </c>
      <c r="AD84" s="26" t="s">
        <v>25</v>
      </c>
      <c r="AE84" s="27">
        <f>P96</f>
        <v>168494</v>
      </c>
      <c r="AF84" s="27">
        <f t="shared" ref="AF84:AF95" si="41">AB84</f>
        <v>178064</v>
      </c>
      <c r="AG84" s="27">
        <f t="shared" ref="AG84:AG95" si="42">AE84-AF84</f>
        <v>-9570</v>
      </c>
    </row>
    <row r="85" ht="14.25" customHeight="1">
      <c r="O85" s="26" t="s">
        <v>34</v>
      </c>
      <c r="P85" s="27">
        <f t="shared" ref="P85:AA85" si="39">P69+P37+P53</f>
        <v>0</v>
      </c>
      <c r="Q85" s="27">
        <f t="shared" si="39"/>
        <v>0</v>
      </c>
      <c r="R85" s="27">
        <f t="shared" si="39"/>
        <v>0</v>
      </c>
      <c r="S85" s="27">
        <f t="shared" si="39"/>
        <v>8179</v>
      </c>
      <c r="T85" s="27">
        <f t="shared" si="39"/>
        <v>0</v>
      </c>
      <c r="U85" s="27">
        <f t="shared" si="39"/>
        <v>82</v>
      </c>
      <c r="V85" s="27">
        <f t="shared" si="39"/>
        <v>0</v>
      </c>
      <c r="W85" s="27">
        <f t="shared" si="39"/>
        <v>0</v>
      </c>
      <c r="X85" s="27">
        <f t="shared" si="39"/>
        <v>5105</v>
      </c>
      <c r="Y85" s="27">
        <f t="shared" si="39"/>
        <v>0</v>
      </c>
      <c r="Z85" s="27">
        <f t="shared" si="39"/>
        <v>217</v>
      </c>
      <c r="AA85" s="27">
        <f t="shared" si="39"/>
        <v>39</v>
      </c>
      <c r="AB85" s="27">
        <f t="shared" si="40"/>
        <v>13622</v>
      </c>
      <c r="AD85" s="26" t="s">
        <v>34</v>
      </c>
      <c r="AE85" s="27">
        <f>Q96</f>
        <v>2475</v>
      </c>
      <c r="AF85" s="27">
        <f t="shared" si="41"/>
        <v>13622</v>
      </c>
      <c r="AG85" s="27">
        <f t="shared" si="42"/>
        <v>-11147</v>
      </c>
    </row>
    <row r="86" ht="14.25" customHeight="1">
      <c r="O86" s="26" t="s">
        <v>35</v>
      </c>
      <c r="P86" s="27">
        <f t="shared" ref="P86:AA86" si="43">P70+P38+P54</f>
        <v>0</v>
      </c>
      <c r="Q86" s="27">
        <f t="shared" si="43"/>
        <v>0</v>
      </c>
      <c r="R86" s="27">
        <f t="shared" si="43"/>
        <v>0</v>
      </c>
      <c r="S86" s="27">
        <f t="shared" si="43"/>
        <v>111</v>
      </c>
      <c r="T86" s="27">
        <f t="shared" si="43"/>
        <v>0</v>
      </c>
      <c r="U86" s="27">
        <f t="shared" si="43"/>
        <v>0</v>
      </c>
      <c r="V86" s="27">
        <f t="shared" si="43"/>
        <v>0</v>
      </c>
      <c r="W86" s="27">
        <f t="shared" si="43"/>
        <v>0</v>
      </c>
      <c r="X86" s="27">
        <f t="shared" si="43"/>
        <v>104</v>
      </c>
      <c r="Y86" s="27">
        <f t="shared" si="43"/>
        <v>0</v>
      </c>
      <c r="Z86" s="27">
        <f t="shared" si="43"/>
        <v>0</v>
      </c>
      <c r="AA86" s="27">
        <f t="shared" si="43"/>
        <v>15</v>
      </c>
      <c r="AB86" s="27">
        <f t="shared" si="40"/>
        <v>230</v>
      </c>
      <c r="AD86" s="26" t="s">
        <v>35</v>
      </c>
      <c r="AE86" s="27">
        <f>R96</f>
        <v>6929</v>
      </c>
      <c r="AF86" s="27">
        <f t="shared" si="41"/>
        <v>230</v>
      </c>
      <c r="AG86" s="27">
        <f t="shared" si="42"/>
        <v>6699</v>
      </c>
    </row>
    <row r="87" ht="14.25" customHeight="1">
      <c r="O87" s="26" t="s">
        <v>28</v>
      </c>
      <c r="P87" s="27">
        <f t="shared" ref="P87:AA87" si="44">P71+P39+P55</f>
        <v>23842</v>
      </c>
      <c r="Q87" s="27">
        <f t="shared" si="44"/>
        <v>2473</v>
      </c>
      <c r="R87" s="27">
        <f t="shared" si="44"/>
        <v>384</v>
      </c>
      <c r="S87" s="27">
        <f t="shared" si="44"/>
        <v>0</v>
      </c>
      <c r="T87" s="27">
        <f t="shared" si="44"/>
        <v>5278</v>
      </c>
      <c r="U87" s="27">
        <f t="shared" si="44"/>
        <v>697</v>
      </c>
      <c r="V87" s="27">
        <f t="shared" si="44"/>
        <v>0</v>
      </c>
      <c r="W87" s="27">
        <f t="shared" si="44"/>
        <v>2335</v>
      </c>
      <c r="X87" s="27">
        <f t="shared" si="44"/>
        <v>25277</v>
      </c>
      <c r="Y87" s="27">
        <f t="shared" si="44"/>
        <v>0</v>
      </c>
      <c r="Z87" s="27">
        <f t="shared" si="44"/>
        <v>10587</v>
      </c>
      <c r="AA87" s="27">
        <f t="shared" si="44"/>
        <v>1164</v>
      </c>
      <c r="AB87" s="27">
        <f t="shared" si="40"/>
        <v>72037</v>
      </c>
      <c r="AD87" s="26" t="s">
        <v>28</v>
      </c>
      <c r="AE87" s="27">
        <f>S96</f>
        <v>163464</v>
      </c>
      <c r="AF87" s="27">
        <f t="shared" si="41"/>
        <v>72037</v>
      </c>
      <c r="AG87" s="27">
        <f t="shared" si="42"/>
        <v>91427</v>
      </c>
    </row>
    <row r="88" ht="14.25" customHeight="1">
      <c r="O88" s="26" t="s">
        <v>9</v>
      </c>
      <c r="P88" s="27">
        <f t="shared" ref="P88:AA88" si="45">P72+P40+P56</f>
        <v>40255</v>
      </c>
      <c r="Q88" s="27">
        <f t="shared" si="45"/>
        <v>0</v>
      </c>
      <c r="R88" s="27">
        <f t="shared" si="45"/>
        <v>885</v>
      </c>
      <c r="S88" s="27">
        <f t="shared" si="45"/>
        <v>12390</v>
      </c>
      <c r="T88" s="27">
        <f t="shared" si="45"/>
        <v>0</v>
      </c>
      <c r="U88" s="27">
        <f t="shared" si="45"/>
        <v>4273</v>
      </c>
      <c r="V88" s="27">
        <f t="shared" si="45"/>
        <v>223</v>
      </c>
      <c r="W88" s="27">
        <f t="shared" si="45"/>
        <v>5021</v>
      </c>
      <c r="X88" s="27">
        <f t="shared" si="45"/>
        <v>28128</v>
      </c>
      <c r="Y88" s="27">
        <f t="shared" si="45"/>
        <v>9</v>
      </c>
      <c r="Z88" s="27">
        <f t="shared" si="45"/>
        <v>9423</v>
      </c>
      <c r="AA88" s="27">
        <f t="shared" si="45"/>
        <v>2190</v>
      </c>
      <c r="AB88" s="27">
        <f t="shared" si="40"/>
        <v>102797</v>
      </c>
      <c r="AD88" s="26" t="s">
        <v>9</v>
      </c>
      <c r="AE88" s="27">
        <f>T96</f>
        <v>184546</v>
      </c>
      <c r="AF88" s="27">
        <f t="shared" si="41"/>
        <v>102797</v>
      </c>
      <c r="AG88" s="27">
        <f t="shared" si="42"/>
        <v>81749</v>
      </c>
    </row>
    <row r="89" ht="14.25" customHeight="1">
      <c r="O89" s="26" t="s">
        <v>33</v>
      </c>
      <c r="P89" s="27">
        <f t="shared" ref="P89:AA89" si="46">P73+P41+P57</f>
        <v>7339</v>
      </c>
      <c r="Q89" s="27">
        <f t="shared" si="46"/>
        <v>0</v>
      </c>
      <c r="R89" s="27">
        <f t="shared" si="46"/>
        <v>164</v>
      </c>
      <c r="S89" s="27">
        <f t="shared" si="46"/>
        <v>5495</v>
      </c>
      <c r="T89" s="27">
        <f t="shared" si="46"/>
        <v>4078</v>
      </c>
      <c r="U89" s="27">
        <f t="shared" si="46"/>
        <v>0</v>
      </c>
      <c r="V89" s="27">
        <f t="shared" si="46"/>
        <v>127</v>
      </c>
      <c r="W89" s="27">
        <f t="shared" si="46"/>
        <v>3909</v>
      </c>
      <c r="X89" s="27">
        <f t="shared" si="46"/>
        <v>33493</v>
      </c>
      <c r="Y89" s="27">
        <f t="shared" si="46"/>
        <v>274</v>
      </c>
      <c r="Z89" s="27">
        <f t="shared" si="46"/>
        <v>5401</v>
      </c>
      <c r="AA89" s="27">
        <f t="shared" si="46"/>
        <v>1125</v>
      </c>
      <c r="AB89" s="27">
        <f t="shared" si="40"/>
        <v>61405</v>
      </c>
      <c r="AD89" s="26" t="s">
        <v>33</v>
      </c>
      <c r="AE89" s="27">
        <f>U96</f>
        <v>51698</v>
      </c>
      <c r="AF89" s="27">
        <f t="shared" si="41"/>
        <v>61405</v>
      </c>
      <c r="AG89" s="27">
        <f t="shared" si="42"/>
        <v>-9707</v>
      </c>
    </row>
    <row r="90" ht="14.25" customHeight="1">
      <c r="O90" s="26" t="s">
        <v>11</v>
      </c>
      <c r="P90" s="27">
        <f t="shared" ref="P90:AA90" si="47">P74+P42+P58</f>
        <v>2520</v>
      </c>
      <c r="Q90" s="27">
        <f t="shared" si="47"/>
        <v>0</v>
      </c>
      <c r="R90" s="27">
        <f t="shared" si="47"/>
        <v>0</v>
      </c>
      <c r="S90" s="27">
        <f t="shared" si="47"/>
        <v>0</v>
      </c>
      <c r="T90" s="27">
        <f t="shared" si="47"/>
        <v>61</v>
      </c>
      <c r="U90" s="27">
        <f t="shared" si="47"/>
        <v>0</v>
      </c>
      <c r="V90" s="31">
        <f t="shared" si="47"/>
        <v>0</v>
      </c>
      <c r="W90" s="31">
        <f t="shared" si="47"/>
        <v>45757</v>
      </c>
      <c r="X90" s="31">
        <f t="shared" si="47"/>
        <v>10471</v>
      </c>
      <c r="Y90" s="31">
        <f t="shared" si="47"/>
        <v>0</v>
      </c>
      <c r="Z90" s="31">
        <f t="shared" si="47"/>
        <v>128</v>
      </c>
      <c r="AA90" s="31">
        <f t="shared" si="47"/>
        <v>18</v>
      </c>
      <c r="AB90" s="27">
        <f t="shared" si="40"/>
        <v>58955</v>
      </c>
      <c r="AD90" s="26" t="s">
        <v>11</v>
      </c>
      <c r="AE90" s="27">
        <f>V96</f>
        <v>74694</v>
      </c>
      <c r="AF90" s="27">
        <f t="shared" si="41"/>
        <v>58955</v>
      </c>
      <c r="AG90" s="27">
        <f t="shared" si="42"/>
        <v>15739</v>
      </c>
    </row>
    <row r="91" ht="14.25" customHeight="1">
      <c r="O91" s="26" t="s">
        <v>10</v>
      </c>
      <c r="P91" s="27">
        <f t="shared" ref="P91:AA91" si="48">P75+P43+P59</f>
        <v>8434</v>
      </c>
      <c r="Q91" s="27">
        <f t="shared" si="48"/>
        <v>0</v>
      </c>
      <c r="R91" s="27">
        <f t="shared" si="48"/>
        <v>20</v>
      </c>
      <c r="S91" s="27">
        <f t="shared" si="48"/>
        <v>3157</v>
      </c>
      <c r="T91" s="27">
        <f t="shared" si="48"/>
        <v>12323</v>
      </c>
      <c r="U91" s="27">
        <f t="shared" si="48"/>
        <v>8279</v>
      </c>
      <c r="V91" s="31">
        <f t="shared" si="48"/>
        <v>44944</v>
      </c>
      <c r="W91" s="31">
        <f t="shared" si="48"/>
        <v>0</v>
      </c>
      <c r="X91" s="31">
        <f t="shared" si="48"/>
        <v>7520</v>
      </c>
      <c r="Y91" s="31">
        <f t="shared" si="48"/>
        <v>322</v>
      </c>
      <c r="Z91" s="31">
        <f t="shared" si="48"/>
        <v>3292</v>
      </c>
      <c r="AA91" s="31">
        <f t="shared" si="48"/>
        <v>4</v>
      </c>
      <c r="AB91" s="27">
        <f t="shared" si="40"/>
        <v>88295</v>
      </c>
      <c r="AD91" s="26" t="s">
        <v>10</v>
      </c>
      <c r="AE91" s="27">
        <f>W96</f>
        <v>96792</v>
      </c>
      <c r="AF91" s="27">
        <f t="shared" si="41"/>
        <v>88295</v>
      </c>
      <c r="AG91" s="27">
        <f t="shared" si="42"/>
        <v>8497</v>
      </c>
    </row>
    <row r="92" ht="14.25" customHeight="1">
      <c r="O92" s="26" t="s">
        <v>8</v>
      </c>
      <c r="P92" s="27">
        <f t="shared" ref="P92:AA92" si="49">P76+P44+P60</f>
        <v>44756</v>
      </c>
      <c r="Q92" s="27">
        <f t="shared" si="49"/>
        <v>2</v>
      </c>
      <c r="R92" s="27">
        <f t="shared" si="49"/>
        <v>2303</v>
      </c>
      <c r="S92" s="27">
        <f t="shared" si="49"/>
        <v>56746</v>
      </c>
      <c r="T92" s="27">
        <f t="shared" si="49"/>
        <v>69572</v>
      </c>
      <c r="U92" s="27">
        <f t="shared" si="49"/>
        <v>11507</v>
      </c>
      <c r="V92" s="31">
        <f t="shared" si="49"/>
        <v>29400</v>
      </c>
      <c r="W92" s="31">
        <f t="shared" si="49"/>
        <v>20962</v>
      </c>
      <c r="X92" s="31">
        <f t="shared" si="49"/>
        <v>0</v>
      </c>
      <c r="Y92" s="31">
        <f t="shared" si="49"/>
        <v>56327</v>
      </c>
      <c r="Z92" s="31">
        <f t="shared" si="49"/>
        <v>39711</v>
      </c>
      <c r="AA92" s="31">
        <f t="shared" si="49"/>
        <v>18</v>
      </c>
      <c r="AB92" s="27">
        <f t="shared" si="40"/>
        <v>331304</v>
      </c>
      <c r="AD92" s="26" t="s">
        <v>8</v>
      </c>
      <c r="AE92" s="27">
        <f>X96</f>
        <v>227291</v>
      </c>
      <c r="AF92" s="27">
        <f t="shared" si="41"/>
        <v>331304</v>
      </c>
      <c r="AG92" s="27">
        <f t="shared" si="42"/>
        <v>-104013</v>
      </c>
    </row>
    <row r="93" ht="14.25" customHeight="1">
      <c r="O93" s="26" t="s">
        <v>24</v>
      </c>
      <c r="P93" s="27">
        <f t="shared" ref="P93:AA93" si="50">P77+P45+P61</f>
        <v>0</v>
      </c>
      <c r="Q93" s="27">
        <f t="shared" si="50"/>
        <v>0</v>
      </c>
      <c r="R93" s="27">
        <f t="shared" si="50"/>
        <v>0</v>
      </c>
      <c r="S93" s="27">
        <f t="shared" si="50"/>
        <v>29</v>
      </c>
      <c r="T93" s="27">
        <f t="shared" si="50"/>
        <v>0</v>
      </c>
      <c r="U93" s="27">
        <f t="shared" si="50"/>
        <v>11</v>
      </c>
      <c r="V93" s="31">
        <f t="shared" si="50"/>
        <v>0</v>
      </c>
      <c r="W93" s="31">
        <f t="shared" si="50"/>
        <v>127</v>
      </c>
      <c r="X93" s="31">
        <f t="shared" si="50"/>
        <v>191</v>
      </c>
      <c r="Y93" s="31">
        <f t="shared" si="50"/>
        <v>0</v>
      </c>
      <c r="Z93" s="31">
        <f t="shared" si="50"/>
        <v>2911</v>
      </c>
      <c r="AA93" s="31">
        <f t="shared" si="50"/>
        <v>0</v>
      </c>
      <c r="AB93" s="27">
        <f t="shared" si="40"/>
        <v>3269</v>
      </c>
      <c r="AD93" s="26" t="s">
        <v>24</v>
      </c>
      <c r="AE93" s="27">
        <f>Y96</f>
        <v>64999</v>
      </c>
      <c r="AF93" s="27">
        <f t="shared" si="41"/>
        <v>3269</v>
      </c>
      <c r="AG93" s="27">
        <f t="shared" si="42"/>
        <v>61730</v>
      </c>
    </row>
    <row r="94" ht="14.25" customHeight="1">
      <c r="O94" s="26" t="s">
        <v>31</v>
      </c>
      <c r="P94" s="27">
        <f t="shared" ref="P94:AA94" si="51">P78+P46+P62</f>
        <v>36324</v>
      </c>
      <c r="Q94" s="27">
        <f t="shared" si="51"/>
        <v>0</v>
      </c>
      <c r="R94" s="27">
        <f t="shared" si="51"/>
        <v>1666</v>
      </c>
      <c r="S94" s="27">
        <f t="shared" si="51"/>
        <v>45197</v>
      </c>
      <c r="T94" s="27">
        <f t="shared" si="51"/>
        <v>63792</v>
      </c>
      <c r="U94" s="27">
        <f t="shared" si="51"/>
        <v>11283</v>
      </c>
      <c r="V94" s="31">
        <f t="shared" si="51"/>
        <v>0</v>
      </c>
      <c r="W94" s="31">
        <f t="shared" si="51"/>
        <v>3547</v>
      </c>
      <c r="X94" s="31">
        <f t="shared" si="51"/>
        <v>1154</v>
      </c>
      <c r="Y94" s="31">
        <f t="shared" si="51"/>
        <v>7853</v>
      </c>
      <c r="Z94" s="31">
        <f t="shared" si="51"/>
        <v>5658</v>
      </c>
      <c r="AA94" s="31">
        <f t="shared" si="51"/>
        <v>22</v>
      </c>
      <c r="AB94" s="27">
        <f t="shared" si="40"/>
        <v>176496</v>
      </c>
      <c r="AD94" s="26" t="s">
        <v>31</v>
      </c>
      <c r="AE94" s="27">
        <f>Z96</f>
        <v>93457</v>
      </c>
      <c r="AF94" s="27">
        <f t="shared" si="41"/>
        <v>176496</v>
      </c>
      <c r="AG94" s="27">
        <f t="shared" si="42"/>
        <v>-83039</v>
      </c>
    </row>
    <row r="95" ht="14.25" customHeight="1">
      <c r="O95" s="26" t="s">
        <v>32</v>
      </c>
      <c r="P95" s="27">
        <f t="shared" ref="P95:AA95" si="52">P79+P47+P63</f>
        <v>5024</v>
      </c>
      <c r="Q95" s="27">
        <f t="shared" si="52"/>
        <v>0</v>
      </c>
      <c r="R95" s="27">
        <f t="shared" si="52"/>
        <v>1488</v>
      </c>
      <c r="S95" s="27">
        <f t="shared" si="52"/>
        <v>18257</v>
      </c>
      <c r="T95" s="27">
        <f t="shared" si="52"/>
        <v>12652</v>
      </c>
      <c r="U95" s="27">
        <f t="shared" si="52"/>
        <v>8901</v>
      </c>
      <c r="V95" s="31">
        <f t="shared" si="52"/>
        <v>0</v>
      </c>
      <c r="W95" s="31">
        <f t="shared" si="52"/>
        <v>34</v>
      </c>
      <c r="X95" s="31">
        <f t="shared" si="52"/>
        <v>3253</v>
      </c>
      <c r="Y95" s="31">
        <f t="shared" si="52"/>
        <v>208</v>
      </c>
      <c r="Z95" s="31">
        <f t="shared" si="52"/>
        <v>4560</v>
      </c>
      <c r="AA95" s="31">
        <f t="shared" si="52"/>
        <v>0</v>
      </c>
      <c r="AB95" s="27">
        <f t="shared" si="40"/>
        <v>54377</v>
      </c>
      <c r="AD95" s="26" t="s">
        <v>32</v>
      </c>
      <c r="AE95" s="27">
        <f>AA96</f>
        <v>6012</v>
      </c>
      <c r="AF95" s="27">
        <f t="shared" si="41"/>
        <v>54377</v>
      </c>
      <c r="AG95" s="27">
        <f t="shared" si="42"/>
        <v>-48365</v>
      </c>
    </row>
    <row r="96" ht="14.25" customHeight="1">
      <c r="O96" s="32" t="s">
        <v>48</v>
      </c>
      <c r="P96" s="33">
        <f t="shared" ref="P96:AB96" si="53">SUM(P84:P95)</f>
        <v>168494</v>
      </c>
      <c r="Q96" s="33">
        <f t="shared" si="53"/>
        <v>2475</v>
      </c>
      <c r="R96" s="33">
        <f t="shared" si="53"/>
        <v>6929</v>
      </c>
      <c r="S96" s="33">
        <f t="shared" si="53"/>
        <v>163464</v>
      </c>
      <c r="T96" s="33">
        <f t="shared" si="53"/>
        <v>184546</v>
      </c>
      <c r="U96" s="33">
        <f t="shared" si="53"/>
        <v>51698</v>
      </c>
      <c r="V96" s="33">
        <f t="shared" si="53"/>
        <v>74694</v>
      </c>
      <c r="W96" s="33">
        <f t="shared" si="53"/>
        <v>96792</v>
      </c>
      <c r="X96" s="33">
        <f t="shared" si="53"/>
        <v>227291</v>
      </c>
      <c r="Y96" s="33">
        <f t="shared" si="53"/>
        <v>64999</v>
      </c>
      <c r="Z96" s="33">
        <f t="shared" si="53"/>
        <v>93457</v>
      </c>
      <c r="AA96" s="33">
        <f t="shared" si="53"/>
        <v>6012</v>
      </c>
      <c r="AB96" s="33">
        <f t="shared" si="53"/>
        <v>1140851</v>
      </c>
      <c r="AD96" s="32" t="s">
        <v>49</v>
      </c>
      <c r="AE96" s="33">
        <f t="shared" ref="AE96:AF96" si="54">SUM(AE84:AE95)</f>
        <v>1140851</v>
      </c>
      <c r="AF96" s="33">
        <f t="shared" si="54"/>
        <v>1140851</v>
      </c>
      <c r="AG96" s="33">
        <f>ABS(AG84)+ABS(AG85)+ABS(AG86)+ABS(AG87)+ABS(AG88)+ABS(AG89)+ABS(AG90)+ABS(AG91)+ABS(AG92)+ABS(AG93)+ABS(AG94)+ABS(AG95)</f>
        <v>531682</v>
      </c>
    </row>
    <row r="97" ht="14.25" customHeight="1"/>
    <row r="98" ht="14.25" customHeight="1">
      <c r="AA98" s="37" t="s">
        <v>60</v>
      </c>
      <c r="AB98" s="36">
        <v>1251300.0</v>
      </c>
      <c r="AF98" s="37" t="s">
        <v>61</v>
      </c>
      <c r="AG98" s="36">
        <f>AG16+AG32+AG48+AG64</f>
        <v>431532</v>
      </c>
    </row>
    <row r="99" ht="14.25" customHeight="1">
      <c r="AA99" s="37" t="s">
        <v>62</v>
      </c>
      <c r="AB99" s="36">
        <f>AB96</f>
        <v>1140851</v>
      </c>
    </row>
    <row r="100" ht="14.25" customHeight="1">
      <c r="AA100" s="37" t="s">
        <v>63</v>
      </c>
      <c r="AB100" s="36">
        <f>AB99-AB98</f>
        <v>-110449</v>
      </c>
    </row>
    <row r="101" ht="14.25" customHeight="1">
      <c r="AA101" s="37" t="s">
        <v>64</v>
      </c>
      <c r="AB101" s="38">
        <f>AB99/AB98-1</f>
        <v>-0.0882674019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O50:AB50"/>
    <mergeCell ref="O66:AB66"/>
    <mergeCell ref="AD66:AG66"/>
    <mergeCell ref="O82:AB82"/>
    <mergeCell ref="AD82:AG82"/>
    <mergeCell ref="O2:AB2"/>
    <mergeCell ref="AD2:AG2"/>
    <mergeCell ref="O18:AB18"/>
    <mergeCell ref="AD18:AG18"/>
    <mergeCell ref="O34:AB34"/>
    <mergeCell ref="AD34:AG34"/>
    <mergeCell ref="AD50:AG50"/>
  </mergeCells>
  <printOptions/>
  <pageMargins bottom="0.787401575" footer="0.0" header="0.0" left="0.511811024" right="0.511811024" top="0.7874015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14.43"/>
    <col customWidth="1" min="3" max="3" width="9.43"/>
    <col customWidth="1" min="4" max="5" width="7.43"/>
    <col customWidth="1" min="6" max="7" width="9.43"/>
    <col customWidth="1" min="8" max="8" width="8.43"/>
    <col customWidth="1" min="9" max="9" width="6.0"/>
    <col customWidth="1" min="10" max="10" width="8.43"/>
    <col customWidth="1" min="11" max="11" width="9.43"/>
    <col customWidth="1" min="12" max="12" width="6.0"/>
    <col customWidth="1" min="13" max="13" width="8.43"/>
    <col customWidth="1" min="14" max="14" width="7.43"/>
    <col customWidth="1" min="15" max="15" width="12.43"/>
  </cols>
  <sheetData>
    <row r="2">
      <c r="B2" s="19" t="s">
        <v>39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1"/>
      <c r="P2" s="39" t="s">
        <v>65</v>
      </c>
    </row>
    <row r="3">
      <c r="B3" s="4" t="s">
        <v>42</v>
      </c>
      <c r="C3" s="4" t="s">
        <v>25</v>
      </c>
      <c r="D3" s="4" t="s">
        <v>34</v>
      </c>
      <c r="E3" s="4" t="s">
        <v>35</v>
      </c>
      <c r="F3" s="4" t="s">
        <v>28</v>
      </c>
      <c r="G3" s="4" t="s">
        <v>9</v>
      </c>
      <c r="H3" s="4" t="s">
        <v>33</v>
      </c>
      <c r="I3" s="4" t="s">
        <v>11</v>
      </c>
      <c r="J3" s="4" t="s">
        <v>10</v>
      </c>
      <c r="K3" s="4" t="s">
        <v>8</v>
      </c>
      <c r="L3" s="4" t="s">
        <v>24</v>
      </c>
      <c r="M3" s="4" t="s">
        <v>31</v>
      </c>
      <c r="N3" s="4" t="s">
        <v>32</v>
      </c>
      <c r="O3" s="4" t="s">
        <v>43</v>
      </c>
      <c r="P3" s="39" t="s">
        <v>66</v>
      </c>
    </row>
    <row r="4">
      <c r="B4" s="26" t="s">
        <v>25</v>
      </c>
      <c r="C4" s="27"/>
      <c r="D4" s="27"/>
      <c r="E4" s="27">
        <v>1.0</v>
      </c>
      <c r="F4" s="27">
        <v>1747.0</v>
      </c>
      <c r="G4" s="27">
        <v>313.0</v>
      </c>
      <c r="H4" s="27">
        <v>329.0</v>
      </c>
      <c r="I4" s="27"/>
      <c r="J4" s="27">
        <v>1002.0</v>
      </c>
      <c r="K4" s="27">
        <v>2513.0</v>
      </c>
      <c r="L4" s="27"/>
      <c r="M4" s="27">
        <v>475.0</v>
      </c>
      <c r="N4" s="27">
        <v>19.0</v>
      </c>
      <c r="O4" s="27">
        <f t="shared" ref="O4:O15" si="1">SUM(C4:N4)</f>
        <v>6399</v>
      </c>
    </row>
    <row r="5">
      <c r="B5" s="26" t="s">
        <v>34</v>
      </c>
      <c r="C5" s="27"/>
      <c r="D5" s="27"/>
      <c r="E5" s="27"/>
      <c r="F5" s="27">
        <v>3833.0</v>
      </c>
      <c r="G5" s="27"/>
      <c r="H5" s="27">
        <v>50.0</v>
      </c>
      <c r="I5" s="27"/>
      <c r="J5" s="27"/>
      <c r="K5" s="27">
        <v>3453.0</v>
      </c>
      <c r="L5" s="27"/>
      <c r="M5" s="27">
        <v>33.0</v>
      </c>
      <c r="N5" s="27">
        <v>25.0</v>
      </c>
      <c r="O5" s="27">
        <f t="shared" si="1"/>
        <v>7394</v>
      </c>
    </row>
    <row r="6">
      <c r="B6" s="26" t="s">
        <v>35</v>
      </c>
      <c r="C6" s="27"/>
      <c r="D6" s="27"/>
      <c r="E6" s="27"/>
      <c r="F6" s="27">
        <v>9.0</v>
      </c>
      <c r="G6" s="27"/>
      <c r="H6" s="27"/>
      <c r="I6" s="27"/>
      <c r="J6" s="27"/>
      <c r="K6" s="27"/>
      <c r="L6" s="27"/>
      <c r="M6" s="27"/>
      <c r="N6" s="27">
        <v>9.0</v>
      </c>
      <c r="O6" s="27">
        <f t="shared" si="1"/>
        <v>18</v>
      </c>
    </row>
    <row r="7">
      <c r="B7" s="26" t="s">
        <v>28</v>
      </c>
      <c r="C7" s="27">
        <v>2926.0</v>
      </c>
      <c r="D7" s="27">
        <v>327.0</v>
      </c>
      <c r="E7" s="27">
        <v>22.0</v>
      </c>
      <c r="F7" s="27"/>
      <c r="G7" s="27">
        <v>282.0</v>
      </c>
      <c r="H7" s="27">
        <v>491.0</v>
      </c>
      <c r="I7" s="27"/>
      <c r="J7" s="27">
        <v>1239.0</v>
      </c>
      <c r="K7" s="27">
        <v>9135.0</v>
      </c>
      <c r="L7" s="27"/>
      <c r="M7" s="27">
        <v>4055.0</v>
      </c>
      <c r="N7" s="27">
        <v>432.0</v>
      </c>
      <c r="O7" s="36">
        <f t="shared" si="1"/>
        <v>18909</v>
      </c>
    </row>
    <row r="8">
      <c r="B8" s="26" t="s">
        <v>9</v>
      </c>
      <c r="C8" s="27">
        <v>2039.0</v>
      </c>
      <c r="D8" s="27"/>
      <c r="E8" s="27">
        <v>1.0</v>
      </c>
      <c r="F8" s="27">
        <v>1481.0</v>
      </c>
      <c r="G8" s="27"/>
      <c r="H8" s="27">
        <v>2967.0</v>
      </c>
      <c r="I8" s="27">
        <v>17.0</v>
      </c>
      <c r="J8" s="27">
        <v>1887.0</v>
      </c>
      <c r="K8" s="27">
        <v>8519.0</v>
      </c>
      <c r="L8" s="27">
        <v>1.0</v>
      </c>
      <c r="M8" s="27">
        <v>827.0</v>
      </c>
      <c r="N8" s="27">
        <v>264.0</v>
      </c>
      <c r="O8" s="36">
        <f t="shared" si="1"/>
        <v>18003</v>
      </c>
    </row>
    <row r="9">
      <c r="B9" s="26" t="s">
        <v>33</v>
      </c>
      <c r="C9" s="27">
        <v>407.0</v>
      </c>
      <c r="D9" s="27"/>
      <c r="E9" s="27"/>
      <c r="F9" s="27">
        <v>779.0</v>
      </c>
      <c r="G9" s="27">
        <v>670.0</v>
      </c>
      <c r="H9" s="27"/>
      <c r="I9" s="27">
        <v>11.0</v>
      </c>
      <c r="J9" s="27">
        <v>565.0</v>
      </c>
      <c r="K9" s="27">
        <v>10907.0</v>
      </c>
      <c r="L9" s="27">
        <v>56.0</v>
      </c>
      <c r="M9" s="27">
        <v>289.0</v>
      </c>
      <c r="N9" s="27">
        <v>145.0</v>
      </c>
      <c r="O9" s="36">
        <f t="shared" si="1"/>
        <v>13829</v>
      </c>
    </row>
    <row r="10">
      <c r="B10" s="26" t="s">
        <v>11</v>
      </c>
      <c r="C10" s="27">
        <v>652.0</v>
      </c>
      <c r="D10" s="27"/>
      <c r="E10" s="27"/>
      <c r="F10" s="27"/>
      <c r="G10" s="27">
        <v>39.0</v>
      </c>
      <c r="H10" s="27"/>
      <c r="I10" s="31"/>
      <c r="J10" s="31"/>
      <c r="K10" s="31"/>
      <c r="L10" s="31"/>
      <c r="M10" s="31"/>
      <c r="N10" s="31"/>
      <c r="O10" s="27">
        <f t="shared" si="1"/>
        <v>691</v>
      </c>
    </row>
    <row r="11">
      <c r="B11" s="26" t="s">
        <v>10</v>
      </c>
      <c r="C11" s="27">
        <v>1770.0</v>
      </c>
      <c r="D11" s="27"/>
      <c r="E11" s="27"/>
      <c r="F11" s="27">
        <v>322.0</v>
      </c>
      <c r="G11" s="27">
        <v>517.0</v>
      </c>
      <c r="H11" s="27">
        <v>663.0</v>
      </c>
      <c r="I11" s="31"/>
      <c r="J11" s="31"/>
      <c r="K11" s="31"/>
      <c r="L11" s="31"/>
      <c r="M11" s="31"/>
      <c r="N11" s="31"/>
      <c r="O11" s="27">
        <f t="shared" si="1"/>
        <v>3272</v>
      </c>
    </row>
    <row r="12">
      <c r="B12" s="26" t="s">
        <v>8</v>
      </c>
      <c r="C12" s="27">
        <v>4058.0</v>
      </c>
      <c r="D12" s="27"/>
      <c r="E12" s="27">
        <v>31.0</v>
      </c>
      <c r="F12" s="27">
        <v>6369.0</v>
      </c>
      <c r="G12" s="27">
        <v>6570.0</v>
      </c>
      <c r="H12" s="27">
        <v>2077.0</v>
      </c>
      <c r="I12" s="31"/>
      <c r="J12" s="31"/>
      <c r="K12" s="31"/>
      <c r="L12" s="31"/>
      <c r="M12" s="31"/>
      <c r="N12" s="31"/>
      <c r="O12" s="36">
        <f t="shared" si="1"/>
        <v>19105</v>
      </c>
    </row>
    <row r="13">
      <c r="B13" s="26" t="s">
        <v>24</v>
      </c>
      <c r="C13" s="27"/>
      <c r="D13" s="27"/>
      <c r="E13" s="27"/>
      <c r="F13" s="27">
        <v>11.0</v>
      </c>
      <c r="G13" s="27"/>
      <c r="H13" s="27">
        <v>11.0</v>
      </c>
      <c r="I13" s="31"/>
      <c r="J13" s="31"/>
      <c r="K13" s="31"/>
      <c r="L13" s="31"/>
      <c r="M13" s="31"/>
      <c r="N13" s="31"/>
      <c r="O13" s="27">
        <f t="shared" si="1"/>
        <v>22</v>
      </c>
    </row>
    <row r="14">
      <c r="B14" s="26" t="s">
        <v>31</v>
      </c>
      <c r="C14" s="27">
        <v>1452.0</v>
      </c>
      <c r="D14" s="27"/>
      <c r="E14" s="27">
        <v>346.0</v>
      </c>
      <c r="F14" s="27">
        <v>11836.0</v>
      </c>
      <c r="G14" s="27">
        <v>13601.0</v>
      </c>
      <c r="H14" s="27">
        <v>4203.0</v>
      </c>
      <c r="I14" s="31"/>
      <c r="J14" s="31"/>
      <c r="K14" s="31"/>
      <c r="L14" s="31"/>
      <c r="M14" s="31"/>
      <c r="N14" s="31"/>
      <c r="O14" s="36">
        <f t="shared" si="1"/>
        <v>31438</v>
      </c>
    </row>
    <row r="15">
      <c r="B15" s="26" t="s">
        <v>32</v>
      </c>
      <c r="C15" s="27">
        <v>168.0</v>
      </c>
      <c r="D15" s="27"/>
      <c r="E15" s="27">
        <v>1200.0</v>
      </c>
      <c r="F15" s="27">
        <v>8096.0</v>
      </c>
      <c r="G15" s="27">
        <v>5873.0</v>
      </c>
      <c r="H15" s="27">
        <v>3929.0</v>
      </c>
      <c r="I15" s="31"/>
      <c r="J15" s="31"/>
      <c r="K15" s="31"/>
      <c r="L15" s="31"/>
      <c r="M15" s="31"/>
      <c r="N15" s="31"/>
      <c r="O15" s="36">
        <f t="shared" si="1"/>
        <v>19266</v>
      </c>
    </row>
    <row r="16">
      <c r="B16" s="32" t="s">
        <v>48</v>
      </c>
      <c r="C16" s="36">
        <f t="shared" ref="C16:O16" si="2">SUM(C4:C15)</f>
        <v>13472</v>
      </c>
      <c r="D16" s="33">
        <f t="shared" si="2"/>
        <v>327</v>
      </c>
      <c r="E16" s="33">
        <f t="shared" si="2"/>
        <v>1601</v>
      </c>
      <c r="F16" s="36">
        <f t="shared" si="2"/>
        <v>34483</v>
      </c>
      <c r="G16" s="36">
        <f t="shared" si="2"/>
        <v>27865</v>
      </c>
      <c r="H16" s="36">
        <f t="shared" si="2"/>
        <v>14720</v>
      </c>
      <c r="I16" s="33">
        <f t="shared" si="2"/>
        <v>28</v>
      </c>
      <c r="J16" s="33">
        <f t="shared" si="2"/>
        <v>4693</v>
      </c>
      <c r="K16" s="36">
        <f t="shared" si="2"/>
        <v>34527</v>
      </c>
      <c r="L16" s="33">
        <f t="shared" si="2"/>
        <v>57</v>
      </c>
      <c r="M16" s="36">
        <f t="shared" si="2"/>
        <v>5679</v>
      </c>
      <c r="N16" s="33">
        <f t="shared" si="2"/>
        <v>894</v>
      </c>
      <c r="O16" s="33">
        <f t="shared" si="2"/>
        <v>138346</v>
      </c>
    </row>
    <row r="18">
      <c r="B18" s="19" t="s">
        <v>50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</row>
    <row r="19">
      <c r="B19" s="4" t="s">
        <v>42</v>
      </c>
      <c r="C19" s="4" t="s">
        <v>25</v>
      </c>
      <c r="D19" s="4" t="s">
        <v>34</v>
      </c>
      <c r="E19" s="4" t="s">
        <v>35</v>
      </c>
      <c r="F19" s="4" t="s">
        <v>28</v>
      </c>
      <c r="G19" s="4" t="s">
        <v>9</v>
      </c>
      <c r="H19" s="4" t="s">
        <v>33</v>
      </c>
      <c r="I19" s="4" t="s">
        <v>11</v>
      </c>
      <c r="J19" s="4" t="s">
        <v>10</v>
      </c>
      <c r="K19" s="4" t="s">
        <v>8</v>
      </c>
      <c r="L19" s="4" t="s">
        <v>24</v>
      </c>
      <c r="M19" s="4" t="s">
        <v>31</v>
      </c>
      <c r="N19" s="4" t="s">
        <v>32</v>
      </c>
      <c r="O19" s="4" t="s">
        <v>43</v>
      </c>
    </row>
    <row r="20">
      <c r="B20" s="26" t="s">
        <v>25</v>
      </c>
      <c r="C20" s="34"/>
      <c r="D20" s="34"/>
      <c r="E20" s="34"/>
      <c r="F20" s="27"/>
      <c r="G20" s="27">
        <v>1.0</v>
      </c>
      <c r="H20" s="27">
        <v>2.0</v>
      </c>
      <c r="I20" s="27"/>
      <c r="J20" s="27"/>
      <c r="K20" s="27"/>
      <c r="L20" s="27"/>
      <c r="M20" s="27"/>
      <c r="N20" s="27"/>
      <c r="O20" s="36">
        <f t="shared" ref="O20:O31" si="3">SUM(C20:N20)</f>
        <v>3</v>
      </c>
    </row>
    <row r="21" ht="15.75" customHeight="1">
      <c r="B21" s="26" t="s">
        <v>34</v>
      </c>
      <c r="C21" s="34"/>
      <c r="D21" s="34"/>
      <c r="E21" s="34"/>
      <c r="F21" s="27"/>
      <c r="G21" s="27"/>
      <c r="H21" s="27"/>
      <c r="I21" s="27"/>
      <c r="J21" s="27"/>
      <c r="K21" s="27"/>
      <c r="L21" s="27"/>
      <c r="M21" s="27"/>
      <c r="N21" s="27"/>
      <c r="O21" s="27">
        <f t="shared" si="3"/>
        <v>0</v>
      </c>
    </row>
    <row r="22" ht="15.75" customHeight="1">
      <c r="B22" s="26" t="s">
        <v>35</v>
      </c>
      <c r="C22" s="34"/>
      <c r="D22" s="34"/>
      <c r="E22" s="34"/>
      <c r="F22" s="27"/>
      <c r="G22" s="27"/>
      <c r="H22" s="27"/>
      <c r="I22" s="27"/>
      <c r="J22" s="27"/>
      <c r="K22" s="27"/>
      <c r="L22" s="27"/>
      <c r="M22" s="27"/>
      <c r="N22" s="27"/>
      <c r="O22" s="27">
        <f t="shared" si="3"/>
        <v>0</v>
      </c>
    </row>
    <row r="23" ht="15.75" customHeight="1">
      <c r="B23" s="26" t="s">
        <v>28</v>
      </c>
      <c r="C23" s="34"/>
      <c r="D23" s="34"/>
      <c r="E23" s="34"/>
      <c r="F23" s="27"/>
      <c r="G23" s="27"/>
      <c r="H23" s="27"/>
      <c r="I23" s="27"/>
      <c r="J23" s="27"/>
      <c r="K23" s="27"/>
      <c r="L23" s="27"/>
      <c r="M23" s="27"/>
      <c r="N23" s="27"/>
      <c r="O23" s="27">
        <f t="shared" si="3"/>
        <v>0</v>
      </c>
    </row>
    <row r="24" ht="15.75" customHeight="1">
      <c r="B24" s="26" t="s">
        <v>9</v>
      </c>
      <c r="C24" s="34"/>
      <c r="D24" s="34"/>
      <c r="E24" s="34"/>
      <c r="F24" s="27">
        <v>3.0</v>
      </c>
      <c r="G24" s="27"/>
      <c r="H24" s="27"/>
      <c r="I24" s="27"/>
      <c r="J24" s="27"/>
      <c r="K24" s="27">
        <v>1.0</v>
      </c>
      <c r="L24" s="27"/>
      <c r="M24" s="27">
        <v>4.0</v>
      </c>
      <c r="N24" s="27"/>
      <c r="O24" s="36">
        <f t="shared" si="3"/>
        <v>8</v>
      </c>
    </row>
    <row r="25" ht="15.75" customHeight="1">
      <c r="B25" s="26" t="s">
        <v>33</v>
      </c>
      <c r="C25" s="34"/>
      <c r="D25" s="34"/>
      <c r="E25" s="34"/>
      <c r="F25" s="27">
        <v>4.0</v>
      </c>
      <c r="G25" s="27">
        <v>2.0</v>
      </c>
      <c r="H25" s="27"/>
      <c r="I25" s="27"/>
      <c r="J25" s="27"/>
      <c r="K25" s="27">
        <v>2.0</v>
      </c>
      <c r="L25" s="27"/>
      <c r="M25" s="27">
        <v>2.0</v>
      </c>
      <c r="N25" s="27"/>
      <c r="O25" s="36">
        <f t="shared" si="3"/>
        <v>10</v>
      </c>
    </row>
    <row r="26" ht="15.75" customHeight="1">
      <c r="B26" s="26" t="s">
        <v>11</v>
      </c>
      <c r="C26" s="34"/>
      <c r="D26" s="34"/>
      <c r="E26" s="34"/>
      <c r="F26" s="27"/>
      <c r="G26" s="27"/>
      <c r="H26" s="27"/>
      <c r="I26" s="31"/>
      <c r="J26" s="31"/>
      <c r="K26" s="31"/>
      <c r="L26" s="31"/>
      <c r="M26" s="31"/>
      <c r="N26" s="31"/>
      <c r="O26" s="27">
        <f t="shared" si="3"/>
        <v>0</v>
      </c>
    </row>
    <row r="27" ht="15.75" customHeight="1">
      <c r="B27" s="26" t="s">
        <v>10</v>
      </c>
      <c r="C27" s="34"/>
      <c r="D27" s="34"/>
      <c r="E27" s="34"/>
      <c r="F27" s="27">
        <v>1.0</v>
      </c>
      <c r="G27" s="27"/>
      <c r="H27" s="27"/>
      <c r="I27" s="31"/>
      <c r="J27" s="31"/>
      <c r="K27" s="31"/>
      <c r="L27" s="31"/>
      <c r="M27" s="31"/>
      <c r="N27" s="31"/>
      <c r="O27" s="27">
        <f t="shared" si="3"/>
        <v>1</v>
      </c>
    </row>
    <row r="28" ht="15.75" customHeight="1">
      <c r="B28" s="26" t="s">
        <v>8</v>
      </c>
      <c r="C28" s="34"/>
      <c r="D28" s="34"/>
      <c r="E28" s="34"/>
      <c r="F28" s="27">
        <v>17.0</v>
      </c>
      <c r="G28" s="27">
        <v>16.0</v>
      </c>
      <c r="H28" s="27">
        <v>2.0</v>
      </c>
      <c r="I28" s="31"/>
      <c r="J28" s="31"/>
      <c r="K28" s="31"/>
      <c r="L28" s="31"/>
      <c r="M28" s="31"/>
      <c r="N28" s="31"/>
      <c r="O28" s="36">
        <f t="shared" si="3"/>
        <v>35</v>
      </c>
    </row>
    <row r="29" ht="15.75" customHeight="1">
      <c r="B29" s="26" t="s">
        <v>24</v>
      </c>
      <c r="C29" s="34"/>
      <c r="D29" s="34"/>
      <c r="E29" s="34"/>
      <c r="F29" s="27"/>
      <c r="G29" s="27"/>
      <c r="H29" s="27"/>
      <c r="I29" s="31"/>
      <c r="J29" s="31"/>
      <c r="K29" s="31"/>
      <c r="L29" s="31"/>
      <c r="M29" s="31"/>
      <c r="N29" s="31"/>
      <c r="O29" s="27">
        <f t="shared" si="3"/>
        <v>0</v>
      </c>
    </row>
    <row r="30" ht="15.75" customHeight="1">
      <c r="B30" s="26" t="s">
        <v>31</v>
      </c>
      <c r="C30" s="34"/>
      <c r="D30" s="34"/>
      <c r="E30" s="34"/>
      <c r="F30" s="27">
        <v>7.0</v>
      </c>
      <c r="G30" s="27">
        <v>9.0</v>
      </c>
      <c r="H30" s="27"/>
      <c r="I30" s="31"/>
      <c r="J30" s="31"/>
      <c r="K30" s="31"/>
      <c r="L30" s="31"/>
      <c r="M30" s="31"/>
      <c r="N30" s="31"/>
      <c r="O30" s="36">
        <f t="shared" si="3"/>
        <v>16</v>
      </c>
    </row>
    <row r="31" ht="15.75" customHeight="1">
      <c r="B31" s="26" t="s">
        <v>32</v>
      </c>
      <c r="C31" s="34"/>
      <c r="D31" s="34"/>
      <c r="E31" s="34"/>
      <c r="F31" s="27">
        <v>1.0</v>
      </c>
      <c r="G31" s="27">
        <v>1.0</v>
      </c>
      <c r="H31" s="27"/>
      <c r="I31" s="31"/>
      <c r="J31" s="31"/>
      <c r="K31" s="31"/>
      <c r="L31" s="31"/>
      <c r="M31" s="31"/>
      <c r="N31" s="31"/>
      <c r="O31" s="36">
        <f t="shared" si="3"/>
        <v>2</v>
      </c>
    </row>
    <row r="32" ht="15.75" customHeight="1">
      <c r="B32" s="32" t="s">
        <v>48</v>
      </c>
      <c r="C32" s="35">
        <f t="shared" ref="C32:O32" si="4">SUM(C20:C31)</f>
        <v>0</v>
      </c>
      <c r="D32" s="35">
        <f t="shared" si="4"/>
        <v>0</v>
      </c>
      <c r="E32" s="35">
        <f t="shared" si="4"/>
        <v>0</v>
      </c>
      <c r="F32" s="40">
        <f t="shared" si="4"/>
        <v>33</v>
      </c>
      <c r="G32" s="40">
        <f t="shared" si="4"/>
        <v>29</v>
      </c>
      <c r="H32" s="40">
        <f t="shared" si="4"/>
        <v>4</v>
      </c>
      <c r="I32" s="35">
        <f t="shared" si="4"/>
        <v>0</v>
      </c>
      <c r="J32" s="35">
        <f t="shared" si="4"/>
        <v>0</v>
      </c>
      <c r="K32" s="40">
        <f t="shared" si="4"/>
        <v>3</v>
      </c>
      <c r="L32" s="35">
        <f t="shared" si="4"/>
        <v>0</v>
      </c>
      <c r="M32" s="40">
        <f t="shared" si="4"/>
        <v>6</v>
      </c>
      <c r="N32" s="35">
        <f t="shared" si="4"/>
        <v>0</v>
      </c>
      <c r="O32" s="35">
        <f t="shared" si="4"/>
        <v>75</v>
      </c>
    </row>
    <row r="33" ht="15.75" customHeight="1"/>
    <row r="34" ht="15.75" customHeight="1">
      <c r="B34" s="19" t="s">
        <v>52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1"/>
    </row>
    <row r="35" ht="15.75" customHeight="1">
      <c r="B35" s="4" t="s">
        <v>42</v>
      </c>
      <c r="C35" s="4" t="s">
        <v>25</v>
      </c>
      <c r="D35" s="4" t="s">
        <v>34</v>
      </c>
      <c r="E35" s="4" t="s">
        <v>35</v>
      </c>
      <c r="F35" s="4" t="s">
        <v>28</v>
      </c>
      <c r="G35" s="4" t="s">
        <v>9</v>
      </c>
      <c r="H35" s="4" t="s">
        <v>33</v>
      </c>
      <c r="I35" s="4" t="s">
        <v>11</v>
      </c>
      <c r="J35" s="4" t="s">
        <v>10</v>
      </c>
      <c r="K35" s="4" t="s">
        <v>8</v>
      </c>
      <c r="L35" s="4" t="s">
        <v>24</v>
      </c>
      <c r="M35" s="4" t="s">
        <v>31</v>
      </c>
      <c r="N35" s="4" t="s">
        <v>32</v>
      </c>
      <c r="O35" s="4" t="s">
        <v>43</v>
      </c>
    </row>
    <row r="36" ht="15.75" customHeight="1">
      <c r="B36" s="26" t="s">
        <v>25</v>
      </c>
      <c r="C36" s="27"/>
      <c r="D36" s="27"/>
      <c r="E36" s="27">
        <v>9.0</v>
      </c>
      <c r="F36" s="27">
        <v>6066.0</v>
      </c>
      <c r="G36" s="27">
        <v>8232.0</v>
      </c>
      <c r="H36" s="27">
        <v>3166.0</v>
      </c>
      <c r="I36" s="27"/>
      <c r="J36" s="27">
        <v>7014.0</v>
      </c>
      <c r="K36" s="27">
        <v>54983.0</v>
      </c>
      <c r="L36" s="27">
        <v>3.0</v>
      </c>
      <c r="M36" s="27">
        <v>5501.0</v>
      </c>
      <c r="N36" s="27">
        <v>699.0</v>
      </c>
      <c r="O36" s="36">
        <f t="shared" ref="O36:O47" si="5">SUM(C36:N36)</f>
        <v>85673</v>
      </c>
    </row>
    <row r="37" ht="15.75" customHeight="1">
      <c r="B37" s="26" t="s">
        <v>34</v>
      </c>
      <c r="C37" s="27"/>
      <c r="D37" s="27"/>
      <c r="E37" s="27"/>
      <c r="F37" s="27">
        <v>1805.0</v>
      </c>
      <c r="G37" s="27"/>
      <c r="H37" s="27">
        <v>4.0</v>
      </c>
      <c r="I37" s="27"/>
      <c r="J37" s="27"/>
      <c r="K37" s="27">
        <v>704.0</v>
      </c>
      <c r="L37" s="27"/>
      <c r="M37" s="27">
        <v>92.0</v>
      </c>
      <c r="N37" s="27">
        <v>6.0</v>
      </c>
      <c r="O37" s="27">
        <f t="shared" si="5"/>
        <v>2611</v>
      </c>
    </row>
    <row r="38" ht="15.75" customHeight="1">
      <c r="B38" s="26" t="s">
        <v>35</v>
      </c>
      <c r="C38" s="27"/>
      <c r="D38" s="27"/>
      <c r="E38" s="27"/>
      <c r="F38" s="27">
        <v>51.0</v>
      </c>
      <c r="G38" s="27"/>
      <c r="H38" s="27"/>
      <c r="I38" s="27"/>
      <c r="J38" s="27"/>
      <c r="K38" s="27">
        <v>52.0</v>
      </c>
      <c r="L38" s="27"/>
      <c r="M38" s="27"/>
      <c r="N38" s="27">
        <v>3.0</v>
      </c>
      <c r="O38" s="27">
        <f t="shared" si="5"/>
        <v>106</v>
      </c>
    </row>
    <row r="39" ht="15.75" customHeight="1">
      <c r="B39" s="26" t="s">
        <v>28</v>
      </c>
      <c r="C39" s="27">
        <v>10303.0</v>
      </c>
      <c r="D39" s="27">
        <v>985.0</v>
      </c>
      <c r="E39" s="27">
        <v>157.0</v>
      </c>
      <c r="F39" s="27"/>
      <c r="G39" s="27">
        <v>2481.0</v>
      </c>
      <c r="H39" s="27">
        <v>101.0</v>
      </c>
      <c r="I39" s="27"/>
      <c r="J39" s="27">
        <v>462.0</v>
      </c>
      <c r="K39" s="27">
        <v>7856.0</v>
      </c>
      <c r="L39" s="27"/>
      <c r="M39" s="27">
        <v>3188.0</v>
      </c>
      <c r="N39" s="27">
        <v>366.0</v>
      </c>
      <c r="O39" s="36">
        <f t="shared" si="5"/>
        <v>25899</v>
      </c>
    </row>
    <row r="40" ht="15.75" customHeight="1">
      <c r="B40" s="26" t="s">
        <v>9</v>
      </c>
      <c r="C40" s="27">
        <v>17515.0</v>
      </c>
      <c r="D40" s="27"/>
      <c r="E40" s="27">
        <v>405.0</v>
      </c>
      <c r="F40" s="27">
        <v>5046.0</v>
      </c>
      <c r="G40" s="27"/>
      <c r="H40" s="27">
        <v>652.0</v>
      </c>
      <c r="I40" s="27">
        <v>103.0</v>
      </c>
      <c r="J40" s="27">
        <v>1554.0</v>
      </c>
      <c r="K40" s="27">
        <v>9764.0</v>
      </c>
      <c r="L40" s="27"/>
      <c r="M40" s="27">
        <v>4287.0</v>
      </c>
      <c r="N40" s="27">
        <v>963.0</v>
      </c>
      <c r="O40" s="36">
        <f t="shared" si="5"/>
        <v>40289</v>
      </c>
    </row>
    <row r="41" ht="15.75" customHeight="1">
      <c r="B41" s="26" t="s">
        <v>33</v>
      </c>
      <c r="C41" s="27">
        <v>3252.0</v>
      </c>
      <c r="D41" s="27"/>
      <c r="E41" s="27">
        <v>82.0</v>
      </c>
      <c r="F41" s="27">
        <v>2029.0</v>
      </c>
      <c r="G41" s="27">
        <v>1364.0</v>
      </c>
      <c r="H41" s="27"/>
      <c r="I41" s="27">
        <v>58.0</v>
      </c>
      <c r="J41" s="27">
        <v>1612.0</v>
      </c>
      <c r="K41" s="27">
        <v>10648.0</v>
      </c>
      <c r="L41" s="27">
        <v>100.0</v>
      </c>
      <c r="M41" s="27">
        <v>2531.0</v>
      </c>
      <c r="N41" s="27">
        <v>490.0</v>
      </c>
      <c r="O41" s="36">
        <f t="shared" si="5"/>
        <v>22166</v>
      </c>
    </row>
    <row r="42" ht="15.75" customHeight="1">
      <c r="B42" s="26" t="s">
        <v>11</v>
      </c>
      <c r="C42" s="27">
        <v>933.0</v>
      </c>
      <c r="D42" s="27"/>
      <c r="E42" s="27"/>
      <c r="F42" s="27"/>
      <c r="G42" s="27">
        <v>11.0</v>
      </c>
      <c r="H42" s="27"/>
      <c r="I42" s="31"/>
      <c r="J42" s="31"/>
      <c r="K42" s="31"/>
      <c r="L42" s="31"/>
      <c r="M42" s="31"/>
      <c r="N42" s="31"/>
      <c r="O42" s="27">
        <f t="shared" si="5"/>
        <v>944</v>
      </c>
    </row>
    <row r="43" ht="15.75" customHeight="1">
      <c r="B43" s="26" t="s">
        <v>10</v>
      </c>
      <c r="C43" s="27">
        <v>3272.0</v>
      </c>
      <c r="D43" s="27"/>
      <c r="E43" s="27">
        <v>10.0</v>
      </c>
      <c r="F43" s="27">
        <v>1358.0</v>
      </c>
      <c r="G43" s="27">
        <v>5765.0</v>
      </c>
      <c r="H43" s="27">
        <v>3757.0</v>
      </c>
      <c r="I43" s="31"/>
      <c r="J43" s="31"/>
      <c r="K43" s="31"/>
      <c r="L43" s="31"/>
      <c r="M43" s="31"/>
      <c r="N43" s="31"/>
      <c r="O43" s="27">
        <f t="shared" si="5"/>
        <v>14162</v>
      </c>
    </row>
    <row r="44" ht="15.75" customHeight="1">
      <c r="B44" s="26" t="s">
        <v>8</v>
      </c>
      <c r="C44" s="27">
        <v>18041.0</v>
      </c>
      <c r="D44" s="27">
        <v>1.0</v>
      </c>
      <c r="E44" s="27">
        <v>1087.0</v>
      </c>
      <c r="F44" s="27">
        <v>22859.0</v>
      </c>
      <c r="G44" s="27">
        <v>29225.0</v>
      </c>
      <c r="H44" s="27">
        <v>4383.0</v>
      </c>
      <c r="I44" s="31"/>
      <c r="J44" s="31"/>
      <c r="K44" s="31"/>
      <c r="L44" s="31"/>
      <c r="M44" s="31"/>
      <c r="N44" s="31"/>
      <c r="O44" s="36">
        <f t="shared" si="5"/>
        <v>75596</v>
      </c>
    </row>
    <row r="45" ht="15.75" customHeight="1">
      <c r="B45" s="26" t="s">
        <v>24</v>
      </c>
      <c r="C45" s="27"/>
      <c r="D45" s="27"/>
      <c r="E45" s="27"/>
      <c r="F45" s="27">
        <v>4.0</v>
      </c>
      <c r="G45" s="27"/>
      <c r="H45" s="27"/>
      <c r="I45" s="31"/>
      <c r="J45" s="31"/>
      <c r="K45" s="31"/>
      <c r="L45" s="31"/>
      <c r="M45" s="31"/>
      <c r="N45" s="31"/>
      <c r="O45" s="27">
        <f t="shared" si="5"/>
        <v>4</v>
      </c>
    </row>
    <row r="46" ht="15.75" customHeight="1">
      <c r="B46" s="26" t="s">
        <v>31</v>
      </c>
      <c r="C46" s="27">
        <v>11210.0</v>
      </c>
      <c r="D46" s="27"/>
      <c r="E46" s="27">
        <v>617.0</v>
      </c>
      <c r="F46" s="27">
        <v>13198.0</v>
      </c>
      <c r="G46" s="27">
        <v>20046.0</v>
      </c>
      <c r="H46" s="27">
        <v>2406.0</v>
      </c>
      <c r="I46" s="31"/>
      <c r="J46" s="31"/>
      <c r="K46" s="31"/>
      <c r="L46" s="31"/>
      <c r="M46" s="31"/>
      <c r="N46" s="31"/>
      <c r="O46" s="36">
        <f t="shared" si="5"/>
        <v>47477</v>
      </c>
    </row>
    <row r="47" ht="15.75" customHeight="1">
      <c r="B47" s="26" t="s">
        <v>32</v>
      </c>
      <c r="C47" s="27">
        <v>2416.0</v>
      </c>
      <c r="D47" s="27"/>
      <c r="E47" s="27">
        <v>144.0</v>
      </c>
      <c r="F47" s="27">
        <v>4975.0</v>
      </c>
      <c r="G47" s="27">
        <v>3247.0</v>
      </c>
      <c r="H47" s="27">
        <v>2483.0</v>
      </c>
      <c r="I47" s="31"/>
      <c r="J47" s="31"/>
      <c r="K47" s="31"/>
      <c r="L47" s="31"/>
      <c r="M47" s="31"/>
      <c r="N47" s="31"/>
      <c r="O47" s="27">
        <f t="shared" si="5"/>
        <v>13265</v>
      </c>
    </row>
    <row r="48" ht="15.75" customHeight="1">
      <c r="B48" s="32" t="s">
        <v>48</v>
      </c>
      <c r="C48" s="36">
        <f t="shared" ref="C48:O48" si="6">SUM(C36:C47)</f>
        <v>66942</v>
      </c>
      <c r="D48" s="33">
        <f t="shared" si="6"/>
        <v>986</v>
      </c>
      <c r="E48" s="33">
        <f t="shared" si="6"/>
        <v>2511</v>
      </c>
      <c r="F48" s="36">
        <f t="shared" si="6"/>
        <v>57391</v>
      </c>
      <c r="G48" s="36">
        <f t="shared" si="6"/>
        <v>70371</v>
      </c>
      <c r="H48" s="36">
        <f t="shared" si="6"/>
        <v>16952</v>
      </c>
      <c r="I48" s="33">
        <f t="shared" si="6"/>
        <v>161</v>
      </c>
      <c r="J48" s="33">
        <f t="shared" si="6"/>
        <v>10642</v>
      </c>
      <c r="K48" s="36">
        <f t="shared" si="6"/>
        <v>84007</v>
      </c>
      <c r="L48" s="33">
        <f t="shared" si="6"/>
        <v>103</v>
      </c>
      <c r="M48" s="36">
        <f t="shared" si="6"/>
        <v>15599</v>
      </c>
      <c r="N48" s="33">
        <f t="shared" si="6"/>
        <v>2527</v>
      </c>
      <c r="O48" s="33">
        <f t="shared" si="6"/>
        <v>328192</v>
      </c>
    </row>
    <row r="49" ht="15.75" customHeight="1"/>
    <row r="50" ht="15.0" customHeight="1">
      <c r="B50" s="19" t="s">
        <v>54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1"/>
      <c r="Q50" s="41"/>
    </row>
    <row r="51" ht="15.75" customHeight="1">
      <c r="B51" s="4" t="s">
        <v>42</v>
      </c>
      <c r="C51" s="4" t="s">
        <v>25</v>
      </c>
      <c r="D51" s="4" t="s">
        <v>34</v>
      </c>
      <c r="E51" s="4" t="s">
        <v>35</v>
      </c>
      <c r="F51" s="4" t="s">
        <v>28</v>
      </c>
      <c r="G51" s="4" t="s">
        <v>9</v>
      </c>
      <c r="H51" s="4" t="s">
        <v>33</v>
      </c>
      <c r="I51" s="4" t="s">
        <v>11</v>
      </c>
      <c r="J51" s="4" t="s">
        <v>10</v>
      </c>
      <c r="K51" s="4" t="s">
        <v>8</v>
      </c>
      <c r="L51" s="4" t="s">
        <v>24</v>
      </c>
      <c r="M51" s="4" t="s">
        <v>31</v>
      </c>
      <c r="N51" s="4" t="s">
        <v>32</v>
      </c>
      <c r="O51" s="4" t="s">
        <v>43</v>
      </c>
    </row>
    <row r="52" ht="15.75" customHeight="1">
      <c r="B52" s="26" t="s">
        <v>25</v>
      </c>
      <c r="C52" s="27"/>
      <c r="D52" s="27"/>
      <c r="E52" s="27"/>
      <c r="F52" s="27">
        <v>12.0</v>
      </c>
      <c r="G52" s="27">
        <v>6.0</v>
      </c>
      <c r="H52" s="27">
        <v>1.0</v>
      </c>
      <c r="I52" s="27"/>
      <c r="J52" s="27">
        <v>35.0</v>
      </c>
      <c r="K52" s="27">
        <v>58.0</v>
      </c>
      <c r="L52" s="27"/>
      <c r="M52" s="27">
        <v>46.0</v>
      </c>
      <c r="N52" s="27"/>
      <c r="O52" s="27">
        <f t="shared" ref="O52:O63" si="7">SUM(C52:N52)</f>
        <v>158</v>
      </c>
    </row>
    <row r="53" ht="15.75" customHeight="1">
      <c r="B53" s="26" t="s">
        <v>34</v>
      </c>
      <c r="C53" s="27"/>
      <c r="D53" s="27"/>
      <c r="E53" s="27"/>
      <c r="F53" s="27">
        <v>368.0</v>
      </c>
      <c r="G53" s="27"/>
      <c r="H53" s="27">
        <v>12.0</v>
      </c>
      <c r="I53" s="27"/>
      <c r="J53" s="27"/>
      <c r="K53" s="27">
        <v>122.0</v>
      </c>
      <c r="L53" s="27"/>
      <c r="M53" s="27"/>
      <c r="N53" s="27">
        <v>1.0</v>
      </c>
      <c r="O53" s="27">
        <f t="shared" si="7"/>
        <v>503</v>
      </c>
    </row>
    <row r="54" ht="15.75" customHeight="1">
      <c r="B54" s="26" t="s">
        <v>35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>
        <f t="shared" si="7"/>
        <v>0</v>
      </c>
    </row>
    <row r="55" ht="15.75" customHeight="1">
      <c r="B55" s="26" t="s">
        <v>28</v>
      </c>
      <c r="C55" s="27">
        <v>155.0</v>
      </c>
      <c r="D55" s="27">
        <v>88.0</v>
      </c>
      <c r="E55" s="27">
        <v>24.0</v>
      </c>
      <c r="F55" s="27"/>
      <c r="G55" s="27">
        <v>17.0</v>
      </c>
      <c r="H55" s="27">
        <v>2.0</v>
      </c>
      <c r="I55" s="27"/>
      <c r="J55" s="27">
        <v>86.0</v>
      </c>
      <c r="K55" s="27">
        <v>215.0</v>
      </c>
      <c r="L55" s="27"/>
      <c r="M55" s="27">
        <v>78.0</v>
      </c>
      <c r="N55" s="27"/>
      <c r="O55" s="36">
        <f t="shared" si="7"/>
        <v>665</v>
      </c>
    </row>
    <row r="56" ht="15.75" customHeight="1">
      <c r="B56" s="26" t="s">
        <v>9</v>
      </c>
      <c r="C56" s="27">
        <v>1593.0</v>
      </c>
      <c r="D56" s="27"/>
      <c r="E56" s="27">
        <v>37.0</v>
      </c>
      <c r="F56" s="27">
        <v>407.0</v>
      </c>
      <c r="G56" s="27"/>
      <c r="H56" s="27">
        <v>1.0</v>
      </c>
      <c r="I56" s="27"/>
      <c r="J56" s="27">
        <v>13.0</v>
      </c>
      <c r="K56" s="27">
        <v>40.0</v>
      </c>
      <c r="L56" s="27">
        <v>4.0</v>
      </c>
      <c r="M56" s="27">
        <v>9.0</v>
      </c>
      <c r="N56" s="27"/>
      <c r="O56" s="36">
        <f t="shared" si="7"/>
        <v>2104</v>
      </c>
    </row>
    <row r="57" ht="15.75" customHeight="1">
      <c r="B57" s="26" t="s">
        <v>33</v>
      </c>
      <c r="C57" s="27">
        <v>214.0</v>
      </c>
      <c r="D57" s="27"/>
      <c r="E57" s="27"/>
      <c r="F57" s="27">
        <v>327.0</v>
      </c>
      <c r="G57" s="27">
        <v>339.0</v>
      </c>
      <c r="H57" s="27"/>
      <c r="I57" s="27"/>
      <c r="J57" s="27">
        <v>60.0</v>
      </c>
      <c r="K57" s="27">
        <v>644.0</v>
      </c>
      <c r="L57" s="27">
        <v>9.0</v>
      </c>
      <c r="M57" s="27">
        <v>24.0</v>
      </c>
      <c r="N57" s="27"/>
      <c r="O57" s="36">
        <f t="shared" si="7"/>
        <v>1617</v>
      </c>
    </row>
    <row r="58" ht="15.75" customHeight="1">
      <c r="B58" s="26" t="s">
        <v>11</v>
      </c>
      <c r="C58" s="27">
        <v>1.0</v>
      </c>
      <c r="D58" s="27"/>
      <c r="E58" s="27"/>
      <c r="F58" s="27"/>
      <c r="G58" s="27"/>
      <c r="H58" s="27"/>
      <c r="I58" s="31"/>
      <c r="J58" s="31"/>
      <c r="K58" s="31"/>
      <c r="L58" s="31"/>
      <c r="M58" s="31"/>
      <c r="N58" s="31"/>
      <c r="O58" s="27">
        <f t="shared" si="7"/>
        <v>1</v>
      </c>
    </row>
    <row r="59" ht="15.75" customHeight="1">
      <c r="B59" s="26" t="s">
        <v>10</v>
      </c>
      <c r="C59" s="27">
        <v>60.0</v>
      </c>
      <c r="D59" s="27"/>
      <c r="E59" s="27"/>
      <c r="F59" s="27">
        <v>59.0</v>
      </c>
      <c r="G59" s="27">
        <v>138.0</v>
      </c>
      <c r="H59" s="27">
        <v>51.0</v>
      </c>
      <c r="I59" s="31"/>
      <c r="J59" s="31"/>
      <c r="K59" s="31"/>
      <c r="L59" s="31"/>
      <c r="M59" s="31"/>
      <c r="N59" s="31"/>
      <c r="O59" s="36">
        <f t="shared" si="7"/>
        <v>308</v>
      </c>
    </row>
    <row r="60" ht="15.75" customHeight="1">
      <c r="B60" s="26" t="s">
        <v>8</v>
      </c>
      <c r="C60" s="27">
        <v>2308.0</v>
      </c>
      <c r="D60" s="27"/>
      <c r="E60" s="27">
        <v>49.0</v>
      </c>
      <c r="F60" s="27">
        <v>2321.0</v>
      </c>
      <c r="G60" s="27">
        <v>2268.0</v>
      </c>
      <c r="H60" s="27">
        <v>331.0</v>
      </c>
      <c r="I60" s="31"/>
      <c r="J60" s="31"/>
      <c r="K60" s="31"/>
      <c r="L60" s="31"/>
      <c r="M60" s="31"/>
      <c r="N60" s="31"/>
      <c r="O60" s="36">
        <f t="shared" si="7"/>
        <v>7277</v>
      </c>
    </row>
    <row r="61" ht="15.75" customHeight="1">
      <c r="B61" s="26" t="s">
        <v>24</v>
      </c>
      <c r="C61" s="27"/>
      <c r="D61" s="27"/>
      <c r="E61" s="27"/>
      <c r="F61" s="27">
        <v>5.0</v>
      </c>
      <c r="G61" s="27"/>
      <c r="H61" s="27"/>
      <c r="I61" s="31"/>
      <c r="J61" s="31"/>
      <c r="K61" s="31"/>
      <c r="L61" s="31"/>
      <c r="M61" s="31"/>
      <c r="N61" s="31"/>
      <c r="O61" s="27">
        <f t="shared" si="7"/>
        <v>5</v>
      </c>
    </row>
    <row r="62" ht="15.75" customHeight="1">
      <c r="B62" s="26" t="s">
        <v>31</v>
      </c>
      <c r="C62" s="27">
        <v>6226.0</v>
      </c>
      <c r="D62" s="27"/>
      <c r="E62" s="27">
        <v>43.0</v>
      </c>
      <c r="F62" s="27">
        <v>3479.0</v>
      </c>
      <c r="G62" s="27">
        <v>5045.0</v>
      </c>
      <c r="H62" s="27">
        <v>1134.0</v>
      </c>
      <c r="I62" s="31"/>
      <c r="J62" s="31"/>
      <c r="K62" s="31"/>
      <c r="L62" s="31"/>
      <c r="M62" s="31"/>
      <c r="N62" s="31"/>
      <c r="O62" s="36">
        <f t="shared" si="7"/>
        <v>15927</v>
      </c>
    </row>
    <row r="63" ht="15.75" customHeight="1">
      <c r="B63" s="26" t="s">
        <v>32</v>
      </c>
      <c r="C63" s="27">
        <v>12.0</v>
      </c>
      <c r="D63" s="27"/>
      <c r="E63" s="27"/>
      <c r="F63" s="27">
        <v>105.0</v>
      </c>
      <c r="G63" s="27">
        <v>142.0</v>
      </c>
      <c r="H63" s="27">
        <v>3.0</v>
      </c>
      <c r="I63" s="31"/>
      <c r="J63" s="31"/>
      <c r="K63" s="31"/>
      <c r="L63" s="31"/>
      <c r="M63" s="31"/>
      <c r="N63" s="31"/>
      <c r="O63" s="27">
        <f t="shared" si="7"/>
        <v>262</v>
      </c>
    </row>
    <row r="64" ht="15.75" customHeight="1">
      <c r="B64" s="32" t="s">
        <v>48</v>
      </c>
      <c r="C64" s="36">
        <f t="shared" ref="C64:O64" si="8">SUM(C52:C63)</f>
        <v>10569</v>
      </c>
      <c r="D64" s="33">
        <f t="shared" si="8"/>
        <v>88</v>
      </c>
      <c r="E64" s="33">
        <f t="shared" si="8"/>
        <v>153</v>
      </c>
      <c r="F64" s="36">
        <f t="shared" si="8"/>
        <v>7083</v>
      </c>
      <c r="G64" s="36">
        <f t="shared" si="8"/>
        <v>7955</v>
      </c>
      <c r="H64" s="36">
        <f t="shared" si="8"/>
        <v>1535</v>
      </c>
      <c r="I64" s="33">
        <f t="shared" si="8"/>
        <v>0</v>
      </c>
      <c r="J64" s="36">
        <f t="shared" si="8"/>
        <v>194</v>
      </c>
      <c r="K64" s="36">
        <f t="shared" si="8"/>
        <v>1079</v>
      </c>
      <c r="L64" s="33">
        <f t="shared" si="8"/>
        <v>13</v>
      </c>
      <c r="M64" s="33">
        <f t="shared" si="8"/>
        <v>157</v>
      </c>
      <c r="N64" s="33">
        <f t="shared" si="8"/>
        <v>1</v>
      </c>
      <c r="O64" s="33">
        <f t="shared" si="8"/>
        <v>28827</v>
      </c>
    </row>
    <row r="65" ht="15.75" customHeight="1"/>
    <row r="66" ht="15.75" customHeight="1">
      <c r="B66" s="19" t="s">
        <v>56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1"/>
    </row>
    <row r="67" ht="15.75" customHeight="1">
      <c r="B67" s="4" t="s">
        <v>42</v>
      </c>
      <c r="C67" s="4" t="s">
        <v>25</v>
      </c>
      <c r="D67" s="4" t="s">
        <v>34</v>
      </c>
      <c r="E67" s="4" t="s">
        <v>35</v>
      </c>
      <c r="F67" s="4" t="s">
        <v>28</v>
      </c>
      <c r="G67" s="4" t="s">
        <v>9</v>
      </c>
      <c r="H67" s="4" t="s">
        <v>33</v>
      </c>
      <c r="I67" s="4" t="s">
        <v>11</v>
      </c>
      <c r="J67" s="4" t="s">
        <v>10</v>
      </c>
      <c r="K67" s="4" t="s">
        <v>8</v>
      </c>
      <c r="L67" s="4" t="s">
        <v>24</v>
      </c>
      <c r="M67" s="4" t="s">
        <v>31</v>
      </c>
      <c r="N67" s="4" t="s">
        <v>32</v>
      </c>
      <c r="O67" s="4" t="s">
        <v>43</v>
      </c>
    </row>
    <row r="68" ht="15.75" customHeight="1">
      <c r="B68" s="26" t="s">
        <v>25</v>
      </c>
      <c r="C68" s="27">
        <f t="shared" ref="C68:N68" si="9">C4+C20+C36+C52</f>
        <v>0</v>
      </c>
      <c r="D68" s="27">
        <f t="shared" si="9"/>
        <v>0</v>
      </c>
      <c r="E68" s="27">
        <f t="shared" si="9"/>
        <v>10</v>
      </c>
      <c r="F68" s="27">
        <f t="shared" si="9"/>
        <v>7825</v>
      </c>
      <c r="G68" s="27">
        <f t="shared" si="9"/>
        <v>8552</v>
      </c>
      <c r="H68" s="27">
        <f t="shared" si="9"/>
        <v>3498</v>
      </c>
      <c r="I68" s="27">
        <f t="shared" si="9"/>
        <v>0</v>
      </c>
      <c r="J68" s="27">
        <f t="shared" si="9"/>
        <v>8051</v>
      </c>
      <c r="K68" s="27">
        <f t="shared" si="9"/>
        <v>57554</v>
      </c>
      <c r="L68" s="27">
        <f t="shared" si="9"/>
        <v>3</v>
      </c>
      <c r="M68" s="27">
        <f t="shared" si="9"/>
        <v>6022</v>
      </c>
      <c r="N68" s="27">
        <f t="shared" si="9"/>
        <v>718</v>
      </c>
      <c r="O68" s="36">
        <f t="shared" ref="O68:O79" si="11">SUM(C68:N68)</f>
        <v>92233</v>
      </c>
    </row>
    <row r="69" ht="15.75" customHeight="1">
      <c r="B69" s="26" t="s">
        <v>34</v>
      </c>
      <c r="C69" s="27">
        <f t="shared" ref="C69:N69" si="10">C5+C21+C37+C53</f>
        <v>0</v>
      </c>
      <c r="D69" s="27">
        <f t="shared" si="10"/>
        <v>0</v>
      </c>
      <c r="E69" s="27">
        <f t="shared" si="10"/>
        <v>0</v>
      </c>
      <c r="F69" s="27">
        <f t="shared" si="10"/>
        <v>6006</v>
      </c>
      <c r="G69" s="27">
        <f t="shared" si="10"/>
        <v>0</v>
      </c>
      <c r="H69" s="27">
        <f t="shared" si="10"/>
        <v>66</v>
      </c>
      <c r="I69" s="27">
        <f t="shared" si="10"/>
        <v>0</v>
      </c>
      <c r="J69" s="27">
        <f t="shared" si="10"/>
        <v>0</v>
      </c>
      <c r="K69" s="27">
        <f t="shared" si="10"/>
        <v>4279</v>
      </c>
      <c r="L69" s="27">
        <f t="shared" si="10"/>
        <v>0</v>
      </c>
      <c r="M69" s="27">
        <f t="shared" si="10"/>
        <v>125</v>
      </c>
      <c r="N69" s="27">
        <f t="shared" si="10"/>
        <v>32</v>
      </c>
      <c r="O69" s="27">
        <f t="shared" si="11"/>
        <v>10508</v>
      </c>
    </row>
    <row r="70" ht="15.75" customHeight="1">
      <c r="B70" s="26" t="s">
        <v>35</v>
      </c>
      <c r="C70" s="27">
        <f t="shared" ref="C70:N70" si="12">C6+C22+C38+C54</f>
        <v>0</v>
      </c>
      <c r="D70" s="27">
        <f t="shared" si="12"/>
        <v>0</v>
      </c>
      <c r="E70" s="27">
        <f t="shared" si="12"/>
        <v>0</v>
      </c>
      <c r="F70" s="27">
        <f t="shared" si="12"/>
        <v>60</v>
      </c>
      <c r="G70" s="27">
        <f t="shared" si="12"/>
        <v>0</v>
      </c>
      <c r="H70" s="27">
        <f t="shared" si="12"/>
        <v>0</v>
      </c>
      <c r="I70" s="27">
        <f t="shared" si="12"/>
        <v>0</v>
      </c>
      <c r="J70" s="27">
        <f t="shared" si="12"/>
        <v>0</v>
      </c>
      <c r="K70" s="27">
        <f t="shared" si="12"/>
        <v>52</v>
      </c>
      <c r="L70" s="27">
        <f t="shared" si="12"/>
        <v>0</v>
      </c>
      <c r="M70" s="27">
        <f t="shared" si="12"/>
        <v>0</v>
      </c>
      <c r="N70" s="27">
        <f t="shared" si="12"/>
        <v>12</v>
      </c>
      <c r="O70" s="27">
        <f t="shared" si="11"/>
        <v>124</v>
      </c>
    </row>
    <row r="71" ht="15.75" customHeight="1">
      <c r="B71" s="26" t="s">
        <v>28</v>
      </c>
      <c r="C71" s="27">
        <f t="shared" ref="C71:N71" si="13">C7+C23+C39+C55</f>
        <v>13384</v>
      </c>
      <c r="D71" s="27">
        <f t="shared" si="13"/>
        <v>1400</v>
      </c>
      <c r="E71" s="27">
        <f t="shared" si="13"/>
        <v>203</v>
      </c>
      <c r="F71" s="27">
        <f t="shared" si="13"/>
        <v>0</v>
      </c>
      <c r="G71" s="27">
        <f t="shared" si="13"/>
        <v>2780</v>
      </c>
      <c r="H71" s="27">
        <f t="shared" si="13"/>
        <v>594</v>
      </c>
      <c r="I71" s="27">
        <f t="shared" si="13"/>
        <v>0</v>
      </c>
      <c r="J71" s="27">
        <f t="shared" si="13"/>
        <v>1787</v>
      </c>
      <c r="K71" s="27">
        <f t="shared" si="13"/>
        <v>17206</v>
      </c>
      <c r="L71" s="27">
        <f t="shared" si="13"/>
        <v>0</v>
      </c>
      <c r="M71" s="27">
        <f t="shared" si="13"/>
        <v>7321</v>
      </c>
      <c r="N71" s="27">
        <f t="shared" si="13"/>
        <v>798</v>
      </c>
      <c r="O71" s="36">
        <f t="shared" si="11"/>
        <v>45473</v>
      </c>
    </row>
    <row r="72" ht="15.75" customHeight="1">
      <c r="B72" s="26" t="s">
        <v>9</v>
      </c>
      <c r="C72" s="27">
        <f t="shared" ref="C72:N72" si="14">C8+C24+C40+C56</f>
        <v>21147</v>
      </c>
      <c r="D72" s="27">
        <f t="shared" si="14"/>
        <v>0</v>
      </c>
      <c r="E72" s="27">
        <f t="shared" si="14"/>
        <v>443</v>
      </c>
      <c r="F72" s="27">
        <f t="shared" si="14"/>
        <v>6937</v>
      </c>
      <c r="G72" s="27">
        <f t="shared" si="14"/>
        <v>0</v>
      </c>
      <c r="H72" s="27">
        <f t="shared" si="14"/>
        <v>3620</v>
      </c>
      <c r="I72" s="27">
        <f t="shared" si="14"/>
        <v>120</v>
      </c>
      <c r="J72" s="27">
        <f t="shared" si="14"/>
        <v>3454</v>
      </c>
      <c r="K72" s="27">
        <f t="shared" si="14"/>
        <v>18324</v>
      </c>
      <c r="L72" s="27">
        <f t="shared" si="14"/>
        <v>5</v>
      </c>
      <c r="M72" s="27">
        <f t="shared" si="14"/>
        <v>5127</v>
      </c>
      <c r="N72" s="27">
        <f t="shared" si="14"/>
        <v>1227</v>
      </c>
      <c r="O72" s="36">
        <f t="shared" si="11"/>
        <v>60404</v>
      </c>
    </row>
    <row r="73" ht="15.75" customHeight="1">
      <c r="B73" s="26" t="s">
        <v>33</v>
      </c>
      <c r="C73" s="27">
        <f t="shared" ref="C73:N73" si="15">C9+C25+C41+C57</f>
        <v>3873</v>
      </c>
      <c r="D73" s="27">
        <f t="shared" si="15"/>
        <v>0</v>
      </c>
      <c r="E73" s="27">
        <f t="shared" si="15"/>
        <v>82</v>
      </c>
      <c r="F73" s="27">
        <f t="shared" si="15"/>
        <v>3139</v>
      </c>
      <c r="G73" s="27">
        <f t="shared" si="15"/>
        <v>2375</v>
      </c>
      <c r="H73" s="27">
        <f t="shared" si="15"/>
        <v>0</v>
      </c>
      <c r="I73" s="27">
        <f t="shared" si="15"/>
        <v>69</v>
      </c>
      <c r="J73" s="27">
        <f t="shared" si="15"/>
        <v>2237</v>
      </c>
      <c r="K73" s="27">
        <f t="shared" si="15"/>
        <v>22201</v>
      </c>
      <c r="L73" s="27">
        <f t="shared" si="15"/>
        <v>165</v>
      </c>
      <c r="M73" s="27">
        <f t="shared" si="15"/>
        <v>2846</v>
      </c>
      <c r="N73" s="27">
        <f t="shared" si="15"/>
        <v>635</v>
      </c>
      <c r="O73" s="36">
        <f t="shared" si="11"/>
        <v>37622</v>
      </c>
    </row>
    <row r="74" ht="15.75" customHeight="1">
      <c r="B74" s="26" t="s">
        <v>11</v>
      </c>
      <c r="C74" s="27">
        <f t="shared" ref="C74:H74" si="16">C10+C26+C42+C58</f>
        <v>1586</v>
      </c>
      <c r="D74" s="27">
        <f t="shared" si="16"/>
        <v>0</v>
      </c>
      <c r="E74" s="27">
        <f t="shared" si="16"/>
        <v>0</v>
      </c>
      <c r="F74" s="27">
        <f t="shared" si="16"/>
        <v>0</v>
      </c>
      <c r="G74" s="27">
        <f t="shared" si="16"/>
        <v>50</v>
      </c>
      <c r="H74" s="27">
        <f t="shared" si="16"/>
        <v>0</v>
      </c>
      <c r="I74" s="31"/>
      <c r="J74" s="31"/>
      <c r="K74" s="31"/>
      <c r="L74" s="31"/>
      <c r="M74" s="31"/>
      <c r="N74" s="31"/>
      <c r="O74" s="27">
        <f t="shared" si="11"/>
        <v>1636</v>
      </c>
    </row>
    <row r="75" ht="15.75" customHeight="1">
      <c r="B75" s="26" t="s">
        <v>10</v>
      </c>
      <c r="C75" s="27">
        <f t="shared" ref="C75:H75" si="17">C11+C27+C43+C59</f>
        <v>5102</v>
      </c>
      <c r="D75" s="27">
        <f t="shared" si="17"/>
        <v>0</v>
      </c>
      <c r="E75" s="27">
        <f t="shared" si="17"/>
        <v>10</v>
      </c>
      <c r="F75" s="27">
        <f t="shared" si="17"/>
        <v>1740</v>
      </c>
      <c r="G75" s="27">
        <f t="shared" si="17"/>
        <v>6420</v>
      </c>
      <c r="H75" s="27">
        <f t="shared" si="17"/>
        <v>4471</v>
      </c>
      <c r="I75" s="31"/>
      <c r="J75" s="31"/>
      <c r="K75" s="31"/>
      <c r="L75" s="31"/>
      <c r="M75" s="31"/>
      <c r="N75" s="31"/>
      <c r="O75" s="27">
        <f t="shared" si="11"/>
        <v>17743</v>
      </c>
    </row>
    <row r="76" ht="15.75" customHeight="1">
      <c r="B76" s="26" t="s">
        <v>8</v>
      </c>
      <c r="C76" s="27">
        <f t="shared" ref="C76:H76" si="18">C12+C28+C44+C60</f>
        <v>24407</v>
      </c>
      <c r="D76" s="27">
        <f t="shared" si="18"/>
        <v>1</v>
      </c>
      <c r="E76" s="27">
        <f t="shared" si="18"/>
        <v>1167</v>
      </c>
      <c r="F76" s="27">
        <f t="shared" si="18"/>
        <v>31566</v>
      </c>
      <c r="G76" s="27">
        <f t="shared" si="18"/>
        <v>38079</v>
      </c>
      <c r="H76" s="27">
        <f t="shared" si="18"/>
        <v>6793</v>
      </c>
      <c r="I76" s="31"/>
      <c r="J76" s="31"/>
      <c r="K76" s="31"/>
      <c r="L76" s="31"/>
      <c r="M76" s="31"/>
      <c r="N76" s="31"/>
      <c r="O76" s="36">
        <f t="shared" si="11"/>
        <v>102013</v>
      </c>
    </row>
    <row r="77" ht="15.75" customHeight="1">
      <c r="B77" s="26" t="s">
        <v>24</v>
      </c>
      <c r="C77" s="27">
        <f t="shared" ref="C77:H77" si="19">C13+C29+C45+C61</f>
        <v>0</v>
      </c>
      <c r="D77" s="27">
        <f t="shared" si="19"/>
        <v>0</v>
      </c>
      <c r="E77" s="27">
        <f t="shared" si="19"/>
        <v>0</v>
      </c>
      <c r="F77" s="27">
        <f t="shared" si="19"/>
        <v>20</v>
      </c>
      <c r="G77" s="27">
        <f t="shared" si="19"/>
        <v>0</v>
      </c>
      <c r="H77" s="27">
        <f t="shared" si="19"/>
        <v>11</v>
      </c>
      <c r="I77" s="31"/>
      <c r="J77" s="31"/>
      <c r="K77" s="31"/>
      <c r="L77" s="31"/>
      <c r="M77" s="31"/>
      <c r="N77" s="31"/>
      <c r="O77" s="27">
        <f t="shared" si="11"/>
        <v>31</v>
      </c>
    </row>
    <row r="78" ht="15.75" customHeight="1">
      <c r="B78" s="26" t="s">
        <v>31</v>
      </c>
      <c r="C78" s="27">
        <f t="shared" ref="C78:H78" si="20">C14+C30+C46+C62</f>
        <v>18888</v>
      </c>
      <c r="D78" s="27">
        <f t="shared" si="20"/>
        <v>0</v>
      </c>
      <c r="E78" s="27">
        <f t="shared" si="20"/>
        <v>1006</v>
      </c>
      <c r="F78" s="27">
        <f t="shared" si="20"/>
        <v>28520</v>
      </c>
      <c r="G78" s="27">
        <f t="shared" si="20"/>
        <v>38701</v>
      </c>
      <c r="H78" s="27">
        <f t="shared" si="20"/>
        <v>7743</v>
      </c>
      <c r="I78" s="31"/>
      <c r="J78" s="31"/>
      <c r="K78" s="31"/>
      <c r="L78" s="31"/>
      <c r="M78" s="31"/>
      <c r="N78" s="31"/>
      <c r="O78" s="36">
        <f t="shared" si="11"/>
        <v>94858</v>
      </c>
    </row>
    <row r="79" ht="15.75" customHeight="1">
      <c r="B79" s="26" t="s">
        <v>32</v>
      </c>
      <c r="C79" s="27">
        <f t="shared" ref="C79:H79" si="21">C15+C31+C47+C63</f>
        <v>2596</v>
      </c>
      <c r="D79" s="27">
        <f t="shared" si="21"/>
        <v>0</v>
      </c>
      <c r="E79" s="27">
        <f t="shared" si="21"/>
        <v>1344</v>
      </c>
      <c r="F79" s="27">
        <f t="shared" si="21"/>
        <v>13177</v>
      </c>
      <c r="G79" s="27">
        <f t="shared" si="21"/>
        <v>9263</v>
      </c>
      <c r="H79" s="27">
        <f t="shared" si="21"/>
        <v>6415</v>
      </c>
      <c r="I79" s="31"/>
      <c r="J79" s="31"/>
      <c r="K79" s="31"/>
      <c r="L79" s="31"/>
      <c r="M79" s="31"/>
      <c r="N79" s="31"/>
      <c r="O79" s="27">
        <f t="shared" si="11"/>
        <v>32795</v>
      </c>
    </row>
    <row r="80" ht="15.75" customHeight="1">
      <c r="B80" s="32" t="s">
        <v>48</v>
      </c>
      <c r="C80" s="36">
        <f t="shared" ref="C80:O80" si="22">SUM(C68:C79)</f>
        <v>90983</v>
      </c>
      <c r="D80" s="33">
        <f t="shared" si="22"/>
        <v>1401</v>
      </c>
      <c r="E80" s="33">
        <f t="shared" si="22"/>
        <v>4265</v>
      </c>
      <c r="F80" s="36">
        <f t="shared" si="22"/>
        <v>98990</v>
      </c>
      <c r="G80" s="36">
        <f t="shared" si="22"/>
        <v>106220</v>
      </c>
      <c r="H80" s="36">
        <f t="shared" si="22"/>
        <v>33211</v>
      </c>
      <c r="I80" s="33">
        <f t="shared" si="22"/>
        <v>189</v>
      </c>
      <c r="J80" s="33">
        <f t="shared" si="22"/>
        <v>15529</v>
      </c>
      <c r="K80" s="36">
        <f t="shared" si="22"/>
        <v>119616</v>
      </c>
      <c r="L80" s="33">
        <f t="shared" si="22"/>
        <v>173</v>
      </c>
      <c r="M80" s="36">
        <f t="shared" si="22"/>
        <v>21441</v>
      </c>
      <c r="N80" s="33">
        <f t="shared" si="22"/>
        <v>3422</v>
      </c>
      <c r="O80" s="33">
        <f t="shared" si="22"/>
        <v>495440</v>
      </c>
    </row>
    <row r="81" ht="15.75" customHeight="1"/>
    <row r="82" ht="15.75" customHeight="1">
      <c r="B82" s="42" t="s">
        <v>58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1"/>
    </row>
    <row r="83" ht="15.75" customHeight="1">
      <c r="B83" s="4" t="s">
        <v>42</v>
      </c>
      <c r="C83" s="4" t="s">
        <v>25</v>
      </c>
      <c r="D83" s="4" t="s">
        <v>34</v>
      </c>
      <c r="E83" s="4" t="s">
        <v>35</v>
      </c>
      <c r="F83" s="4" t="s">
        <v>28</v>
      </c>
      <c r="G83" s="4" t="s">
        <v>9</v>
      </c>
      <c r="H83" s="4" t="s">
        <v>33</v>
      </c>
      <c r="I83" s="4" t="s">
        <v>11</v>
      </c>
      <c r="J83" s="4" t="s">
        <v>10</v>
      </c>
      <c r="K83" s="4" t="s">
        <v>8</v>
      </c>
      <c r="L83" s="4" t="s">
        <v>24</v>
      </c>
      <c r="M83" s="4" t="s">
        <v>31</v>
      </c>
      <c r="N83" s="4" t="s">
        <v>32</v>
      </c>
      <c r="O83" s="4" t="s">
        <v>43</v>
      </c>
    </row>
    <row r="84" ht="15.75" customHeight="1">
      <c r="B84" s="26" t="s">
        <v>25</v>
      </c>
      <c r="C84" s="27">
        <f t="shared" ref="C84:N84" si="23">C68+C36+C52</f>
        <v>0</v>
      </c>
      <c r="D84" s="27">
        <f t="shared" si="23"/>
        <v>0</v>
      </c>
      <c r="E84" s="27">
        <f t="shared" si="23"/>
        <v>19</v>
      </c>
      <c r="F84" s="27">
        <f t="shared" si="23"/>
        <v>13903</v>
      </c>
      <c r="G84" s="27">
        <f t="shared" si="23"/>
        <v>16790</v>
      </c>
      <c r="H84" s="27">
        <f t="shared" si="23"/>
        <v>6665</v>
      </c>
      <c r="I84" s="27">
        <f t="shared" si="23"/>
        <v>0</v>
      </c>
      <c r="J84" s="27">
        <f t="shared" si="23"/>
        <v>15100</v>
      </c>
      <c r="K84" s="27">
        <f t="shared" si="23"/>
        <v>112595</v>
      </c>
      <c r="L84" s="27">
        <f t="shared" si="23"/>
        <v>6</v>
      </c>
      <c r="M84" s="27">
        <f t="shared" si="23"/>
        <v>11569</v>
      </c>
      <c r="N84" s="27">
        <f t="shared" si="23"/>
        <v>1417</v>
      </c>
      <c r="O84" s="36">
        <f t="shared" ref="O84:O95" si="25">SUM(C84:N84)</f>
        <v>178064</v>
      </c>
    </row>
    <row r="85" ht="15.75" customHeight="1">
      <c r="B85" s="26" t="s">
        <v>34</v>
      </c>
      <c r="C85" s="27">
        <f t="shared" ref="C85:N85" si="24">C69+C37+C53</f>
        <v>0</v>
      </c>
      <c r="D85" s="27">
        <f t="shared" si="24"/>
        <v>0</v>
      </c>
      <c r="E85" s="27">
        <f t="shared" si="24"/>
        <v>0</v>
      </c>
      <c r="F85" s="27">
        <f t="shared" si="24"/>
        <v>8179</v>
      </c>
      <c r="G85" s="27">
        <f t="shared" si="24"/>
        <v>0</v>
      </c>
      <c r="H85" s="27">
        <f t="shared" si="24"/>
        <v>82</v>
      </c>
      <c r="I85" s="27">
        <f t="shared" si="24"/>
        <v>0</v>
      </c>
      <c r="J85" s="27">
        <f t="shared" si="24"/>
        <v>0</v>
      </c>
      <c r="K85" s="27">
        <f t="shared" si="24"/>
        <v>5105</v>
      </c>
      <c r="L85" s="27">
        <f t="shared" si="24"/>
        <v>0</v>
      </c>
      <c r="M85" s="27">
        <f t="shared" si="24"/>
        <v>217</v>
      </c>
      <c r="N85" s="27">
        <f t="shared" si="24"/>
        <v>39</v>
      </c>
      <c r="O85" s="27">
        <f t="shared" si="25"/>
        <v>13622</v>
      </c>
    </row>
    <row r="86" ht="15.75" customHeight="1">
      <c r="B86" s="26" t="s">
        <v>35</v>
      </c>
      <c r="C86" s="27">
        <f t="shared" ref="C86:N86" si="26">C70+C38+C54</f>
        <v>0</v>
      </c>
      <c r="D86" s="27">
        <f t="shared" si="26"/>
        <v>0</v>
      </c>
      <c r="E86" s="27">
        <f t="shared" si="26"/>
        <v>0</v>
      </c>
      <c r="F86" s="27">
        <f t="shared" si="26"/>
        <v>111</v>
      </c>
      <c r="G86" s="27">
        <f t="shared" si="26"/>
        <v>0</v>
      </c>
      <c r="H86" s="27">
        <f t="shared" si="26"/>
        <v>0</v>
      </c>
      <c r="I86" s="27">
        <f t="shared" si="26"/>
        <v>0</v>
      </c>
      <c r="J86" s="27">
        <f t="shared" si="26"/>
        <v>0</v>
      </c>
      <c r="K86" s="27">
        <f t="shared" si="26"/>
        <v>104</v>
      </c>
      <c r="L86" s="27">
        <f t="shared" si="26"/>
        <v>0</v>
      </c>
      <c r="M86" s="27">
        <f t="shared" si="26"/>
        <v>0</v>
      </c>
      <c r="N86" s="27">
        <f t="shared" si="26"/>
        <v>15</v>
      </c>
      <c r="O86" s="27">
        <f t="shared" si="25"/>
        <v>230</v>
      </c>
    </row>
    <row r="87" ht="15.75" customHeight="1">
      <c r="B87" s="26" t="s">
        <v>28</v>
      </c>
      <c r="C87" s="27">
        <f t="shared" ref="C87:N87" si="27">C71+C39+C55</f>
        <v>23842</v>
      </c>
      <c r="D87" s="27">
        <f t="shared" si="27"/>
        <v>2473</v>
      </c>
      <c r="E87" s="27">
        <f t="shared" si="27"/>
        <v>384</v>
      </c>
      <c r="F87" s="27">
        <f t="shared" si="27"/>
        <v>0</v>
      </c>
      <c r="G87" s="27">
        <f t="shared" si="27"/>
        <v>5278</v>
      </c>
      <c r="H87" s="27">
        <f t="shared" si="27"/>
        <v>697</v>
      </c>
      <c r="I87" s="27">
        <f t="shared" si="27"/>
        <v>0</v>
      </c>
      <c r="J87" s="27">
        <f t="shared" si="27"/>
        <v>2335</v>
      </c>
      <c r="K87" s="27">
        <f t="shared" si="27"/>
        <v>25277</v>
      </c>
      <c r="L87" s="27">
        <f t="shared" si="27"/>
        <v>0</v>
      </c>
      <c r="M87" s="27">
        <f t="shared" si="27"/>
        <v>10587</v>
      </c>
      <c r="N87" s="27">
        <f t="shared" si="27"/>
        <v>1164</v>
      </c>
      <c r="O87" s="36">
        <f t="shared" si="25"/>
        <v>72037</v>
      </c>
    </row>
    <row r="88" ht="15.75" customHeight="1">
      <c r="B88" s="26" t="s">
        <v>9</v>
      </c>
      <c r="C88" s="27">
        <f t="shared" ref="C88:N88" si="28">C72+C40+C56</f>
        <v>40255</v>
      </c>
      <c r="D88" s="27">
        <f t="shared" si="28"/>
        <v>0</v>
      </c>
      <c r="E88" s="27">
        <f t="shared" si="28"/>
        <v>885</v>
      </c>
      <c r="F88" s="27">
        <f t="shared" si="28"/>
        <v>12390</v>
      </c>
      <c r="G88" s="27">
        <f t="shared" si="28"/>
        <v>0</v>
      </c>
      <c r="H88" s="27">
        <f t="shared" si="28"/>
        <v>4273</v>
      </c>
      <c r="I88" s="27">
        <f t="shared" si="28"/>
        <v>223</v>
      </c>
      <c r="J88" s="27">
        <f t="shared" si="28"/>
        <v>5021</v>
      </c>
      <c r="K88" s="27">
        <f t="shared" si="28"/>
        <v>28128</v>
      </c>
      <c r="L88" s="27">
        <f t="shared" si="28"/>
        <v>9</v>
      </c>
      <c r="M88" s="27">
        <f t="shared" si="28"/>
        <v>9423</v>
      </c>
      <c r="N88" s="27">
        <f t="shared" si="28"/>
        <v>2190</v>
      </c>
      <c r="O88" s="36">
        <f t="shared" si="25"/>
        <v>102797</v>
      </c>
    </row>
    <row r="89" ht="15.75" customHeight="1">
      <c r="B89" s="26" t="s">
        <v>33</v>
      </c>
      <c r="C89" s="27">
        <f t="shared" ref="C89:N89" si="29">C73+C41+C57</f>
        <v>7339</v>
      </c>
      <c r="D89" s="27">
        <f t="shared" si="29"/>
        <v>0</v>
      </c>
      <c r="E89" s="27">
        <f t="shared" si="29"/>
        <v>164</v>
      </c>
      <c r="F89" s="27">
        <f t="shared" si="29"/>
        <v>5495</v>
      </c>
      <c r="G89" s="27">
        <f t="shared" si="29"/>
        <v>4078</v>
      </c>
      <c r="H89" s="27">
        <f t="shared" si="29"/>
        <v>0</v>
      </c>
      <c r="I89" s="27">
        <f t="shared" si="29"/>
        <v>127</v>
      </c>
      <c r="J89" s="27">
        <f t="shared" si="29"/>
        <v>3909</v>
      </c>
      <c r="K89" s="27">
        <f t="shared" si="29"/>
        <v>33493</v>
      </c>
      <c r="L89" s="27">
        <f t="shared" si="29"/>
        <v>274</v>
      </c>
      <c r="M89" s="27">
        <f t="shared" si="29"/>
        <v>5401</v>
      </c>
      <c r="N89" s="27">
        <f t="shared" si="29"/>
        <v>1125</v>
      </c>
      <c r="O89" s="36">
        <f t="shared" si="25"/>
        <v>61405</v>
      </c>
    </row>
    <row r="90" ht="15.75" customHeight="1">
      <c r="B90" s="26" t="s">
        <v>11</v>
      </c>
      <c r="C90" s="27">
        <f t="shared" ref="C90:H90" si="30">C74+C42+C58</f>
        <v>2520</v>
      </c>
      <c r="D90" s="27">
        <f t="shared" si="30"/>
        <v>0</v>
      </c>
      <c r="E90" s="27">
        <f t="shared" si="30"/>
        <v>0</v>
      </c>
      <c r="F90" s="27">
        <f t="shared" si="30"/>
        <v>0</v>
      </c>
      <c r="G90" s="27">
        <f t="shared" si="30"/>
        <v>61</v>
      </c>
      <c r="H90" s="27">
        <f t="shared" si="30"/>
        <v>0</v>
      </c>
      <c r="I90" s="31"/>
      <c r="J90" s="31"/>
      <c r="K90" s="31"/>
      <c r="L90" s="31"/>
      <c r="M90" s="31"/>
      <c r="N90" s="31"/>
      <c r="O90" s="27">
        <f t="shared" si="25"/>
        <v>2581</v>
      </c>
    </row>
    <row r="91" ht="15.75" customHeight="1">
      <c r="B91" s="26" t="s">
        <v>10</v>
      </c>
      <c r="C91" s="27">
        <f t="shared" ref="C91:H91" si="31">C75+C43+C59</f>
        <v>8434</v>
      </c>
      <c r="D91" s="27">
        <f t="shared" si="31"/>
        <v>0</v>
      </c>
      <c r="E91" s="27">
        <f t="shared" si="31"/>
        <v>20</v>
      </c>
      <c r="F91" s="27">
        <f t="shared" si="31"/>
        <v>3157</v>
      </c>
      <c r="G91" s="27">
        <f t="shared" si="31"/>
        <v>12323</v>
      </c>
      <c r="H91" s="27">
        <f t="shared" si="31"/>
        <v>8279</v>
      </c>
      <c r="I91" s="31"/>
      <c r="J91" s="31"/>
      <c r="K91" s="31"/>
      <c r="L91" s="31"/>
      <c r="M91" s="31"/>
      <c r="N91" s="31"/>
      <c r="O91" s="27">
        <f t="shared" si="25"/>
        <v>32213</v>
      </c>
    </row>
    <row r="92" ht="15.75" customHeight="1">
      <c r="B92" s="26" t="s">
        <v>8</v>
      </c>
      <c r="C92" s="27">
        <f t="shared" ref="C92:H92" si="32">C76+C44+C60</f>
        <v>44756</v>
      </c>
      <c r="D92" s="27">
        <f t="shared" si="32"/>
        <v>2</v>
      </c>
      <c r="E92" s="27">
        <f t="shared" si="32"/>
        <v>2303</v>
      </c>
      <c r="F92" s="27">
        <f t="shared" si="32"/>
        <v>56746</v>
      </c>
      <c r="G92" s="27">
        <f t="shared" si="32"/>
        <v>69572</v>
      </c>
      <c r="H92" s="27">
        <f t="shared" si="32"/>
        <v>11507</v>
      </c>
      <c r="I92" s="31"/>
      <c r="J92" s="31"/>
      <c r="K92" s="31"/>
      <c r="L92" s="31"/>
      <c r="M92" s="31"/>
      <c r="N92" s="31"/>
      <c r="O92" s="36">
        <f t="shared" si="25"/>
        <v>184886</v>
      </c>
    </row>
    <row r="93" ht="15.75" customHeight="1">
      <c r="B93" s="26" t="s">
        <v>24</v>
      </c>
      <c r="C93" s="27">
        <f t="shared" ref="C93:H93" si="33">C77+C45+C61</f>
        <v>0</v>
      </c>
      <c r="D93" s="27">
        <f t="shared" si="33"/>
        <v>0</v>
      </c>
      <c r="E93" s="27">
        <f t="shared" si="33"/>
        <v>0</v>
      </c>
      <c r="F93" s="27">
        <f t="shared" si="33"/>
        <v>29</v>
      </c>
      <c r="G93" s="27">
        <f t="shared" si="33"/>
        <v>0</v>
      </c>
      <c r="H93" s="27">
        <f t="shared" si="33"/>
        <v>11</v>
      </c>
      <c r="I93" s="31"/>
      <c r="J93" s="31"/>
      <c r="K93" s="31"/>
      <c r="L93" s="31"/>
      <c r="M93" s="31"/>
      <c r="N93" s="31"/>
      <c r="O93" s="27">
        <f t="shared" si="25"/>
        <v>40</v>
      </c>
    </row>
    <row r="94" ht="15.75" customHeight="1">
      <c r="B94" s="26" t="s">
        <v>31</v>
      </c>
      <c r="C94" s="27">
        <f t="shared" ref="C94:H94" si="34">C78+C46+C62</f>
        <v>36324</v>
      </c>
      <c r="D94" s="27">
        <f t="shared" si="34"/>
        <v>0</v>
      </c>
      <c r="E94" s="27">
        <f t="shared" si="34"/>
        <v>1666</v>
      </c>
      <c r="F94" s="27">
        <f t="shared" si="34"/>
        <v>45197</v>
      </c>
      <c r="G94" s="27">
        <f t="shared" si="34"/>
        <v>63792</v>
      </c>
      <c r="H94" s="27">
        <f t="shared" si="34"/>
        <v>11283</v>
      </c>
      <c r="I94" s="31"/>
      <c r="J94" s="31"/>
      <c r="K94" s="31"/>
      <c r="L94" s="31"/>
      <c r="M94" s="31"/>
      <c r="N94" s="31"/>
      <c r="O94" s="36">
        <f t="shared" si="25"/>
        <v>158262</v>
      </c>
    </row>
    <row r="95" ht="15.75" customHeight="1">
      <c r="B95" s="26" t="s">
        <v>32</v>
      </c>
      <c r="C95" s="27">
        <f t="shared" ref="C95:H95" si="35">C79+C47+C63</f>
        <v>5024</v>
      </c>
      <c r="D95" s="27">
        <f t="shared" si="35"/>
        <v>0</v>
      </c>
      <c r="E95" s="27">
        <f t="shared" si="35"/>
        <v>1488</v>
      </c>
      <c r="F95" s="27">
        <f t="shared" si="35"/>
        <v>18257</v>
      </c>
      <c r="G95" s="27">
        <f t="shared" si="35"/>
        <v>12652</v>
      </c>
      <c r="H95" s="27">
        <f t="shared" si="35"/>
        <v>8901</v>
      </c>
      <c r="I95" s="31"/>
      <c r="J95" s="31"/>
      <c r="K95" s="31"/>
      <c r="L95" s="31"/>
      <c r="M95" s="31"/>
      <c r="N95" s="31"/>
      <c r="O95" s="27">
        <f t="shared" si="25"/>
        <v>46322</v>
      </c>
    </row>
    <row r="96" ht="15.75" customHeight="1">
      <c r="B96" s="32" t="s">
        <v>48</v>
      </c>
      <c r="C96" s="36">
        <f t="shared" ref="C96:O96" si="36">SUM(C84:C95)</f>
        <v>168494</v>
      </c>
      <c r="D96" s="33">
        <f t="shared" si="36"/>
        <v>2475</v>
      </c>
      <c r="E96" s="33">
        <f t="shared" si="36"/>
        <v>6929</v>
      </c>
      <c r="F96" s="36">
        <f t="shared" si="36"/>
        <v>163464</v>
      </c>
      <c r="G96" s="36">
        <f t="shared" si="36"/>
        <v>184546</v>
      </c>
      <c r="H96" s="36">
        <f t="shared" si="36"/>
        <v>51698</v>
      </c>
      <c r="I96" s="33">
        <f t="shared" si="36"/>
        <v>350</v>
      </c>
      <c r="J96" s="33">
        <f t="shared" si="36"/>
        <v>26365</v>
      </c>
      <c r="K96" s="36">
        <f t="shared" si="36"/>
        <v>204702</v>
      </c>
      <c r="L96" s="33">
        <f t="shared" si="36"/>
        <v>289</v>
      </c>
      <c r="M96" s="36">
        <f t="shared" si="36"/>
        <v>37197</v>
      </c>
      <c r="N96" s="33">
        <f t="shared" si="36"/>
        <v>5950</v>
      </c>
      <c r="O96" s="33">
        <f t="shared" si="36"/>
        <v>852459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O2"/>
    <mergeCell ref="B18:O18"/>
    <mergeCell ref="B34:O34"/>
    <mergeCell ref="B50:O50"/>
    <mergeCell ref="B66:O66"/>
    <mergeCell ref="B82:O82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6.14"/>
    <col customWidth="1" min="2" max="2" width="15.86"/>
    <col customWidth="1" min="3" max="5" width="14.43"/>
    <col customWidth="1" min="6" max="6" width="15.14"/>
    <col customWidth="1" min="8" max="8" width="14.86"/>
    <col customWidth="1" min="9" max="9" width="15.14"/>
    <col customWidth="1" min="10" max="10" width="16.43"/>
    <col customWidth="1" min="18" max="18" width="17.86"/>
    <col customWidth="1" min="19" max="19" width="11.86"/>
    <col customWidth="1" min="20" max="26" width="15.86"/>
    <col customWidth="1" min="27" max="27" width="19.14"/>
    <col customWidth="1" min="28" max="28" width="3.86"/>
    <col customWidth="1" min="29" max="30" width="15.86"/>
  </cols>
  <sheetData>
    <row r="1">
      <c r="J1" s="43"/>
      <c r="S1" s="43"/>
    </row>
    <row r="2">
      <c r="A2" s="44"/>
      <c r="B2" s="45" t="s">
        <v>67</v>
      </c>
      <c r="C2" s="46"/>
      <c r="D2" s="46"/>
      <c r="E2" s="46"/>
      <c r="F2" s="46"/>
      <c r="G2" s="46"/>
      <c r="H2" s="46"/>
      <c r="I2" s="47"/>
      <c r="J2" s="43"/>
      <c r="K2" s="45" t="s">
        <v>68</v>
      </c>
      <c r="L2" s="46"/>
      <c r="M2" s="46"/>
      <c r="N2" s="46"/>
      <c r="O2" s="46"/>
      <c r="P2" s="46"/>
      <c r="Q2" s="46"/>
      <c r="R2" s="47"/>
      <c r="S2" s="43"/>
      <c r="T2" s="45" t="s">
        <v>69</v>
      </c>
      <c r="U2" s="46"/>
      <c r="V2" s="46"/>
      <c r="W2" s="46"/>
      <c r="X2" s="46"/>
      <c r="Y2" s="46"/>
      <c r="Z2" s="46"/>
      <c r="AA2" s="46"/>
      <c r="AB2" s="46"/>
      <c r="AC2" s="46"/>
      <c r="AD2" s="47"/>
    </row>
    <row r="3">
      <c r="J3" s="43"/>
      <c r="S3" s="43"/>
    </row>
    <row r="4">
      <c r="A4" s="48"/>
      <c r="B4" s="19" t="s">
        <v>39</v>
      </c>
      <c r="C4" s="20"/>
      <c r="D4" s="20"/>
      <c r="E4" s="20"/>
      <c r="F4" s="20"/>
      <c r="G4" s="20"/>
      <c r="H4" s="20"/>
      <c r="I4" s="21"/>
      <c r="J4" s="43"/>
      <c r="K4" s="19" t="s">
        <v>39</v>
      </c>
      <c r="L4" s="20"/>
      <c r="M4" s="20"/>
      <c r="N4" s="20"/>
      <c r="O4" s="20"/>
      <c r="P4" s="20"/>
      <c r="Q4" s="20"/>
      <c r="R4" s="21"/>
      <c r="S4" s="43"/>
      <c r="T4" s="19" t="s">
        <v>39</v>
      </c>
      <c r="U4" s="20"/>
      <c r="V4" s="20"/>
      <c r="W4" s="20"/>
      <c r="X4" s="20"/>
      <c r="Y4" s="20"/>
      <c r="Z4" s="20"/>
      <c r="AA4" s="21"/>
      <c r="AC4" s="19" t="s">
        <v>40</v>
      </c>
      <c r="AD4" s="21"/>
    </row>
    <row r="5">
      <c r="A5" s="48"/>
      <c r="B5" s="4" t="s">
        <v>42</v>
      </c>
      <c r="C5" s="4" t="s">
        <v>25</v>
      </c>
      <c r="D5" s="49" t="s">
        <v>28</v>
      </c>
      <c r="E5" s="4" t="s">
        <v>9</v>
      </c>
      <c r="F5" s="49" t="s">
        <v>33</v>
      </c>
      <c r="G5" s="4" t="s">
        <v>8</v>
      </c>
      <c r="H5" s="4" t="s">
        <v>31</v>
      </c>
      <c r="I5" s="4" t="s">
        <v>43</v>
      </c>
      <c r="J5" s="43"/>
      <c r="K5" s="4" t="s">
        <v>42</v>
      </c>
      <c r="L5" s="4" t="s">
        <v>25</v>
      </c>
      <c r="M5" s="49" t="s">
        <v>28</v>
      </c>
      <c r="N5" s="4" t="s">
        <v>9</v>
      </c>
      <c r="O5" s="49" t="s">
        <v>33</v>
      </c>
      <c r="P5" s="49" t="s">
        <v>33</v>
      </c>
      <c r="Q5" s="4" t="s">
        <v>31</v>
      </c>
      <c r="R5" s="4" t="s">
        <v>43</v>
      </c>
      <c r="S5" s="43"/>
      <c r="T5" s="4" t="s">
        <v>42</v>
      </c>
      <c r="U5" s="4" t="s">
        <v>25</v>
      </c>
      <c r="V5" s="49" t="s">
        <v>28</v>
      </c>
      <c r="W5" s="4" t="s">
        <v>9</v>
      </c>
      <c r="X5" s="49" t="s">
        <v>33</v>
      </c>
      <c r="Y5" s="49" t="s">
        <v>33</v>
      </c>
      <c r="Z5" s="4" t="s">
        <v>31</v>
      </c>
      <c r="AA5" s="4" t="s">
        <v>43</v>
      </c>
      <c r="AC5" s="4" t="s">
        <v>44</v>
      </c>
      <c r="AD5" s="4" t="s">
        <v>47</v>
      </c>
    </row>
    <row r="6">
      <c r="A6" s="50"/>
      <c r="B6" s="26" t="s">
        <v>25</v>
      </c>
      <c r="C6" s="27"/>
      <c r="D6" s="27">
        <v>1747.0</v>
      </c>
      <c r="E6" s="27">
        <v>313.0</v>
      </c>
      <c r="F6" s="51">
        <v>329.0</v>
      </c>
      <c r="G6" s="27">
        <v>2513.0</v>
      </c>
      <c r="H6" s="27">
        <v>475.0</v>
      </c>
      <c r="I6" s="27">
        <f t="shared" ref="I6:I11" si="3">SUM(C6:H6)</f>
        <v>5377</v>
      </c>
      <c r="J6" s="43"/>
      <c r="K6" s="26" t="s">
        <v>25</v>
      </c>
      <c r="L6" s="27">
        <f t="shared" ref="L6:Q6" si="1">INT(C6/52)</f>
        <v>0</v>
      </c>
      <c r="M6" s="27">
        <f t="shared" si="1"/>
        <v>33</v>
      </c>
      <c r="N6" s="27">
        <f t="shared" si="1"/>
        <v>6</v>
      </c>
      <c r="O6" s="27">
        <f t="shared" si="1"/>
        <v>6</v>
      </c>
      <c r="P6" s="27">
        <f t="shared" si="1"/>
        <v>48</v>
      </c>
      <c r="Q6" s="27">
        <f t="shared" si="1"/>
        <v>9</v>
      </c>
      <c r="R6" s="27">
        <f t="shared" ref="R6:R11" si="5">SUM(L6:Q6)</f>
        <v>102</v>
      </c>
      <c r="S6" s="43"/>
      <c r="T6" s="26" t="s">
        <v>25</v>
      </c>
      <c r="U6" s="27">
        <f t="shared" ref="U6:Z6" si="2">L6*C108</f>
        <v>0</v>
      </c>
      <c r="V6" s="27">
        <f t="shared" si="2"/>
        <v>0</v>
      </c>
      <c r="W6" s="27">
        <f t="shared" si="2"/>
        <v>0.8189512163</v>
      </c>
      <c r="X6" s="27">
        <f t="shared" si="2"/>
        <v>2.784943575</v>
      </c>
      <c r="Y6" s="27">
        <f t="shared" si="2"/>
        <v>44.21772855</v>
      </c>
      <c r="Z6" s="27">
        <f t="shared" si="2"/>
        <v>9</v>
      </c>
      <c r="AA6" s="27">
        <f t="shared" ref="AA6:AA11" si="7">SUM(U6:Z6)</f>
        <v>56.82162334</v>
      </c>
      <c r="AC6" s="26" t="s">
        <v>25</v>
      </c>
      <c r="AD6" s="52">
        <f>U12-$AA6</f>
        <v>37.95864533</v>
      </c>
      <c r="AE6" s="29">
        <f t="shared" ref="AE6:AE11" si="8">INT(ABS(AD6))</f>
        <v>37</v>
      </c>
    </row>
    <row r="7">
      <c r="A7" s="50"/>
      <c r="B7" s="26" t="s">
        <v>28</v>
      </c>
      <c r="C7" s="27">
        <v>2926.0</v>
      </c>
      <c r="D7" s="27"/>
      <c r="E7" s="27">
        <v>282.0</v>
      </c>
      <c r="F7" s="53">
        <v>491.0</v>
      </c>
      <c r="G7" s="27">
        <v>9135.0</v>
      </c>
      <c r="H7" s="27">
        <v>4055.0</v>
      </c>
      <c r="I7" s="27">
        <f t="shared" si="3"/>
        <v>16889</v>
      </c>
      <c r="J7" s="43"/>
      <c r="K7" s="26" t="s">
        <v>28</v>
      </c>
      <c r="L7" s="27">
        <f t="shared" ref="L7:Q7" si="4">INT(C7/52)</f>
        <v>56</v>
      </c>
      <c r="M7" s="27">
        <f t="shared" si="4"/>
        <v>0</v>
      </c>
      <c r="N7" s="27">
        <f t="shared" si="4"/>
        <v>5</v>
      </c>
      <c r="O7" s="27">
        <f t="shared" si="4"/>
        <v>9</v>
      </c>
      <c r="P7" s="27">
        <f t="shared" si="4"/>
        <v>175</v>
      </c>
      <c r="Q7" s="27">
        <f t="shared" si="4"/>
        <v>77</v>
      </c>
      <c r="R7" s="27">
        <f t="shared" si="5"/>
        <v>322</v>
      </c>
      <c r="S7" s="43"/>
      <c r="T7" s="26" t="s">
        <v>28</v>
      </c>
      <c r="U7" s="27">
        <f t="shared" ref="U7:Z7" si="6">L7*C109</f>
        <v>55.93375011</v>
      </c>
      <c r="V7" s="27">
        <f t="shared" si="6"/>
        <v>0</v>
      </c>
      <c r="W7" s="27">
        <f t="shared" si="6"/>
        <v>0.0436915456</v>
      </c>
      <c r="X7" s="27">
        <f t="shared" si="6"/>
        <v>0.6185028056</v>
      </c>
      <c r="Y7" s="27">
        <f t="shared" si="6"/>
        <v>60.25199352</v>
      </c>
      <c r="Z7" s="27">
        <f t="shared" si="6"/>
        <v>8.456994154</v>
      </c>
      <c r="AA7" s="27">
        <f t="shared" si="7"/>
        <v>125.3049321</v>
      </c>
      <c r="AC7" s="26" t="s">
        <v>28</v>
      </c>
      <c r="AD7" s="52">
        <f>V12-$AA7</f>
        <v>50.57464648</v>
      </c>
      <c r="AE7" s="29">
        <f t="shared" si="8"/>
        <v>50</v>
      </c>
    </row>
    <row r="8">
      <c r="A8" s="50"/>
      <c r="B8" s="26" t="s">
        <v>9</v>
      </c>
      <c r="C8" s="27">
        <v>2039.0</v>
      </c>
      <c r="D8" s="27">
        <v>1481.0</v>
      </c>
      <c r="E8" s="27"/>
      <c r="F8" s="53">
        <v>2967.0</v>
      </c>
      <c r="G8" s="27">
        <v>8519.0</v>
      </c>
      <c r="H8" s="27">
        <v>827.0</v>
      </c>
      <c r="I8" s="27">
        <f t="shared" si="3"/>
        <v>15833</v>
      </c>
      <c r="J8" s="43"/>
      <c r="K8" s="26" t="s">
        <v>9</v>
      </c>
      <c r="L8" s="27">
        <f t="shared" ref="L8:Q8" si="9">INT(C8/52)</f>
        <v>39</v>
      </c>
      <c r="M8" s="27">
        <f t="shared" si="9"/>
        <v>28</v>
      </c>
      <c r="N8" s="27">
        <f t="shared" si="9"/>
        <v>0</v>
      </c>
      <c r="O8" s="27">
        <f t="shared" si="9"/>
        <v>57</v>
      </c>
      <c r="P8" s="27">
        <f t="shared" si="9"/>
        <v>163</v>
      </c>
      <c r="Q8" s="27">
        <f t="shared" si="9"/>
        <v>15</v>
      </c>
      <c r="R8" s="27">
        <f t="shared" si="5"/>
        <v>302</v>
      </c>
      <c r="S8" s="43"/>
      <c r="T8" s="26" t="s">
        <v>9</v>
      </c>
      <c r="U8" s="27">
        <f t="shared" ref="U8:Z8" si="10">L8*C110</f>
        <v>20.5777286</v>
      </c>
      <c r="V8" s="27">
        <f t="shared" si="10"/>
        <v>15.48465894</v>
      </c>
      <c r="W8" s="27">
        <f t="shared" si="10"/>
        <v>0</v>
      </c>
      <c r="X8" s="27">
        <f t="shared" si="10"/>
        <v>0.1583368589</v>
      </c>
      <c r="Y8" s="27">
        <f t="shared" si="10"/>
        <v>11.96520634</v>
      </c>
      <c r="Z8" s="27">
        <f t="shared" si="10"/>
        <v>5.607498526</v>
      </c>
      <c r="AA8" s="27">
        <f t="shared" si="7"/>
        <v>53.79342927</v>
      </c>
      <c r="AC8" s="54" t="s">
        <v>9</v>
      </c>
      <c r="AD8" s="52">
        <f>W12-$AA8</f>
        <v>92.15685725</v>
      </c>
      <c r="AE8" s="29">
        <f t="shared" si="8"/>
        <v>92</v>
      </c>
    </row>
    <row r="9">
      <c r="A9" s="50"/>
      <c r="B9" s="26" t="s">
        <v>33</v>
      </c>
      <c r="C9" s="51">
        <v>407.0</v>
      </c>
      <c r="D9" s="55">
        <v>779.0</v>
      </c>
      <c r="E9" s="55">
        <v>670.0</v>
      </c>
      <c r="F9" s="9"/>
      <c r="G9" s="55">
        <v>10907.0</v>
      </c>
      <c r="H9" s="55">
        <v>289.0</v>
      </c>
      <c r="I9" s="27">
        <f t="shared" si="3"/>
        <v>13052</v>
      </c>
      <c r="J9" s="43"/>
      <c r="K9" s="26" t="s">
        <v>33</v>
      </c>
      <c r="L9" s="27">
        <f t="shared" ref="L9:Q9" si="11">INT(C9/52)</f>
        <v>7</v>
      </c>
      <c r="M9" s="27">
        <f t="shared" si="11"/>
        <v>14</v>
      </c>
      <c r="N9" s="27">
        <f t="shared" si="11"/>
        <v>12</v>
      </c>
      <c r="O9" s="27">
        <f t="shared" si="11"/>
        <v>0</v>
      </c>
      <c r="P9" s="27">
        <f t="shared" si="11"/>
        <v>209</v>
      </c>
      <c r="Q9" s="27">
        <f t="shared" si="11"/>
        <v>5</v>
      </c>
      <c r="R9" s="27">
        <f t="shared" si="5"/>
        <v>247</v>
      </c>
      <c r="S9" s="43"/>
      <c r="T9" s="26" t="s">
        <v>33</v>
      </c>
      <c r="U9" s="27">
        <f t="shared" ref="U9:Z9" si="12">L9*C111</f>
        <v>3.2302311</v>
      </c>
      <c r="V9" s="27">
        <f t="shared" si="12"/>
        <v>12.86947133</v>
      </c>
      <c r="W9" s="27">
        <f t="shared" si="12"/>
        <v>11.53283208</v>
      </c>
      <c r="X9" s="27">
        <f t="shared" si="12"/>
        <v>0</v>
      </c>
      <c r="Y9" s="27">
        <f t="shared" si="12"/>
        <v>0.372673133</v>
      </c>
      <c r="Z9" s="27">
        <f t="shared" si="12"/>
        <v>1.448995548</v>
      </c>
      <c r="AA9" s="27">
        <f t="shared" si="7"/>
        <v>29.45420319</v>
      </c>
      <c r="AC9" s="54" t="s">
        <v>33</v>
      </c>
      <c r="AD9" s="52">
        <f>X12-$AA9</f>
        <v>31.8323723</v>
      </c>
      <c r="AE9" s="29">
        <f t="shared" si="8"/>
        <v>31</v>
      </c>
    </row>
    <row r="10">
      <c r="A10" s="50"/>
      <c r="B10" s="26" t="s">
        <v>8</v>
      </c>
      <c r="C10" s="27">
        <v>4058.0</v>
      </c>
      <c r="D10" s="27">
        <v>6369.0</v>
      </c>
      <c r="E10" s="27">
        <v>6570.0</v>
      </c>
      <c r="F10" s="51">
        <v>2077.0</v>
      </c>
      <c r="G10" s="31"/>
      <c r="H10" s="31"/>
      <c r="I10" s="27">
        <f t="shared" si="3"/>
        <v>19074</v>
      </c>
      <c r="J10" s="43"/>
      <c r="K10" s="26" t="s">
        <v>8</v>
      </c>
      <c r="L10" s="27">
        <f t="shared" ref="L10:Q10" si="13">INT(C10/52)</f>
        <v>78</v>
      </c>
      <c r="M10" s="27">
        <f t="shared" si="13"/>
        <v>122</v>
      </c>
      <c r="N10" s="27">
        <f t="shared" si="13"/>
        <v>126</v>
      </c>
      <c r="O10" s="27">
        <f t="shared" si="13"/>
        <v>39</v>
      </c>
      <c r="P10" s="27">
        <f t="shared" si="13"/>
        <v>0</v>
      </c>
      <c r="Q10" s="27">
        <f t="shared" si="13"/>
        <v>0</v>
      </c>
      <c r="R10" s="27">
        <f t="shared" si="5"/>
        <v>365</v>
      </c>
      <c r="S10" s="43"/>
      <c r="T10" s="26" t="s">
        <v>8</v>
      </c>
      <c r="U10" s="27">
        <f t="shared" ref="U10:Z10" si="14">L10*C112</f>
        <v>9.923440181</v>
      </c>
      <c r="V10" s="27">
        <f t="shared" si="14"/>
        <v>39.64403161</v>
      </c>
      <c r="W10" s="27">
        <f t="shared" si="14"/>
        <v>40.22028139</v>
      </c>
      <c r="X10" s="27">
        <f t="shared" si="14"/>
        <v>29.40662509</v>
      </c>
      <c r="Y10" s="27">
        <f t="shared" si="14"/>
        <v>0</v>
      </c>
      <c r="Z10" s="27">
        <f t="shared" si="14"/>
        <v>0</v>
      </c>
      <c r="AA10" s="27">
        <f t="shared" si="7"/>
        <v>119.1943783</v>
      </c>
      <c r="AC10" s="54" t="s">
        <v>8</v>
      </c>
      <c r="AD10" s="52">
        <f>Y12-$AA10</f>
        <v>-2.386776737</v>
      </c>
      <c r="AE10" s="29">
        <f t="shared" si="8"/>
        <v>2</v>
      </c>
    </row>
    <row r="11">
      <c r="A11" s="50"/>
      <c r="B11" s="26" t="s">
        <v>31</v>
      </c>
      <c r="C11" s="27">
        <v>1452.0</v>
      </c>
      <c r="D11" s="27">
        <v>11836.0</v>
      </c>
      <c r="E11" s="27">
        <v>13601.0</v>
      </c>
      <c r="F11" s="53">
        <v>4203.0</v>
      </c>
      <c r="G11" s="31"/>
      <c r="H11" s="31"/>
      <c r="I11" s="27">
        <f t="shared" si="3"/>
        <v>31092</v>
      </c>
      <c r="J11" s="43"/>
      <c r="K11" s="26" t="s">
        <v>31</v>
      </c>
      <c r="L11" s="27">
        <f t="shared" ref="L11:Q11" si="15">INT(C11/52)</f>
        <v>27</v>
      </c>
      <c r="M11" s="27">
        <f t="shared" si="15"/>
        <v>227</v>
      </c>
      <c r="N11" s="27">
        <f t="shared" si="15"/>
        <v>261</v>
      </c>
      <c r="O11" s="27">
        <f t="shared" si="15"/>
        <v>80</v>
      </c>
      <c r="P11" s="27">
        <f t="shared" si="15"/>
        <v>0</v>
      </c>
      <c r="Q11" s="27">
        <f t="shared" si="15"/>
        <v>0</v>
      </c>
      <c r="R11" s="27">
        <f t="shared" si="5"/>
        <v>595</v>
      </c>
      <c r="S11" s="43"/>
      <c r="T11" s="26" t="s">
        <v>31</v>
      </c>
      <c r="U11" s="27">
        <f t="shared" ref="U11:Z11" si="16">L11*C113</f>
        <v>5.115118678</v>
      </c>
      <c r="V11" s="27">
        <f t="shared" si="16"/>
        <v>107.8814167</v>
      </c>
      <c r="W11" s="27">
        <f t="shared" si="16"/>
        <v>93.33453028</v>
      </c>
      <c r="X11" s="27">
        <f t="shared" si="16"/>
        <v>28.31816716</v>
      </c>
      <c r="Y11" s="27">
        <f t="shared" si="16"/>
        <v>0</v>
      </c>
      <c r="Z11" s="27">
        <f t="shared" si="16"/>
        <v>0</v>
      </c>
      <c r="AA11" s="27">
        <f t="shared" si="7"/>
        <v>234.6492329</v>
      </c>
      <c r="AC11" s="54" t="s">
        <v>31</v>
      </c>
      <c r="AD11" s="52">
        <f>Z12-$AA11</f>
        <v>-210.1357446</v>
      </c>
      <c r="AE11" s="29">
        <f t="shared" si="8"/>
        <v>210</v>
      </c>
    </row>
    <row r="12">
      <c r="A12" s="50"/>
      <c r="B12" s="32" t="s">
        <v>48</v>
      </c>
      <c r="C12" s="33">
        <f t="shared" ref="C12:I12" si="17">SUM(C6:C11)</f>
        <v>10882</v>
      </c>
      <c r="D12" s="33">
        <f t="shared" si="17"/>
        <v>22212</v>
      </c>
      <c r="E12" s="33">
        <f t="shared" si="17"/>
        <v>21436</v>
      </c>
      <c r="F12" s="33">
        <f t="shared" si="17"/>
        <v>10067</v>
      </c>
      <c r="G12" s="33">
        <f t="shared" si="17"/>
        <v>31074</v>
      </c>
      <c r="H12" s="33">
        <f t="shared" si="17"/>
        <v>5646</v>
      </c>
      <c r="I12" s="33">
        <f t="shared" si="17"/>
        <v>101317</v>
      </c>
      <c r="J12" s="43"/>
      <c r="K12" s="32" t="s">
        <v>48</v>
      </c>
      <c r="L12" s="33">
        <f t="shared" ref="L12:R12" si="18">SUM(L6:L11)</f>
        <v>207</v>
      </c>
      <c r="M12" s="33">
        <f t="shared" si="18"/>
        <v>424</v>
      </c>
      <c r="N12" s="33">
        <f t="shared" si="18"/>
        <v>410</v>
      </c>
      <c r="O12" s="33">
        <f t="shared" si="18"/>
        <v>191</v>
      </c>
      <c r="P12" s="33">
        <f t="shared" si="18"/>
        <v>595</v>
      </c>
      <c r="Q12" s="33">
        <f t="shared" si="18"/>
        <v>106</v>
      </c>
      <c r="R12" s="33">
        <f t="shared" si="18"/>
        <v>1933</v>
      </c>
      <c r="S12" s="43"/>
      <c r="T12" s="32" t="s">
        <v>48</v>
      </c>
      <c r="U12" s="33">
        <f t="shared" ref="U12:AA12" si="19">SUM(U6:U11)</f>
        <v>94.78026868</v>
      </c>
      <c r="V12" s="33">
        <f t="shared" si="19"/>
        <v>175.8795786</v>
      </c>
      <c r="W12" s="33">
        <f t="shared" si="19"/>
        <v>145.9502865</v>
      </c>
      <c r="X12" s="33">
        <f t="shared" si="19"/>
        <v>61.28657549</v>
      </c>
      <c r="Y12" s="33">
        <f t="shared" si="19"/>
        <v>116.8076015</v>
      </c>
      <c r="Z12" s="33">
        <f t="shared" si="19"/>
        <v>24.51348823</v>
      </c>
      <c r="AA12" s="33">
        <f t="shared" si="19"/>
        <v>619.2177991</v>
      </c>
      <c r="AC12" s="32" t="s">
        <v>49</v>
      </c>
      <c r="AD12" s="33">
        <f>SUM(AD6:AD11)</f>
        <v>0</v>
      </c>
    </row>
    <row r="13">
      <c r="J13" s="43"/>
      <c r="S13" s="43"/>
    </row>
    <row r="14">
      <c r="A14" s="48"/>
      <c r="B14" s="19" t="s">
        <v>50</v>
      </c>
      <c r="C14" s="20"/>
      <c r="D14" s="20"/>
      <c r="E14" s="20"/>
      <c r="F14" s="20"/>
      <c r="G14" s="20"/>
      <c r="H14" s="20"/>
      <c r="I14" s="21"/>
      <c r="J14" s="43"/>
      <c r="K14" s="19" t="s">
        <v>50</v>
      </c>
      <c r="L14" s="20"/>
      <c r="M14" s="20"/>
      <c r="N14" s="20"/>
      <c r="O14" s="20"/>
      <c r="P14" s="20"/>
      <c r="Q14" s="20"/>
      <c r="R14" s="21"/>
      <c r="S14" s="43"/>
      <c r="T14" s="19" t="s">
        <v>50</v>
      </c>
      <c r="U14" s="20"/>
      <c r="V14" s="20"/>
      <c r="W14" s="20"/>
      <c r="X14" s="20"/>
      <c r="Y14" s="20"/>
      <c r="Z14" s="20"/>
      <c r="AA14" s="21"/>
      <c r="AC14" s="19" t="s">
        <v>51</v>
      </c>
      <c r="AD14" s="21"/>
    </row>
    <row r="15">
      <c r="A15" s="48"/>
      <c r="B15" s="4" t="s">
        <v>42</v>
      </c>
      <c r="C15" s="4" t="s">
        <v>25</v>
      </c>
      <c r="D15" s="4" t="s">
        <v>28</v>
      </c>
      <c r="E15" s="4" t="s">
        <v>9</v>
      </c>
      <c r="F15" s="49" t="s">
        <v>33</v>
      </c>
      <c r="G15" s="4" t="s">
        <v>8</v>
      </c>
      <c r="H15" s="4" t="s">
        <v>31</v>
      </c>
      <c r="I15" s="4" t="s">
        <v>43</v>
      </c>
      <c r="J15" s="43"/>
      <c r="K15" s="4" t="s">
        <v>42</v>
      </c>
      <c r="L15" s="4" t="s">
        <v>25</v>
      </c>
      <c r="M15" s="4" t="s">
        <v>28</v>
      </c>
      <c r="N15" s="4" t="s">
        <v>9</v>
      </c>
      <c r="O15" s="49" t="s">
        <v>33</v>
      </c>
      <c r="P15" s="4" t="s">
        <v>8</v>
      </c>
      <c r="Q15" s="4" t="s">
        <v>31</v>
      </c>
      <c r="R15" s="4" t="s">
        <v>43</v>
      </c>
      <c r="S15" s="43"/>
      <c r="T15" s="4" t="s">
        <v>42</v>
      </c>
      <c r="U15" s="4" t="s">
        <v>25</v>
      </c>
      <c r="V15" s="4" t="s">
        <v>28</v>
      </c>
      <c r="W15" s="4" t="s">
        <v>9</v>
      </c>
      <c r="X15" s="49" t="s">
        <v>33</v>
      </c>
      <c r="Y15" s="4" t="s">
        <v>8</v>
      </c>
      <c r="Z15" s="4" t="s">
        <v>31</v>
      </c>
      <c r="AA15" s="4" t="s">
        <v>43</v>
      </c>
      <c r="AC15" s="4" t="s">
        <v>44</v>
      </c>
      <c r="AD15" s="4" t="s">
        <v>47</v>
      </c>
    </row>
    <row r="16">
      <c r="A16" s="50"/>
      <c r="B16" s="26" t="s">
        <v>25</v>
      </c>
      <c r="C16" s="34"/>
      <c r="D16" s="27"/>
      <c r="E16" s="27">
        <v>1.0</v>
      </c>
      <c r="F16" s="27">
        <v>2.0</v>
      </c>
      <c r="G16" s="27"/>
      <c r="H16" s="27"/>
      <c r="I16" s="27">
        <f t="shared" ref="I16:I21" si="22">SUM(C16:H16)</f>
        <v>3</v>
      </c>
      <c r="J16" s="43"/>
      <c r="K16" s="26" t="s">
        <v>25</v>
      </c>
      <c r="L16" s="27">
        <f t="shared" ref="L16:Q16" si="20">C16/52</f>
        <v>0</v>
      </c>
      <c r="M16" s="27">
        <f t="shared" si="20"/>
        <v>0</v>
      </c>
      <c r="N16" s="27">
        <f t="shared" si="20"/>
        <v>0.01923076923</v>
      </c>
      <c r="O16" s="27">
        <f t="shared" si="20"/>
        <v>0.03846153846</v>
      </c>
      <c r="P16" s="27">
        <f t="shared" si="20"/>
        <v>0</v>
      </c>
      <c r="Q16" s="27">
        <f t="shared" si="20"/>
        <v>0</v>
      </c>
      <c r="R16" s="27">
        <f t="shared" ref="R16:R21" si="24">SUM(L16:Q16)</f>
        <v>0.05769230769</v>
      </c>
      <c r="S16" s="43"/>
      <c r="T16" s="26" t="s">
        <v>25</v>
      </c>
      <c r="U16" s="27">
        <f t="shared" ref="U16:Z16" si="21">L16*C108</f>
        <v>0</v>
      </c>
      <c r="V16" s="27">
        <f t="shared" si="21"/>
        <v>0</v>
      </c>
      <c r="W16" s="27">
        <f t="shared" si="21"/>
        <v>0.002624843642</v>
      </c>
      <c r="X16" s="27">
        <f t="shared" si="21"/>
        <v>0.01785220241</v>
      </c>
      <c r="Y16" s="27">
        <f t="shared" si="21"/>
        <v>0</v>
      </c>
      <c r="Z16" s="27">
        <f t="shared" si="21"/>
        <v>0</v>
      </c>
      <c r="AA16" s="27">
        <f t="shared" ref="AA16:AA21" si="26">SUM(U16:Z16)</f>
        <v>0.02047704605</v>
      </c>
      <c r="AC16" s="26" t="s">
        <v>25</v>
      </c>
      <c r="AD16" s="27">
        <f>U22-$AA16</f>
        <v>-0.02047704605</v>
      </c>
    </row>
    <row r="17">
      <c r="A17" s="50"/>
      <c r="B17" s="26" t="s">
        <v>28</v>
      </c>
      <c r="C17" s="34"/>
      <c r="D17" s="27"/>
      <c r="E17" s="27"/>
      <c r="F17" s="27"/>
      <c r="G17" s="27"/>
      <c r="H17" s="27"/>
      <c r="I17" s="27">
        <f t="shared" si="22"/>
        <v>0</v>
      </c>
      <c r="J17" s="43"/>
      <c r="K17" s="26" t="s">
        <v>28</v>
      </c>
      <c r="L17" s="27">
        <f t="shared" ref="L17:Q17" si="23">C17/52</f>
        <v>0</v>
      </c>
      <c r="M17" s="27">
        <f t="shared" si="23"/>
        <v>0</v>
      </c>
      <c r="N17" s="27">
        <f t="shared" si="23"/>
        <v>0</v>
      </c>
      <c r="O17" s="27">
        <f t="shared" si="23"/>
        <v>0</v>
      </c>
      <c r="P17" s="27">
        <f t="shared" si="23"/>
        <v>0</v>
      </c>
      <c r="Q17" s="27">
        <f t="shared" si="23"/>
        <v>0</v>
      </c>
      <c r="R17" s="27">
        <f t="shared" si="24"/>
        <v>0</v>
      </c>
      <c r="S17" s="43"/>
      <c r="T17" s="26" t="s">
        <v>28</v>
      </c>
      <c r="U17" s="27">
        <f t="shared" ref="U17:Z17" si="25">L17*C109</f>
        <v>0</v>
      </c>
      <c r="V17" s="27">
        <f t="shared" si="25"/>
        <v>0</v>
      </c>
      <c r="W17" s="27">
        <f t="shared" si="25"/>
        <v>0</v>
      </c>
      <c r="X17" s="27">
        <f t="shared" si="25"/>
        <v>0</v>
      </c>
      <c r="Y17" s="27">
        <f t="shared" si="25"/>
        <v>0</v>
      </c>
      <c r="Z17" s="27">
        <f t="shared" si="25"/>
        <v>0</v>
      </c>
      <c r="AA17" s="27">
        <f t="shared" si="26"/>
        <v>0</v>
      </c>
      <c r="AC17" s="26" t="s">
        <v>28</v>
      </c>
      <c r="AD17" s="27">
        <f>V22-$AA17</f>
        <v>0.2728263552</v>
      </c>
    </row>
    <row r="18">
      <c r="A18" s="50"/>
      <c r="B18" s="26" t="s">
        <v>9</v>
      </c>
      <c r="C18" s="34"/>
      <c r="D18" s="27">
        <v>3.0</v>
      </c>
      <c r="E18" s="27"/>
      <c r="F18" s="27"/>
      <c r="G18" s="27">
        <v>1.0</v>
      </c>
      <c r="H18" s="27">
        <v>4.0</v>
      </c>
      <c r="I18" s="27">
        <f t="shared" si="22"/>
        <v>8</v>
      </c>
      <c r="J18" s="43"/>
      <c r="K18" s="26" t="s">
        <v>9</v>
      </c>
      <c r="L18" s="27">
        <f t="shared" ref="L18:Q18" si="27">C18/52</f>
        <v>0</v>
      </c>
      <c r="M18" s="27">
        <f t="shared" si="27"/>
        <v>0.05769230769</v>
      </c>
      <c r="N18" s="27">
        <f t="shared" si="27"/>
        <v>0</v>
      </c>
      <c r="O18" s="27">
        <f t="shared" si="27"/>
        <v>0</v>
      </c>
      <c r="P18" s="27">
        <f t="shared" si="27"/>
        <v>0.01923076923</v>
      </c>
      <c r="Q18" s="27">
        <f t="shared" si="27"/>
        <v>0.07692307692</v>
      </c>
      <c r="R18" s="27">
        <f t="shared" si="24"/>
        <v>0.1538461538</v>
      </c>
      <c r="S18" s="43"/>
      <c r="T18" s="26" t="s">
        <v>9</v>
      </c>
      <c r="U18" s="27">
        <f t="shared" ref="U18:Z18" si="28">L18*C110</f>
        <v>0</v>
      </c>
      <c r="V18" s="27">
        <f t="shared" si="28"/>
        <v>0.03190520385</v>
      </c>
      <c r="W18" s="27">
        <f t="shared" si="28"/>
        <v>0</v>
      </c>
      <c r="X18" s="27">
        <f t="shared" si="28"/>
        <v>0</v>
      </c>
      <c r="Y18" s="27">
        <f t="shared" si="28"/>
        <v>0.001411657189</v>
      </c>
      <c r="Z18" s="27">
        <f t="shared" si="28"/>
        <v>0.0287564027</v>
      </c>
      <c r="AA18" s="27">
        <f t="shared" si="26"/>
        <v>0.06207326374</v>
      </c>
      <c r="AC18" s="54" t="s">
        <v>9</v>
      </c>
      <c r="AD18" s="27">
        <f>W22-$AA18</f>
        <v>0.1376267352</v>
      </c>
    </row>
    <row r="19">
      <c r="A19" s="50"/>
      <c r="B19" s="26" t="s">
        <v>10</v>
      </c>
      <c r="C19" s="8"/>
      <c r="D19" s="55">
        <v>4.0</v>
      </c>
      <c r="E19" s="55">
        <v>2.0</v>
      </c>
      <c r="F19" s="31"/>
      <c r="G19" s="51">
        <v>2.0</v>
      </c>
      <c r="H19" s="55">
        <v>2.0</v>
      </c>
      <c r="I19" s="27">
        <f t="shared" si="22"/>
        <v>10</v>
      </c>
      <c r="J19" s="43"/>
      <c r="K19" s="26" t="s">
        <v>33</v>
      </c>
      <c r="L19" s="27">
        <f t="shared" ref="L19:Q19" si="29">C19/52</f>
        <v>0</v>
      </c>
      <c r="M19" s="27">
        <f t="shared" si="29"/>
        <v>0.07692307692</v>
      </c>
      <c r="N19" s="27">
        <f t="shared" si="29"/>
        <v>0.03846153846</v>
      </c>
      <c r="O19" s="27">
        <f t="shared" si="29"/>
        <v>0</v>
      </c>
      <c r="P19" s="27">
        <f t="shared" si="29"/>
        <v>0.03846153846</v>
      </c>
      <c r="Q19" s="27">
        <f t="shared" si="29"/>
        <v>0.03846153846</v>
      </c>
      <c r="R19" s="27">
        <f t="shared" si="24"/>
        <v>0.1923076923</v>
      </c>
      <c r="S19" s="43"/>
      <c r="T19" s="26" t="s">
        <v>33</v>
      </c>
      <c r="U19" s="27">
        <f t="shared" ref="U19:Z19" si="30">L19*C111</f>
        <v>0</v>
      </c>
      <c r="V19" s="27">
        <f t="shared" si="30"/>
        <v>0.07071138095</v>
      </c>
      <c r="W19" s="27">
        <f t="shared" si="30"/>
        <v>0.03696420538</v>
      </c>
      <c r="X19" s="27">
        <f t="shared" si="30"/>
        <v>0</v>
      </c>
      <c r="Y19" s="27">
        <f t="shared" si="30"/>
        <v>0.00006858173225</v>
      </c>
      <c r="Z19" s="27">
        <f t="shared" si="30"/>
        <v>0.0111461196</v>
      </c>
      <c r="AA19" s="27">
        <f t="shared" si="26"/>
        <v>0.1188902877</v>
      </c>
      <c r="AC19" s="54" t="s">
        <v>33</v>
      </c>
      <c r="AD19" s="27">
        <f>X22-$AA19</f>
        <v>-0.07203746879</v>
      </c>
    </row>
    <row r="20">
      <c r="A20" s="50"/>
      <c r="B20" s="26" t="s">
        <v>8</v>
      </c>
      <c r="C20" s="34"/>
      <c r="D20" s="27">
        <v>17.0</v>
      </c>
      <c r="E20" s="27">
        <v>16.0</v>
      </c>
      <c r="F20" s="56">
        <v>2.0</v>
      </c>
      <c r="G20" s="56"/>
      <c r="H20" s="56"/>
      <c r="I20" s="27">
        <f t="shared" si="22"/>
        <v>35</v>
      </c>
      <c r="J20" s="43"/>
      <c r="K20" s="26" t="s">
        <v>8</v>
      </c>
      <c r="L20" s="27">
        <f t="shared" ref="L20:Q20" si="31">C20/52</f>
        <v>0</v>
      </c>
      <c r="M20" s="27">
        <f t="shared" si="31"/>
        <v>0.3269230769</v>
      </c>
      <c r="N20" s="27">
        <f t="shared" si="31"/>
        <v>0.3076923077</v>
      </c>
      <c r="O20" s="27">
        <f t="shared" si="31"/>
        <v>0.03846153846</v>
      </c>
      <c r="P20" s="27">
        <f t="shared" si="31"/>
        <v>0</v>
      </c>
      <c r="Q20" s="27">
        <f t="shared" si="31"/>
        <v>0</v>
      </c>
      <c r="R20" s="27">
        <f t="shared" si="24"/>
        <v>0.6730769231</v>
      </c>
      <c r="S20" s="43"/>
      <c r="T20" s="26" t="s">
        <v>8</v>
      </c>
      <c r="U20" s="27">
        <f t="shared" ref="U20:Z20" si="32">L20*C112</f>
        <v>0</v>
      </c>
      <c r="V20" s="27">
        <f t="shared" si="32"/>
        <v>0.1062340065</v>
      </c>
      <c r="W20" s="27">
        <f t="shared" si="32"/>
        <v>0.09821802538</v>
      </c>
      <c r="X20" s="27">
        <f t="shared" si="32"/>
        <v>0.02900061646</v>
      </c>
      <c r="Y20" s="27">
        <f t="shared" si="32"/>
        <v>0</v>
      </c>
      <c r="Z20" s="27">
        <f t="shared" si="32"/>
        <v>0</v>
      </c>
      <c r="AA20" s="27">
        <f t="shared" si="26"/>
        <v>0.2334526484</v>
      </c>
      <c r="AC20" s="54" t="s">
        <v>8</v>
      </c>
      <c r="AD20" s="27">
        <f>Y22-$AA20</f>
        <v>-0.2319724094</v>
      </c>
    </row>
    <row r="21" ht="15.75" customHeight="1">
      <c r="A21" s="50"/>
      <c r="B21" s="26" t="s">
        <v>31</v>
      </c>
      <c r="C21" s="34"/>
      <c r="D21" s="27">
        <v>7.0</v>
      </c>
      <c r="E21" s="27">
        <v>9.0</v>
      </c>
      <c r="F21" s="56"/>
      <c r="G21" s="56"/>
      <c r="H21" s="56"/>
      <c r="I21" s="27">
        <f t="shared" si="22"/>
        <v>16</v>
      </c>
      <c r="J21" s="43"/>
      <c r="K21" s="26" t="s">
        <v>31</v>
      </c>
      <c r="L21" s="27">
        <f t="shared" ref="L21:Q21" si="33">C21/52</f>
        <v>0</v>
      </c>
      <c r="M21" s="27">
        <f t="shared" si="33"/>
        <v>0.1346153846</v>
      </c>
      <c r="N21" s="27">
        <f t="shared" si="33"/>
        <v>0.1730769231</v>
      </c>
      <c r="O21" s="27">
        <f t="shared" si="33"/>
        <v>0</v>
      </c>
      <c r="P21" s="27">
        <f t="shared" si="33"/>
        <v>0</v>
      </c>
      <c r="Q21" s="27">
        <f t="shared" si="33"/>
        <v>0</v>
      </c>
      <c r="R21" s="27">
        <f t="shared" si="24"/>
        <v>0.3076923077</v>
      </c>
      <c r="S21" s="43"/>
      <c r="T21" s="26" t="s">
        <v>31</v>
      </c>
      <c r="U21" s="27">
        <f t="shared" ref="U21:Z21" si="34">L21*C113</f>
        <v>0</v>
      </c>
      <c r="V21" s="27">
        <f t="shared" si="34"/>
        <v>0.06397576391</v>
      </c>
      <c r="W21" s="27">
        <f t="shared" si="34"/>
        <v>0.06189292459</v>
      </c>
      <c r="X21" s="27">
        <f t="shared" si="34"/>
        <v>0</v>
      </c>
      <c r="Y21" s="27">
        <f t="shared" si="34"/>
        <v>0</v>
      </c>
      <c r="Z21" s="27">
        <f t="shared" si="34"/>
        <v>0</v>
      </c>
      <c r="AA21" s="27">
        <f t="shared" si="26"/>
        <v>0.1258686885</v>
      </c>
      <c r="AC21" s="54" t="s">
        <v>31</v>
      </c>
      <c r="AD21" s="27">
        <f>Z22-$AA21</f>
        <v>-0.0859661662</v>
      </c>
    </row>
    <row r="22" ht="15.75" customHeight="1">
      <c r="A22" s="50"/>
      <c r="B22" s="32" t="s">
        <v>48</v>
      </c>
      <c r="C22" s="35">
        <f t="shared" ref="C22:I22" si="35">SUM(C16:C21)</f>
        <v>0</v>
      </c>
      <c r="D22" s="35">
        <f t="shared" si="35"/>
        <v>31</v>
      </c>
      <c r="E22" s="35">
        <f t="shared" si="35"/>
        <v>28</v>
      </c>
      <c r="F22" s="35">
        <f t="shared" si="35"/>
        <v>4</v>
      </c>
      <c r="G22" s="35">
        <f t="shared" si="35"/>
        <v>3</v>
      </c>
      <c r="H22" s="35">
        <f t="shared" si="35"/>
        <v>6</v>
      </c>
      <c r="I22" s="33">
        <f t="shared" si="35"/>
        <v>72</v>
      </c>
      <c r="J22" s="43"/>
      <c r="K22" s="32" t="s">
        <v>48</v>
      </c>
      <c r="L22" s="35">
        <f t="shared" ref="L22:R22" si="36">SUM(L16:L21)</f>
        <v>0</v>
      </c>
      <c r="M22" s="35">
        <f t="shared" si="36"/>
        <v>0.5961538462</v>
      </c>
      <c r="N22" s="35">
        <f t="shared" si="36"/>
        <v>0.5384615385</v>
      </c>
      <c r="O22" s="35">
        <f t="shared" si="36"/>
        <v>0.07692307692</v>
      </c>
      <c r="P22" s="35">
        <f t="shared" si="36"/>
        <v>0.05769230769</v>
      </c>
      <c r="Q22" s="35">
        <f t="shared" si="36"/>
        <v>0.1153846154</v>
      </c>
      <c r="R22" s="35">
        <f t="shared" si="36"/>
        <v>1.384615385</v>
      </c>
      <c r="S22" s="43"/>
      <c r="T22" s="32" t="s">
        <v>48</v>
      </c>
      <c r="U22" s="35">
        <f t="shared" ref="U22:AA22" si="37">SUM(U16:U21)</f>
        <v>0</v>
      </c>
      <c r="V22" s="35">
        <f t="shared" si="37"/>
        <v>0.2728263552</v>
      </c>
      <c r="W22" s="35">
        <f t="shared" si="37"/>
        <v>0.199699999</v>
      </c>
      <c r="X22" s="35">
        <f t="shared" si="37"/>
        <v>0.04685281887</v>
      </c>
      <c r="Y22" s="35">
        <f t="shared" si="37"/>
        <v>0.001480238922</v>
      </c>
      <c r="Z22" s="35">
        <f t="shared" si="37"/>
        <v>0.0399025223</v>
      </c>
      <c r="AA22" s="35">
        <f t="shared" si="37"/>
        <v>0.5607619343</v>
      </c>
      <c r="AC22" s="32" t="s">
        <v>49</v>
      </c>
      <c r="AD22" s="33">
        <f>SUM(AD16:AD21)</f>
        <v>0</v>
      </c>
    </row>
    <row r="23" ht="15.75" customHeight="1">
      <c r="J23" s="43"/>
      <c r="S23" s="43"/>
    </row>
    <row r="24" ht="15.75" customHeight="1">
      <c r="A24" s="48"/>
      <c r="B24" s="19" t="s">
        <v>52</v>
      </c>
      <c r="C24" s="20"/>
      <c r="D24" s="20"/>
      <c r="E24" s="20"/>
      <c r="F24" s="20"/>
      <c r="G24" s="20"/>
      <c r="H24" s="20"/>
      <c r="I24" s="21"/>
      <c r="J24" s="43"/>
      <c r="K24" s="19" t="s">
        <v>52</v>
      </c>
      <c r="L24" s="20"/>
      <c r="M24" s="20"/>
      <c r="N24" s="20"/>
      <c r="O24" s="20"/>
      <c r="P24" s="20"/>
      <c r="Q24" s="20"/>
      <c r="R24" s="21"/>
      <c r="S24" s="43"/>
      <c r="T24" s="19" t="s">
        <v>52</v>
      </c>
      <c r="U24" s="20"/>
      <c r="V24" s="20"/>
      <c r="W24" s="20"/>
      <c r="X24" s="20"/>
      <c r="Y24" s="20"/>
      <c r="Z24" s="20"/>
      <c r="AA24" s="21"/>
      <c r="AC24" s="19" t="s">
        <v>53</v>
      </c>
      <c r="AD24" s="21"/>
    </row>
    <row r="25" ht="15.75" customHeight="1">
      <c r="A25" s="48"/>
      <c r="B25" s="4" t="s">
        <v>42</v>
      </c>
      <c r="C25" s="4" t="s">
        <v>25</v>
      </c>
      <c r="D25" s="4" t="s">
        <v>28</v>
      </c>
      <c r="E25" s="4" t="s">
        <v>9</v>
      </c>
      <c r="F25" s="49" t="s">
        <v>33</v>
      </c>
      <c r="G25" s="4" t="s">
        <v>8</v>
      </c>
      <c r="H25" s="4" t="s">
        <v>31</v>
      </c>
      <c r="I25" s="4" t="s">
        <v>43</v>
      </c>
      <c r="J25" s="43"/>
      <c r="K25" s="4" t="s">
        <v>42</v>
      </c>
      <c r="L25" s="4" t="s">
        <v>25</v>
      </c>
      <c r="M25" s="4" t="s">
        <v>28</v>
      </c>
      <c r="N25" s="4" t="s">
        <v>9</v>
      </c>
      <c r="O25" s="49" t="s">
        <v>33</v>
      </c>
      <c r="P25" s="4" t="s">
        <v>8</v>
      </c>
      <c r="Q25" s="4" t="s">
        <v>31</v>
      </c>
      <c r="R25" s="4" t="s">
        <v>43</v>
      </c>
      <c r="S25" s="43"/>
      <c r="T25" s="4" t="s">
        <v>42</v>
      </c>
      <c r="U25" s="4" t="s">
        <v>25</v>
      </c>
      <c r="V25" s="4" t="s">
        <v>28</v>
      </c>
      <c r="W25" s="4" t="s">
        <v>9</v>
      </c>
      <c r="X25" s="49" t="s">
        <v>33</v>
      </c>
      <c r="Y25" s="4" t="s">
        <v>8</v>
      </c>
      <c r="Z25" s="4" t="s">
        <v>31</v>
      </c>
      <c r="AA25" s="4" t="s">
        <v>43</v>
      </c>
      <c r="AC25" s="4" t="s">
        <v>44</v>
      </c>
      <c r="AD25" s="4" t="s">
        <v>47</v>
      </c>
    </row>
    <row r="26" ht="15.75" customHeight="1">
      <c r="A26" s="50"/>
      <c r="B26" s="26" t="s">
        <v>25</v>
      </c>
      <c r="C26" s="27"/>
      <c r="D26" s="27">
        <v>6066.0</v>
      </c>
      <c r="E26" s="27">
        <v>8232.0</v>
      </c>
      <c r="F26" s="51">
        <v>3166.0</v>
      </c>
      <c r="G26" s="27">
        <v>54983.0</v>
      </c>
      <c r="H26" s="27">
        <v>5501.0</v>
      </c>
      <c r="I26" s="27">
        <f t="shared" ref="I26:I31" si="40">SUM(C26:H26)</f>
        <v>77948</v>
      </c>
      <c r="J26" s="43"/>
      <c r="K26" s="26" t="s">
        <v>25</v>
      </c>
      <c r="L26" s="27">
        <f t="shared" ref="L26:Q26" si="38">INT(C26/52)</f>
        <v>0</v>
      </c>
      <c r="M26" s="27">
        <f t="shared" si="38"/>
        <v>116</v>
      </c>
      <c r="N26" s="27">
        <f t="shared" si="38"/>
        <v>158</v>
      </c>
      <c r="O26" s="27">
        <f t="shared" si="38"/>
        <v>60</v>
      </c>
      <c r="P26" s="27">
        <f t="shared" si="38"/>
        <v>1057</v>
      </c>
      <c r="Q26" s="27">
        <f t="shared" si="38"/>
        <v>105</v>
      </c>
      <c r="R26" s="27">
        <f t="shared" ref="R26:R31" si="42">SUM(L26:Q26)</f>
        <v>1496</v>
      </c>
      <c r="S26" s="43"/>
      <c r="T26" s="26" t="s">
        <v>25</v>
      </c>
      <c r="U26" s="27">
        <f t="shared" ref="U26:Z26" si="39">L26*C108</f>
        <v>0</v>
      </c>
      <c r="V26" s="27">
        <f t="shared" si="39"/>
        <v>0</v>
      </c>
      <c r="W26" s="27">
        <f t="shared" si="39"/>
        <v>21.56571536</v>
      </c>
      <c r="X26" s="27">
        <f t="shared" si="39"/>
        <v>27.84943575</v>
      </c>
      <c r="Y26" s="27">
        <f t="shared" si="39"/>
        <v>973.7112308</v>
      </c>
      <c r="Z26" s="27">
        <f t="shared" si="39"/>
        <v>105</v>
      </c>
      <c r="AA26" s="27">
        <f t="shared" ref="AA26:AA31" si="44">SUM(U26:Z26)</f>
        <v>1128.126382</v>
      </c>
      <c r="AC26" s="26" t="s">
        <v>25</v>
      </c>
      <c r="AD26" s="27">
        <f>U32-$AA26</f>
        <v>-639.7140944</v>
      </c>
      <c r="AE26" s="29">
        <f t="shared" ref="AE26:AE31" si="45">INT(ABS(AD26))</f>
        <v>639</v>
      </c>
    </row>
    <row r="27" ht="15.75" customHeight="1">
      <c r="A27" s="50"/>
      <c r="B27" s="26" t="s">
        <v>28</v>
      </c>
      <c r="C27" s="27">
        <v>10303.0</v>
      </c>
      <c r="D27" s="27"/>
      <c r="E27" s="27">
        <v>2481.0</v>
      </c>
      <c r="F27" s="53">
        <v>101.0</v>
      </c>
      <c r="G27" s="27">
        <v>7856.0</v>
      </c>
      <c r="H27" s="27">
        <v>3188.0</v>
      </c>
      <c r="I27" s="27">
        <f t="shared" si="40"/>
        <v>23929</v>
      </c>
      <c r="J27" s="43"/>
      <c r="K27" s="26" t="s">
        <v>28</v>
      </c>
      <c r="L27" s="27">
        <f t="shared" ref="L27:Q27" si="41">INT(C27/52)</f>
        <v>198</v>
      </c>
      <c r="M27" s="27">
        <f t="shared" si="41"/>
        <v>0</v>
      </c>
      <c r="N27" s="27">
        <f t="shared" si="41"/>
        <v>47</v>
      </c>
      <c r="O27" s="27">
        <f t="shared" si="41"/>
        <v>1</v>
      </c>
      <c r="P27" s="27">
        <f t="shared" si="41"/>
        <v>151</v>
      </c>
      <c r="Q27" s="27">
        <f t="shared" si="41"/>
        <v>61</v>
      </c>
      <c r="R27" s="27">
        <f t="shared" si="42"/>
        <v>458</v>
      </c>
      <c r="S27" s="43"/>
      <c r="T27" s="26" t="s">
        <v>28</v>
      </c>
      <c r="U27" s="27">
        <f t="shared" ref="U27:Z27" si="43">L27*C109</f>
        <v>197.7657593</v>
      </c>
      <c r="V27" s="27">
        <f t="shared" si="43"/>
        <v>0</v>
      </c>
      <c r="W27" s="27">
        <f t="shared" si="43"/>
        <v>0.4107005286</v>
      </c>
      <c r="X27" s="27">
        <f t="shared" si="43"/>
        <v>0.06872253395</v>
      </c>
      <c r="Y27" s="27">
        <f t="shared" si="43"/>
        <v>51.98886298</v>
      </c>
      <c r="Z27" s="27">
        <f t="shared" si="43"/>
        <v>6.699696668</v>
      </c>
      <c r="AA27" s="27">
        <f t="shared" si="44"/>
        <v>256.933742</v>
      </c>
      <c r="AC27" s="26" t="s">
        <v>28</v>
      </c>
      <c r="AD27" s="27">
        <f>V32-$AA27</f>
        <v>95.45161299</v>
      </c>
      <c r="AE27" s="29">
        <f t="shared" si="45"/>
        <v>95</v>
      </c>
    </row>
    <row r="28" ht="15.75" customHeight="1">
      <c r="A28" s="50"/>
      <c r="B28" s="26" t="s">
        <v>9</v>
      </c>
      <c r="C28" s="27">
        <v>17515.0</v>
      </c>
      <c r="D28" s="27">
        <v>5046.0</v>
      </c>
      <c r="E28" s="27"/>
      <c r="F28" s="53">
        <v>652.0</v>
      </c>
      <c r="G28" s="27">
        <v>9764.0</v>
      </c>
      <c r="H28" s="27">
        <v>4287.0</v>
      </c>
      <c r="I28" s="27">
        <f t="shared" si="40"/>
        <v>37264</v>
      </c>
      <c r="J28" s="43"/>
      <c r="K28" s="26" t="s">
        <v>9</v>
      </c>
      <c r="L28" s="27">
        <f t="shared" ref="L28:Q28" si="46">INT(C28/52)</f>
        <v>336</v>
      </c>
      <c r="M28" s="27">
        <f t="shared" si="46"/>
        <v>97</v>
      </c>
      <c r="N28" s="27">
        <f t="shared" si="46"/>
        <v>0</v>
      </c>
      <c r="O28" s="27">
        <f t="shared" si="46"/>
        <v>12</v>
      </c>
      <c r="P28" s="27">
        <f t="shared" si="46"/>
        <v>187</v>
      </c>
      <c r="Q28" s="27">
        <f t="shared" si="46"/>
        <v>82</v>
      </c>
      <c r="R28" s="27">
        <f t="shared" si="42"/>
        <v>714</v>
      </c>
      <c r="S28" s="43"/>
      <c r="T28" s="26" t="s">
        <v>9</v>
      </c>
      <c r="U28" s="27">
        <f t="shared" ref="U28:Z28" si="47">L28*C110</f>
        <v>177.2850464</v>
      </c>
      <c r="V28" s="27">
        <f t="shared" si="47"/>
        <v>53.64328275</v>
      </c>
      <c r="W28" s="27">
        <f t="shared" si="47"/>
        <v>0</v>
      </c>
      <c r="X28" s="27">
        <f t="shared" si="47"/>
        <v>0.03333407555</v>
      </c>
      <c r="Y28" s="27">
        <f t="shared" si="47"/>
        <v>13.72695451</v>
      </c>
      <c r="Z28" s="27">
        <f t="shared" si="47"/>
        <v>30.65432528</v>
      </c>
      <c r="AA28" s="27">
        <f t="shared" si="44"/>
        <v>275.342943</v>
      </c>
      <c r="AC28" s="54" t="s">
        <v>9</v>
      </c>
      <c r="AD28" s="27">
        <f>W32-$AA28</f>
        <v>88.69387129</v>
      </c>
      <c r="AE28" s="29">
        <f t="shared" si="45"/>
        <v>88</v>
      </c>
    </row>
    <row r="29" ht="15.75" customHeight="1">
      <c r="A29" s="50"/>
      <c r="B29" s="26" t="s">
        <v>33</v>
      </c>
      <c r="C29" s="51">
        <v>3252.0</v>
      </c>
      <c r="D29" s="55">
        <v>2029.0</v>
      </c>
      <c r="E29" s="55">
        <v>1364.0</v>
      </c>
      <c r="F29" s="31"/>
      <c r="G29" s="51">
        <v>10648.0</v>
      </c>
      <c r="H29" s="55">
        <v>2531.0</v>
      </c>
      <c r="I29" s="27">
        <f t="shared" si="40"/>
        <v>19824</v>
      </c>
      <c r="J29" s="43"/>
      <c r="K29" s="26" t="s">
        <v>33</v>
      </c>
      <c r="L29" s="27">
        <f t="shared" ref="L29:Q29" si="48">INT(C29/52)</f>
        <v>62</v>
      </c>
      <c r="M29" s="27">
        <f t="shared" si="48"/>
        <v>39</v>
      </c>
      <c r="N29" s="27">
        <f t="shared" si="48"/>
        <v>26</v>
      </c>
      <c r="O29" s="27">
        <f t="shared" si="48"/>
        <v>0</v>
      </c>
      <c r="P29" s="27">
        <f t="shared" si="48"/>
        <v>204</v>
      </c>
      <c r="Q29" s="27">
        <f t="shared" si="48"/>
        <v>48</v>
      </c>
      <c r="R29" s="27">
        <f t="shared" si="42"/>
        <v>379</v>
      </c>
      <c r="S29" s="43"/>
      <c r="T29" s="26" t="s">
        <v>33</v>
      </c>
      <c r="U29" s="27">
        <f t="shared" ref="U29:Z29" si="49">L29*C111</f>
        <v>28.61061832</v>
      </c>
      <c r="V29" s="27">
        <f t="shared" si="49"/>
        <v>35.85067014</v>
      </c>
      <c r="W29" s="27">
        <f t="shared" si="49"/>
        <v>24.98780284</v>
      </c>
      <c r="X29" s="27">
        <f t="shared" si="49"/>
        <v>0</v>
      </c>
      <c r="Y29" s="27">
        <f t="shared" si="49"/>
        <v>0.3637575079</v>
      </c>
      <c r="Z29" s="27">
        <f t="shared" si="49"/>
        <v>13.91035727</v>
      </c>
      <c r="AA29" s="27">
        <f t="shared" si="44"/>
        <v>103.7232061</v>
      </c>
      <c r="AC29" s="54" t="s">
        <v>33</v>
      </c>
      <c r="AD29" s="27">
        <f>X32-$AA29</f>
        <v>3.848578767</v>
      </c>
      <c r="AE29" s="29">
        <f t="shared" si="45"/>
        <v>3</v>
      </c>
    </row>
    <row r="30" ht="15.75" customHeight="1">
      <c r="A30" s="50"/>
      <c r="B30" s="26" t="s">
        <v>8</v>
      </c>
      <c r="C30" s="27">
        <v>18041.0</v>
      </c>
      <c r="D30" s="27">
        <v>22859.0</v>
      </c>
      <c r="E30" s="27">
        <v>29225.0</v>
      </c>
      <c r="F30" s="51">
        <v>4383.0</v>
      </c>
      <c r="G30" s="31"/>
      <c r="H30" s="31"/>
      <c r="I30" s="27">
        <f t="shared" si="40"/>
        <v>74508</v>
      </c>
      <c r="J30" s="43"/>
      <c r="K30" s="26" t="s">
        <v>8</v>
      </c>
      <c r="L30" s="27">
        <f t="shared" ref="L30:Q30" si="50">INT(C30/52)</f>
        <v>346</v>
      </c>
      <c r="M30" s="27">
        <f t="shared" si="50"/>
        <v>439</v>
      </c>
      <c r="N30" s="27">
        <f t="shared" si="50"/>
        <v>562</v>
      </c>
      <c r="O30" s="27">
        <f t="shared" si="50"/>
        <v>84</v>
      </c>
      <c r="P30" s="27">
        <f t="shared" si="50"/>
        <v>0</v>
      </c>
      <c r="Q30" s="27">
        <f t="shared" si="50"/>
        <v>0</v>
      </c>
      <c r="R30" s="27">
        <f t="shared" si="42"/>
        <v>1431</v>
      </c>
      <c r="S30" s="43"/>
      <c r="T30" s="26" t="s">
        <v>8</v>
      </c>
      <c r="U30" s="27">
        <f t="shared" ref="U30:Z30" si="51">L30*C112</f>
        <v>44.01936285</v>
      </c>
      <c r="V30" s="27">
        <f t="shared" si="51"/>
        <v>142.6535236</v>
      </c>
      <c r="W30" s="27">
        <f t="shared" si="51"/>
        <v>179.3952234</v>
      </c>
      <c r="X30" s="27">
        <f t="shared" si="51"/>
        <v>63.33734635</v>
      </c>
      <c r="Y30" s="27">
        <f t="shared" si="51"/>
        <v>0</v>
      </c>
      <c r="Z30" s="27">
        <f t="shared" si="51"/>
        <v>0</v>
      </c>
      <c r="AA30" s="27">
        <f t="shared" si="44"/>
        <v>429.4054561</v>
      </c>
      <c r="AC30" s="54" t="s">
        <v>8</v>
      </c>
      <c r="AD30" s="27">
        <f>Y32-$AA30</f>
        <v>610.3853496</v>
      </c>
      <c r="AE30" s="29">
        <f t="shared" si="45"/>
        <v>610</v>
      </c>
    </row>
    <row r="31" ht="15.75" customHeight="1">
      <c r="A31" s="50"/>
      <c r="B31" s="26" t="s">
        <v>31</v>
      </c>
      <c r="C31" s="27">
        <v>11210.0</v>
      </c>
      <c r="D31" s="27">
        <v>13198.0</v>
      </c>
      <c r="E31" s="27">
        <v>20046.0</v>
      </c>
      <c r="F31" s="53">
        <v>2406.0</v>
      </c>
      <c r="G31" s="31"/>
      <c r="H31" s="31"/>
      <c r="I31" s="27">
        <f t="shared" si="40"/>
        <v>46860</v>
      </c>
      <c r="J31" s="43"/>
      <c r="K31" s="26" t="s">
        <v>31</v>
      </c>
      <c r="L31" s="27">
        <f t="shared" ref="L31:Q31" si="52">INT(C31/52)</f>
        <v>215</v>
      </c>
      <c r="M31" s="27">
        <f t="shared" si="52"/>
        <v>253</v>
      </c>
      <c r="N31" s="27">
        <f t="shared" si="52"/>
        <v>385</v>
      </c>
      <c r="O31" s="27">
        <f t="shared" si="52"/>
        <v>46</v>
      </c>
      <c r="P31" s="27">
        <f t="shared" si="52"/>
        <v>0</v>
      </c>
      <c r="Q31" s="27">
        <f t="shared" si="52"/>
        <v>0</v>
      </c>
      <c r="R31" s="27">
        <f t="shared" si="42"/>
        <v>899</v>
      </c>
      <c r="S31" s="43"/>
      <c r="T31" s="26" t="s">
        <v>31</v>
      </c>
      <c r="U31" s="27">
        <f t="shared" ref="U31:Z31" si="53">L31*C113</f>
        <v>40.73150059</v>
      </c>
      <c r="V31" s="27">
        <f t="shared" si="53"/>
        <v>120.2378786</v>
      </c>
      <c r="W31" s="27">
        <f t="shared" si="53"/>
        <v>137.6773723</v>
      </c>
      <c r="X31" s="27">
        <f t="shared" si="53"/>
        <v>16.28294612</v>
      </c>
      <c r="Y31" s="27">
        <f t="shared" si="53"/>
        <v>0</v>
      </c>
      <c r="Z31" s="27">
        <f t="shared" si="53"/>
        <v>0</v>
      </c>
      <c r="AA31" s="27">
        <f t="shared" si="44"/>
        <v>314.9296975</v>
      </c>
      <c r="AC31" s="54" t="s">
        <v>31</v>
      </c>
      <c r="AD31" s="27">
        <f>Z32-$AA31</f>
        <v>-158.6653183</v>
      </c>
      <c r="AE31" s="29">
        <f t="shared" si="45"/>
        <v>158</v>
      </c>
    </row>
    <row r="32" ht="15.75" customHeight="1">
      <c r="A32" s="50"/>
      <c r="B32" s="32" t="s">
        <v>48</v>
      </c>
      <c r="C32" s="33">
        <f t="shared" ref="C32:I32" si="54">SUM(C26:C31)</f>
        <v>60321</v>
      </c>
      <c r="D32" s="33">
        <f t="shared" si="54"/>
        <v>49198</v>
      </c>
      <c r="E32" s="33">
        <f t="shared" si="54"/>
        <v>61348</v>
      </c>
      <c r="F32" s="33">
        <f t="shared" si="54"/>
        <v>10708</v>
      </c>
      <c r="G32" s="33">
        <f t="shared" si="54"/>
        <v>83251</v>
      </c>
      <c r="H32" s="33">
        <f t="shared" si="54"/>
        <v>15507</v>
      </c>
      <c r="I32" s="33">
        <f t="shared" si="54"/>
        <v>280333</v>
      </c>
      <c r="J32" s="43"/>
      <c r="K32" s="32" t="s">
        <v>48</v>
      </c>
      <c r="L32" s="33">
        <f t="shared" ref="L32:R32" si="55">SUM(L26:L31)</f>
        <v>1157</v>
      </c>
      <c r="M32" s="33">
        <f t="shared" si="55"/>
        <v>944</v>
      </c>
      <c r="N32" s="33">
        <f t="shared" si="55"/>
        <v>1178</v>
      </c>
      <c r="O32" s="33">
        <f t="shared" si="55"/>
        <v>203</v>
      </c>
      <c r="P32" s="33">
        <f t="shared" si="55"/>
        <v>1599</v>
      </c>
      <c r="Q32" s="33">
        <f t="shared" si="55"/>
        <v>296</v>
      </c>
      <c r="R32" s="33">
        <f t="shared" si="55"/>
        <v>5377</v>
      </c>
      <c r="S32" s="43"/>
      <c r="T32" s="32" t="s">
        <v>48</v>
      </c>
      <c r="U32" s="33">
        <f t="shared" ref="U32:AA32" si="56">SUM(U26:U31)</f>
        <v>488.4122875</v>
      </c>
      <c r="V32" s="33">
        <f t="shared" si="56"/>
        <v>352.385355</v>
      </c>
      <c r="W32" s="33">
        <f t="shared" si="56"/>
        <v>364.0368143</v>
      </c>
      <c r="X32" s="33">
        <f t="shared" si="56"/>
        <v>107.5717848</v>
      </c>
      <c r="Y32" s="33">
        <f t="shared" si="56"/>
        <v>1039.790806</v>
      </c>
      <c r="Z32" s="33">
        <f t="shared" si="56"/>
        <v>156.2643792</v>
      </c>
      <c r="AA32" s="33">
        <f t="shared" si="56"/>
        <v>2508.461427</v>
      </c>
      <c r="AC32" s="32" t="s">
        <v>49</v>
      </c>
      <c r="AD32" s="33">
        <f>SUM(AD26:AD31)</f>
        <v>0</v>
      </c>
    </row>
    <row r="33" ht="15.75" customHeight="1">
      <c r="J33" s="43"/>
      <c r="S33" s="43"/>
    </row>
    <row r="34" ht="15.75" customHeight="1">
      <c r="A34" s="48"/>
      <c r="B34" s="19" t="s">
        <v>54</v>
      </c>
      <c r="C34" s="20"/>
      <c r="D34" s="20"/>
      <c r="E34" s="20"/>
      <c r="F34" s="20"/>
      <c r="G34" s="20"/>
      <c r="H34" s="20"/>
      <c r="I34" s="21"/>
      <c r="J34" s="43"/>
      <c r="K34" s="19" t="s">
        <v>54</v>
      </c>
      <c r="L34" s="20"/>
      <c r="M34" s="20"/>
      <c r="N34" s="20"/>
      <c r="O34" s="20"/>
      <c r="P34" s="20"/>
      <c r="Q34" s="20"/>
      <c r="R34" s="21"/>
      <c r="S34" s="43"/>
      <c r="T34" s="19" t="s">
        <v>54</v>
      </c>
      <c r="U34" s="20"/>
      <c r="V34" s="20"/>
      <c r="W34" s="20"/>
      <c r="X34" s="20"/>
      <c r="Y34" s="20"/>
      <c r="Z34" s="20"/>
      <c r="AA34" s="21"/>
      <c r="AC34" s="19" t="s">
        <v>55</v>
      </c>
      <c r="AD34" s="21"/>
    </row>
    <row r="35" ht="15.75" customHeight="1">
      <c r="A35" s="48"/>
      <c r="B35" s="4" t="s">
        <v>42</v>
      </c>
      <c r="C35" s="4" t="s">
        <v>25</v>
      </c>
      <c r="D35" s="4" t="s">
        <v>28</v>
      </c>
      <c r="E35" s="4" t="s">
        <v>9</v>
      </c>
      <c r="F35" s="49" t="s">
        <v>33</v>
      </c>
      <c r="G35" s="4" t="s">
        <v>8</v>
      </c>
      <c r="H35" s="4" t="s">
        <v>31</v>
      </c>
      <c r="I35" s="4" t="s">
        <v>43</v>
      </c>
      <c r="J35" s="43"/>
      <c r="K35" s="4" t="s">
        <v>42</v>
      </c>
      <c r="L35" s="4" t="s">
        <v>25</v>
      </c>
      <c r="M35" s="4" t="s">
        <v>28</v>
      </c>
      <c r="N35" s="4" t="s">
        <v>9</v>
      </c>
      <c r="O35" s="49" t="s">
        <v>33</v>
      </c>
      <c r="P35" s="4" t="s">
        <v>8</v>
      </c>
      <c r="Q35" s="4" t="s">
        <v>31</v>
      </c>
      <c r="R35" s="4" t="s">
        <v>43</v>
      </c>
      <c r="S35" s="43"/>
      <c r="T35" s="4" t="s">
        <v>42</v>
      </c>
      <c r="U35" s="4" t="s">
        <v>25</v>
      </c>
      <c r="V35" s="4" t="s">
        <v>28</v>
      </c>
      <c r="W35" s="4" t="s">
        <v>9</v>
      </c>
      <c r="X35" s="49" t="s">
        <v>33</v>
      </c>
      <c r="Y35" s="4" t="s">
        <v>8</v>
      </c>
      <c r="Z35" s="4" t="s">
        <v>31</v>
      </c>
      <c r="AA35" s="4" t="s">
        <v>43</v>
      </c>
      <c r="AC35" s="4" t="s">
        <v>44</v>
      </c>
      <c r="AD35" s="4" t="s">
        <v>47</v>
      </c>
    </row>
    <row r="36" ht="15.75" customHeight="1">
      <c r="A36" s="50"/>
      <c r="B36" s="26" t="s">
        <v>25</v>
      </c>
      <c r="C36" s="27"/>
      <c r="D36" s="27">
        <v>12.0</v>
      </c>
      <c r="E36" s="27">
        <v>6.0</v>
      </c>
      <c r="F36" s="51">
        <v>1.0</v>
      </c>
      <c r="G36" s="27">
        <v>58.0</v>
      </c>
      <c r="H36" s="27">
        <v>46.0</v>
      </c>
      <c r="I36" s="27">
        <f t="shared" ref="I36:I41" si="59">SUM(C36:H36)</f>
        <v>123</v>
      </c>
      <c r="J36" s="43"/>
      <c r="K36" s="26" t="s">
        <v>25</v>
      </c>
      <c r="L36" s="27">
        <f t="shared" ref="L36:Q36" si="57">INT(C36/52)</f>
        <v>0</v>
      </c>
      <c r="M36" s="27">
        <f t="shared" si="57"/>
        <v>0</v>
      </c>
      <c r="N36" s="27">
        <f t="shared" si="57"/>
        <v>0</v>
      </c>
      <c r="O36" s="27">
        <f t="shared" si="57"/>
        <v>0</v>
      </c>
      <c r="P36" s="27">
        <f t="shared" si="57"/>
        <v>1</v>
      </c>
      <c r="Q36" s="27">
        <f t="shared" si="57"/>
        <v>0</v>
      </c>
      <c r="R36" s="27">
        <f t="shared" ref="R36:R41" si="61">SUM(L36:Q36)</f>
        <v>1</v>
      </c>
      <c r="S36" s="43"/>
      <c r="T36" s="26" t="s">
        <v>25</v>
      </c>
      <c r="U36" s="27">
        <f t="shared" ref="U36:Z36" si="58">L36*C108</f>
        <v>0</v>
      </c>
      <c r="V36" s="27">
        <f t="shared" si="58"/>
        <v>0</v>
      </c>
      <c r="W36" s="27">
        <f t="shared" si="58"/>
        <v>0</v>
      </c>
      <c r="X36" s="27">
        <f t="shared" si="58"/>
        <v>0</v>
      </c>
      <c r="Y36" s="27">
        <f t="shared" si="58"/>
        <v>0.9212026781</v>
      </c>
      <c r="Z36" s="27">
        <f t="shared" si="58"/>
        <v>0</v>
      </c>
      <c r="AA36" s="27">
        <f t="shared" ref="AA36:AA41" si="63">SUM(U36:Z36)</f>
        <v>0.9212026781</v>
      </c>
      <c r="AC36" s="26" t="s">
        <v>25</v>
      </c>
      <c r="AD36" s="27">
        <f>U42-$AA36</f>
        <v>46.8935496</v>
      </c>
      <c r="AE36" s="29">
        <f t="shared" ref="AE36:AE41" si="64">INT(ABS(AD36))</f>
        <v>46</v>
      </c>
    </row>
    <row r="37" ht="15.75" customHeight="1">
      <c r="A37" s="50"/>
      <c r="B37" s="26" t="s">
        <v>28</v>
      </c>
      <c r="C37" s="27">
        <v>155.0</v>
      </c>
      <c r="D37" s="27"/>
      <c r="E37" s="27">
        <v>17.0</v>
      </c>
      <c r="F37" s="53">
        <v>2.0</v>
      </c>
      <c r="G37" s="27">
        <v>215.0</v>
      </c>
      <c r="H37" s="27">
        <v>78.0</v>
      </c>
      <c r="I37" s="27">
        <f t="shared" si="59"/>
        <v>467</v>
      </c>
      <c r="J37" s="43"/>
      <c r="K37" s="26" t="s">
        <v>28</v>
      </c>
      <c r="L37" s="27">
        <f t="shared" ref="L37:Q37" si="60">INT(C37/52)</f>
        <v>2</v>
      </c>
      <c r="M37" s="27">
        <f t="shared" si="60"/>
        <v>0</v>
      </c>
      <c r="N37" s="27">
        <f t="shared" si="60"/>
        <v>0</v>
      </c>
      <c r="O37" s="27">
        <f t="shared" si="60"/>
        <v>0</v>
      </c>
      <c r="P37" s="27">
        <f t="shared" si="60"/>
        <v>4</v>
      </c>
      <c r="Q37" s="27">
        <f t="shared" si="60"/>
        <v>1</v>
      </c>
      <c r="R37" s="27">
        <f t="shared" si="61"/>
        <v>7</v>
      </c>
      <c r="S37" s="43"/>
      <c r="T37" s="26" t="s">
        <v>28</v>
      </c>
      <c r="U37" s="27">
        <f t="shared" ref="U37:Z37" si="62">L37*C109</f>
        <v>1.997633933</v>
      </c>
      <c r="V37" s="27">
        <f t="shared" si="62"/>
        <v>0</v>
      </c>
      <c r="W37" s="27">
        <f t="shared" si="62"/>
        <v>0</v>
      </c>
      <c r="X37" s="27">
        <f t="shared" si="62"/>
        <v>0</v>
      </c>
      <c r="Y37" s="27">
        <f t="shared" si="62"/>
        <v>1.377188423</v>
      </c>
      <c r="Z37" s="27">
        <f t="shared" si="62"/>
        <v>0.1098310929</v>
      </c>
      <c r="AA37" s="27">
        <f t="shared" si="63"/>
        <v>3.484653449</v>
      </c>
      <c r="AC37" s="26" t="s">
        <v>28</v>
      </c>
      <c r="AD37" s="27">
        <f>V42-$AA37</f>
        <v>51.56624957</v>
      </c>
      <c r="AE37" s="29">
        <f t="shared" si="64"/>
        <v>51</v>
      </c>
    </row>
    <row r="38" ht="15.75" customHeight="1">
      <c r="A38" s="50"/>
      <c r="B38" s="26" t="s">
        <v>9</v>
      </c>
      <c r="C38" s="27">
        <v>1593.0</v>
      </c>
      <c r="D38" s="27">
        <v>407.0</v>
      </c>
      <c r="E38" s="27"/>
      <c r="F38" s="53">
        <v>1.0</v>
      </c>
      <c r="G38" s="27">
        <v>40.0</v>
      </c>
      <c r="H38" s="27">
        <v>9.0</v>
      </c>
      <c r="I38" s="27">
        <f t="shared" si="59"/>
        <v>2050</v>
      </c>
      <c r="J38" s="43"/>
      <c r="K38" s="26" t="s">
        <v>9</v>
      </c>
      <c r="L38" s="27">
        <f t="shared" ref="L38:Q38" si="65">INT(C38/52)</f>
        <v>30</v>
      </c>
      <c r="M38" s="27">
        <f t="shared" si="65"/>
        <v>7</v>
      </c>
      <c r="N38" s="27">
        <f t="shared" si="65"/>
        <v>0</v>
      </c>
      <c r="O38" s="27">
        <f t="shared" si="65"/>
        <v>0</v>
      </c>
      <c r="P38" s="27">
        <f t="shared" si="65"/>
        <v>0</v>
      </c>
      <c r="Q38" s="27">
        <f t="shared" si="65"/>
        <v>0</v>
      </c>
      <c r="R38" s="27">
        <f t="shared" si="61"/>
        <v>37</v>
      </c>
      <c r="S38" s="43"/>
      <c r="T38" s="26" t="s">
        <v>9</v>
      </c>
      <c r="U38" s="27">
        <f t="shared" ref="U38:Z38" si="66">L38*C110</f>
        <v>15.829022</v>
      </c>
      <c r="V38" s="27">
        <f t="shared" si="66"/>
        <v>3.871164734</v>
      </c>
      <c r="W38" s="27">
        <f t="shared" si="66"/>
        <v>0</v>
      </c>
      <c r="X38" s="27">
        <f t="shared" si="66"/>
        <v>0</v>
      </c>
      <c r="Y38" s="27">
        <f t="shared" si="66"/>
        <v>0</v>
      </c>
      <c r="Z38" s="27">
        <f t="shared" si="66"/>
        <v>0</v>
      </c>
      <c r="AA38" s="27">
        <f t="shared" si="63"/>
        <v>19.70018674</v>
      </c>
      <c r="AC38" s="54" t="s">
        <v>9</v>
      </c>
      <c r="AD38" s="27">
        <f>W42-$AA38</f>
        <v>34.47974409</v>
      </c>
      <c r="AE38" s="29">
        <f t="shared" si="64"/>
        <v>34</v>
      </c>
    </row>
    <row r="39" ht="15.75" customHeight="1">
      <c r="A39" s="50"/>
      <c r="B39" s="26" t="s">
        <v>33</v>
      </c>
      <c r="C39" s="51">
        <v>214.0</v>
      </c>
      <c r="D39" s="55">
        <v>327.0</v>
      </c>
      <c r="E39" s="55">
        <v>339.0</v>
      </c>
      <c r="F39" s="31"/>
      <c r="G39" s="51">
        <v>644.0</v>
      </c>
      <c r="H39" s="55">
        <v>24.0</v>
      </c>
      <c r="I39" s="27">
        <f t="shared" si="59"/>
        <v>1548</v>
      </c>
      <c r="J39" s="43"/>
      <c r="K39" s="26" t="s">
        <v>33</v>
      </c>
      <c r="L39" s="27">
        <f t="shared" ref="L39:Q39" si="67">INT(C39/52)</f>
        <v>4</v>
      </c>
      <c r="M39" s="27">
        <f t="shared" si="67"/>
        <v>6</v>
      </c>
      <c r="N39" s="27">
        <f t="shared" si="67"/>
        <v>6</v>
      </c>
      <c r="O39" s="27">
        <f t="shared" si="67"/>
        <v>0</v>
      </c>
      <c r="P39" s="27">
        <f t="shared" si="67"/>
        <v>12</v>
      </c>
      <c r="Q39" s="27">
        <f t="shared" si="67"/>
        <v>0</v>
      </c>
      <c r="R39" s="27">
        <f t="shared" si="61"/>
        <v>28</v>
      </c>
      <c r="S39" s="43"/>
      <c r="T39" s="26" t="s">
        <v>33</v>
      </c>
      <c r="U39" s="27">
        <f t="shared" ref="U39:Z39" si="68">L39*C111</f>
        <v>1.845846343</v>
      </c>
      <c r="V39" s="27">
        <f t="shared" si="68"/>
        <v>5.515487714</v>
      </c>
      <c r="W39" s="27">
        <f t="shared" si="68"/>
        <v>5.766416039</v>
      </c>
      <c r="X39" s="27">
        <f t="shared" si="68"/>
        <v>0</v>
      </c>
      <c r="Y39" s="27">
        <f t="shared" si="68"/>
        <v>0.02139750046</v>
      </c>
      <c r="Z39" s="27">
        <f t="shared" si="68"/>
        <v>0</v>
      </c>
      <c r="AA39" s="27">
        <f t="shared" si="63"/>
        <v>13.1491476</v>
      </c>
      <c r="AC39" s="54" t="s">
        <v>33</v>
      </c>
      <c r="AD39" s="27">
        <f>X42-$AA39</f>
        <v>-1.191532549</v>
      </c>
      <c r="AE39" s="29">
        <f t="shared" si="64"/>
        <v>1</v>
      </c>
    </row>
    <row r="40" ht="15.75" customHeight="1">
      <c r="A40" s="50"/>
      <c r="B40" s="26" t="s">
        <v>8</v>
      </c>
      <c r="C40" s="27">
        <v>2308.0</v>
      </c>
      <c r="D40" s="27">
        <v>2321.0</v>
      </c>
      <c r="E40" s="27">
        <v>2268.0</v>
      </c>
      <c r="F40" s="51">
        <v>331.0</v>
      </c>
      <c r="G40" s="31"/>
      <c r="H40" s="31"/>
      <c r="I40" s="27">
        <f t="shared" si="59"/>
        <v>7228</v>
      </c>
      <c r="J40" s="43"/>
      <c r="K40" s="26" t="s">
        <v>8</v>
      </c>
      <c r="L40" s="27">
        <f t="shared" ref="L40:Q40" si="69">INT(C40/52)</f>
        <v>44</v>
      </c>
      <c r="M40" s="27">
        <f t="shared" si="69"/>
        <v>44</v>
      </c>
      <c r="N40" s="27">
        <f t="shared" si="69"/>
        <v>43</v>
      </c>
      <c r="O40" s="27">
        <f t="shared" si="69"/>
        <v>6</v>
      </c>
      <c r="P40" s="27">
        <f t="shared" si="69"/>
        <v>0</v>
      </c>
      <c r="Q40" s="27">
        <f t="shared" si="69"/>
        <v>0</v>
      </c>
      <c r="R40" s="27">
        <f t="shared" si="61"/>
        <v>137</v>
      </c>
      <c r="S40" s="43"/>
      <c r="T40" s="26" t="s">
        <v>8</v>
      </c>
      <c r="U40" s="27">
        <f t="shared" ref="U40:Z40" si="70">L40*C112</f>
        <v>5.597838051</v>
      </c>
      <c r="V40" s="27">
        <f t="shared" si="70"/>
        <v>14.29784747</v>
      </c>
      <c r="W40" s="27">
        <f t="shared" si="70"/>
        <v>13.72596905</v>
      </c>
      <c r="X40" s="27">
        <f t="shared" si="70"/>
        <v>4.524096168</v>
      </c>
      <c r="Y40" s="27">
        <f t="shared" si="70"/>
        <v>0</v>
      </c>
      <c r="Z40" s="27">
        <f t="shared" si="70"/>
        <v>0</v>
      </c>
      <c r="AA40" s="27">
        <f t="shared" si="63"/>
        <v>38.14575073</v>
      </c>
      <c r="AC40" s="54" t="s">
        <v>8</v>
      </c>
      <c r="AD40" s="27">
        <f>Y42-$AA40</f>
        <v>-35.82596213</v>
      </c>
      <c r="AE40" s="29">
        <f t="shared" si="64"/>
        <v>35</v>
      </c>
    </row>
    <row r="41" ht="15.75" customHeight="1">
      <c r="A41" s="50"/>
      <c r="B41" s="26" t="s">
        <v>31</v>
      </c>
      <c r="C41" s="27">
        <v>6226.0</v>
      </c>
      <c r="D41" s="27">
        <v>3479.0</v>
      </c>
      <c r="E41" s="27">
        <v>5045.0</v>
      </c>
      <c r="F41" s="53">
        <v>1134.0</v>
      </c>
      <c r="G41" s="31"/>
      <c r="H41" s="31"/>
      <c r="I41" s="27">
        <f t="shared" si="59"/>
        <v>15884</v>
      </c>
      <c r="J41" s="43"/>
      <c r="K41" s="26" t="s">
        <v>31</v>
      </c>
      <c r="L41" s="27">
        <f t="shared" ref="L41:Q41" si="71">INT(C41/52)</f>
        <v>119</v>
      </c>
      <c r="M41" s="27">
        <f t="shared" si="71"/>
        <v>66</v>
      </c>
      <c r="N41" s="27">
        <f t="shared" si="71"/>
        <v>97</v>
      </c>
      <c r="O41" s="27">
        <f t="shared" si="71"/>
        <v>21</v>
      </c>
      <c r="P41" s="27">
        <f t="shared" si="71"/>
        <v>0</v>
      </c>
      <c r="Q41" s="27">
        <f t="shared" si="71"/>
        <v>0</v>
      </c>
      <c r="R41" s="27">
        <f t="shared" si="61"/>
        <v>303</v>
      </c>
      <c r="S41" s="43"/>
      <c r="T41" s="26" t="s">
        <v>31</v>
      </c>
      <c r="U41" s="27">
        <f t="shared" ref="U41:Z41" si="72">L41*C113</f>
        <v>22.54441195</v>
      </c>
      <c r="V41" s="27">
        <f t="shared" si="72"/>
        <v>31.3664031</v>
      </c>
      <c r="W41" s="27">
        <f t="shared" si="72"/>
        <v>34.68754574</v>
      </c>
      <c r="X41" s="27">
        <f t="shared" si="72"/>
        <v>7.433518879</v>
      </c>
      <c r="Y41" s="27">
        <f t="shared" si="72"/>
        <v>0</v>
      </c>
      <c r="Z41" s="27">
        <f t="shared" si="72"/>
        <v>0</v>
      </c>
      <c r="AA41" s="27">
        <f t="shared" si="63"/>
        <v>96.03187967</v>
      </c>
      <c r="AC41" s="54" t="s">
        <v>31</v>
      </c>
      <c r="AD41" s="27">
        <f>Z42-$AA41</f>
        <v>-95.92204858</v>
      </c>
      <c r="AE41" s="29">
        <f t="shared" si="64"/>
        <v>95</v>
      </c>
    </row>
    <row r="42" ht="15.75" customHeight="1">
      <c r="A42" s="50"/>
      <c r="B42" s="32" t="s">
        <v>48</v>
      </c>
      <c r="C42" s="33">
        <f t="shared" ref="C42:I42" si="73">SUM(C36:C41)</f>
        <v>10496</v>
      </c>
      <c r="D42" s="33">
        <f t="shared" si="73"/>
        <v>6546</v>
      </c>
      <c r="E42" s="33">
        <f t="shared" si="73"/>
        <v>7675</v>
      </c>
      <c r="F42" s="33">
        <f t="shared" si="73"/>
        <v>1469</v>
      </c>
      <c r="G42" s="33">
        <f t="shared" si="73"/>
        <v>957</v>
      </c>
      <c r="H42" s="33">
        <f t="shared" si="73"/>
        <v>157</v>
      </c>
      <c r="I42" s="33">
        <f t="shared" si="73"/>
        <v>27300</v>
      </c>
      <c r="J42" s="43"/>
      <c r="K42" s="32" t="s">
        <v>48</v>
      </c>
      <c r="L42" s="33">
        <f t="shared" ref="L42:R42" si="74">SUM(L36:L41)</f>
        <v>199</v>
      </c>
      <c r="M42" s="33">
        <f t="shared" si="74"/>
        <v>123</v>
      </c>
      <c r="N42" s="33">
        <f t="shared" si="74"/>
        <v>146</v>
      </c>
      <c r="O42" s="33">
        <f t="shared" si="74"/>
        <v>27</v>
      </c>
      <c r="P42" s="33">
        <f t="shared" si="74"/>
        <v>17</v>
      </c>
      <c r="Q42" s="33">
        <f t="shared" si="74"/>
        <v>1</v>
      </c>
      <c r="R42" s="33">
        <f t="shared" si="74"/>
        <v>513</v>
      </c>
      <c r="S42" s="43"/>
      <c r="T42" s="32" t="s">
        <v>48</v>
      </c>
      <c r="U42" s="33">
        <f t="shared" ref="U42:AA42" si="75">SUM(U36:U41)</f>
        <v>47.81475228</v>
      </c>
      <c r="V42" s="33">
        <f t="shared" si="75"/>
        <v>55.05090302</v>
      </c>
      <c r="W42" s="33">
        <f t="shared" si="75"/>
        <v>54.17993082</v>
      </c>
      <c r="X42" s="33">
        <f t="shared" si="75"/>
        <v>11.95761505</v>
      </c>
      <c r="Y42" s="33">
        <f t="shared" si="75"/>
        <v>2.319788602</v>
      </c>
      <c r="Z42" s="33">
        <f t="shared" si="75"/>
        <v>0.1098310929</v>
      </c>
      <c r="AA42" s="33">
        <f t="shared" si="75"/>
        <v>171.4328209</v>
      </c>
      <c r="AC42" s="32" t="s">
        <v>49</v>
      </c>
      <c r="AD42" s="33">
        <f>SUM(AD36:AD41)</f>
        <v>0</v>
      </c>
    </row>
    <row r="43" ht="15.75" customHeight="1">
      <c r="J43" s="43"/>
      <c r="S43" s="43"/>
    </row>
    <row r="44" ht="15.75" customHeight="1">
      <c r="A44" s="48"/>
      <c r="B44" s="19" t="s">
        <v>56</v>
      </c>
      <c r="C44" s="20"/>
      <c r="D44" s="20"/>
      <c r="E44" s="20"/>
      <c r="F44" s="20"/>
      <c r="G44" s="20"/>
      <c r="H44" s="20"/>
      <c r="I44" s="21"/>
      <c r="J44" s="43"/>
      <c r="K44" s="19" t="s">
        <v>56</v>
      </c>
      <c r="L44" s="20"/>
      <c r="M44" s="20"/>
      <c r="N44" s="20"/>
      <c r="O44" s="20"/>
      <c r="P44" s="20"/>
      <c r="Q44" s="20"/>
      <c r="R44" s="21"/>
      <c r="S44" s="43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</row>
    <row r="45" ht="15.75" customHeight="1">
      <c r="A45" s="48"/>
      <c r="B45" s="4" t="s">
        <v>42</v>
      </c>
      <c r="C45" s="4" t="s">
        <v>25</v>
      </c>
      <c r="D45" s="4" t="s">
        <v>28</v>
      </c>
      <c r="E45" s="4" t="s">
        <v>9</v>
      </c>
      <c r="F45" s="49" t="s">
        <v>33</v>
      </c>
      <c r="G45" s="4" t="s">
        <v>8</v>
      </c>
      <c r="H45" s="4" t="s">
        <v>31</v>
      </c>
      <c r="I45" s="4" t="s">
        <v>43</v>
      </c>
      <c r="J45" s="43"/>
      <c r="K45" s="4" t="s">
        <v>42</v>
      </c>
      <c r="L45" s="4" t="s">
        <v>25</v>
      </c>
      <c r="M45" s="4" t="s">
        <v>28</v>
      </c>
      <c r="N45" s="4" t="s">
        <v>9</v>
      </c>
      <c r="O45" s="49" t="s">
        <v>33</v>
      </c>
      <c r="P45" s="4" t="s">
        <v>8</v>
      </c>
      <c r="Q45" s="4" t="s">
        <v>31</v>
      </c>
      <c r="R45" s="4" t="s">
        <v>43</v>
      </c>
      <c r="S45" s="43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</row>
    <row r="46" ht="15.75" customHeight="1">
      <c r="A46" s="50"/>
      <c r="B46" s="26" t="s">
        <v>25</v>
      </c>
      <c r="C46" s="27">
        <f t="shared" ref="C46:H46" si="76">C6+C16+C26+C36</f>
        <v>0</v>
      </c>
      <c r="D46" s="27">
        <f t="shared" si="76"/>
        <v>7825</v>
      </c>
      <c r="E46" s="27">
        <f t="shared" si="76"/>
        <v>8552</v>
      </c>
      <c r="F46" s="27">
        <f t="shared" si="76"/>
        <v>3498</v>
      </c>
      <c r="G46" s="27">
        <f t="shared" si="76"/>
        <v>57554</v>
      </c>
      <c r="H46" s="27">
        <f t="shared" si="76"/>
        <v>6022</v>
      </c>
      <c r="I46" s="27">
        <f t="shared" ref="I46:I51" si="79">SUM(C46:H46)</f>
        <v>83451</v>
      </c>
      <c r="J46" s="43"/>
      <c r="K46" s="26" t="s">
        <v>25</v>
      </c>
      <c r="L46" s="27">
        <f t="shared" ref="L46:Q46" si="77">INT(C46/52)</f>
        <v>0</v>
      </c>
      <c r="M46" s="27">
        <f t="shared" si="77"/>
        <v>150</v>
      </c>
      <c r="N46" s="27">
        <f t="shared" si="77"/>
        <v>164</v>
      </c>
      <c r="O46" s="27">
        <f t="shared" si="77"/>
        <v>67</v>
      </c>
      <c r="P46" s="27">
        <f t="shared" si="77"/>
        <v>1106</v>
      </c>
      <c r="Q46" s="27">
        <f t="shared" si="77"/>
        <v>115</v>
      </c>
      <c r="R46" s="27">
        <f t="shared" ref="R46:R51" si="81">SUM(L46:Q46)</f>
        <v>1602</v>
      </c>
      <c r="S46" s="43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ht="15.75" customHeight="1">
      <c r="A47" s="50"/>
      <c r="B47" s="26" t="s">
        <v>28</v>
      </c>
      <c r="C47" s="27">
        <f t="shared" ref="C47:H47" si="78">C7+C17+C27+C37</f>
        <v>13384</v>
      </c>
      <c r="D47" s="27">
        <f t="shared" si="78"/>
        <v>0</v>
      </c>
      <c r="E47" s="27">
        <f t="shared" si="78"/>
        <v>2780</v>
      </c>
      <c r="F47" s="27">
        <f t="shared" si="78"/>
        <v>594</v>
      </c>
      <c r="G47" s="27">
        <f t="shared" si="78"/>
        <v>17206</v>
      </c>
      <c r="H47" s="27">
        <f t="shared" si="78"/>
        <v>7321</v>
      </c>
      <c r="I47" s="27">
        <f t="shared" si="79"/>
        <v>41285</v>
      </c>
      <c r="J47" s="43"/>
      <c r="K47" s="26" t="s">
        <v>28</v>
      </c>
      <c r="L47" s="27">
        <f t="shared" ref="L47:Q47" si="80">INT(C47/52)</f>
        <v>257</v>
      </c>
      <c r="M47" s="27">
        <f t="shared" si="80"/>
        <v>0</v>
      </c>
      <c r="N47" s="27">
        <f t="shared" si="80"/>
        <v>53</v>
      </c>
      <c r="O47" s="27">
        <f t="shared" si="80"/>
        <v>11</v>
      </c>
      <c r="P47" s="27">
        <f t="shared" si="80"/>
        <v>330</v>
      </c>
      <c r="Q47" s="27">
        <f t="shared" si="80"/>
        <v>140</v>
      </c>
      <c r="R47" s="27">
        <f t="shared" si="81"/>
        <v>791</v>
      </c>
      <c r="S47" s="43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ht="15.75" customHeight="1">
      <c r="A48" s="50"/>
      <c r="B48" s="26" t="s">
        <v>9</v>
      </c>
      <c r="C48" s="27">
        <f t="shared" ref="C48:H48" si="82">C8+C18+C28+C38</f>
        <v>21147</v>
      </c>
      <c r="D48" s="27">
        <f t="shared" si="82"/>
        <v>6937</v>
      </c>
      <c r="E48" s="27">
        <f t="shared" si="82"/>
        <v>0</v>
      </c>
      <c r="F48" s="27">
        <f t="shared" si="82"/>
        <v>3620</v>
      </c>
      <c r="G48" s="27">
        <f t="shared" si="82"/>
        <v>18324</v>
      </c>
      <c r="H48" s="27">
        <f t="shared" si="82"/>
        <v>5127</v>
      </c>
      <c r="I48" s="27">
        <f t="shared" si="79"/>
        <v>55155</v>
      </c>
      <c r="J48" s="43"/>
      <c r="K48" s="26" t="s">
        <v>9</v>
      </c>
      <c r="L48" s="27">
        <f t="shared" ref="L48:Q48" si="83">INT(C48/52)</f>
        <v>406</v>
      </c>
      <c r="M48" s="27">
        <f t="shared" si="83"/>
        <v>133</v>
      </c>
      <c r="N48" s="27">
        <f t="shared" si="83"/>
        <v>0</v>
      </c>
      <c r="O48" s="27">
        <f t="shared" si="83"/>
        <v>69</v>
      </c>
      <c r="P48" s="27">
        <f t="shared" si="83"/>
        <v>352</v>
      </c>
      <c r="Q48" s="27">
        <f t="shared" si="83"/>
        <v>98</v>
      </c>
      <c r="R48" s="27">
        <f t="shared" si="81"/>
        <v>1058</v>
      </c>
      <c r="S48" s="43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ht="15.75" customHeight="1">
      <c r="A49" s="50"/>
      <c r="B49" s="26" t="s">
        <v>33</v>
      </c>
      <c r="C49" s="27">
        <f t="shared" ref="C49:H49" si="84">C9+C19+C29+C39</f>
        <v>3873</v>
      </c>
      <c r="D49" s="27">
        <f t="shared" si="84"/>
        <v>3139</v>
      </c>
      <c r="E49" s="27">
        <f t="shared" si="84"/>
        <v>2375</v>
      </c>
      <c r="F49" s="27">
        <f t="shared" si="84"/>
        <v>0</v>
      </c>
      <c r="G49" s="27">
        <f t="shared" si="84"/>
        <v>22201</v>
      </c>
      <c r="H49" s="27">
        <f t="shared" si="84"/>
        <v>2846</v>
      </c>
      <c r="I49" s="27">
        <f t="shared" si="79"/>
        <v>34434</v>
      </c>
      <c r="J49" s="43"/>
      <c r="K49" s="26" t="s">
        <v>33</v>
      </c>
      <c r="L49" s="27">
        <f t="shared" ref="L49:Q49" si="85">INT(C49/52)</f>
        <v>74</v>
      </c>
      <c r="M49" s="27">
        <f t="shared" si="85"/>
        <v>60</v>
      </c>
      <c r="N49" s="27">
        <f t="shared" si="85"/>
        <v>45</v>
      </c>
      <c r="O49" s="27">
        <f t="shared" si="85"/>
        <v>0</v>
      </c>
      <c r="P49" s="27">
        <f t="shared" si="85"/>
        <v>426</v>
      </c>
      <c r="Q49" s="27">
        <f t="shared" si="85"/>
        <v>54</v>
      </c>
      <c r="R49" s="27">
        <f t="shared" si="81"/>
        <v>659</v>
      </c>
      <c r="S49" s="43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ht="15.75" customHeight="1">
      <c r="A50" s="50"/>
      <c r="B50" s="26" t="s">
        <v>8</v>
      </c>
      <c r="C50" s="27">
        <f t="shared" ref="C50:H50" si="86">C10+C20+C30+C40</f>
        <v>24407</v>
      </c>
      <c r="D50" s="27">
        <f t="shared" si="86"/>
        <v>31566</v>
      </c>
      <c r="E50" s="27">
        <f t="shared" si="86"/>
        <v>38079</v>
      </c>
      <c r="F50" s="27">
        <f t="shared" si="86"/>
        <v>6793</v>
      </c>
      <c r="G50" s="27">
        <f t="shared" si="86"/>
        <v>0</v>
      </c>
      <c r="H50" s="27">
        <f t="shared" si="86"/>
        <v>0</v>
      </c>
      <c r="I50" s="27">
        <f t="shared" si="79"/>
        <v>100845</v>
      </c>
      <c r="J50" s="43"/>
      <c r="K50" s="26" t="s">
        <v>8</v>
      </c>
      <c r="L50" s="27">
        <f t="shared" ref="L50:Q50" si="87">INT(C50/52)</f>
        <v>469</v>
      </c>
      <c r="M50" s="27">
        <f t="shared" si="87"/>
        <v>607</v>
      </c>
      <c r="N50" s="27">
        <f t="shared" si="87"/>
        <v>732</v>
      </c>
      <c r="O50" s="27">
        <f t="shared" si="87"/>
        <v>130</v>
      </c>
      <c r="P50" s="27">
        <f t="shared" si="87"/>
        <v>0</v>
      </c>
      <c r="Q50" s="27">
        <f t="shared" si="87"/>
        <v>0</v>
      </c>
      <c r="R50" s="27">
        <f t="shared" si="81"/>
        <v>1938</v>
      </c>
      <c r="S50" s="43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ht="15.75" customHeight="1">
      <c r="A51" s="50"/>
      <c r="B51" s="26" t="s">
        <v>31</v>
      </c>
      <c r="C51" s="27">
        <f t="shared" ref="C51:H51" si="88">C11+C21+C31+C41</f>
        <v>18888</v>
      </c>
      <c r="D51" s="27">
        <f t="shared" si="88"/>
        <v>28520</v>
      </c>
      <c r="E51" s="27">
        <f t="shared" si="88"/>
        <v>38701</v>
      </c>
      <c r="F51" s="27">
        <f t="shared" si="88"/>
        <v>7743</v>
      </c>
      <c r="G51" s="27">
        <f t="shared" si="88"/>
        <v>0</v>
      </c>
      <c r="H51" s="27">
        <f t="shared" si="88"/>
        <v>0</v>
      </c>
      <c r="I51" s="27">
        <f t="shared" si="79"/>
        <v>93852</v>
      </c>
      <c r="J51" s="43"/>
      <c r="K51" s="26" t="s">
        <v>31</v>
      </c>
      <c r="L51" s="27">
        <f t="shared" ref="L51:Q51" si="89">INT(C51/52)</f>
        <v>363</v>
      </c>
      <c r="M51" s="27">
        <f t="shared" si="89"/>
        <v>548</v>
      </c>
      <c r="N51" s="27">
        <f t="shared" si="89"/>
        <v>744</v>
      </c>
      <c r="O51" s="27">
        <f t="shared" si="89"/>
        <v>148</v>
      </c>
      <c r="P51" s="27">
        <f t="shared" si="89"/>
        <v>0</v>
      </c>
      <c r="Q51" s="27">
        <f t="shared" si="89"/>
        <v>0</v>
      </c>
      <c r="R51" s="27">
        <f t="shared" si="81"/>
        <v>1803</v>
      </c>
      <c r="S51" s="43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ht="15.75" customHeight="1">
      <c r="A52" s="50"/>
      <c r="B52" s="32" t="s">
        <v>48</v>
      </c>
      <c r="C52" s="33">
        <f t="shared" ref="C52:I52" si="90">SUM(C46:C51)</f>
        <v>81699</v>
      </c>
      <c r="D52" s="33">
        <f t="shared" si="90"/>
        <v>77987</v>
      </c>
      <c r="E52" s="33">
        <f t="shared" si="90"/>
        <v>90487</v>
      </c>
      <c r="F52" s="33">
        <f t="shared" si="90"/>
        <v>22248</v>
      </c>
      <c r="G52" s="33">
        <f t="shared" si="90"/>
        <v>115285</v>
      </c>
      <c r="H52" s="33">
        <f t="shared" si="90"/>
        <v>21316</v>
      </c>
      <c r="I52" s="33">
        <f t="shared" si="90"/>
        <v>409022</v>
      </c>
      <c r="J52" s="43"/>
      <c r="K52" s="32" t="s">
        <v>48</v>
      </c>
      <c r="L52" s="33">
        <f t="shared" ref="L52:R52" si="91">SUM(L46:L51)</f>
        <v>1569</v>
      </c>
      <c r="M52" s="33">
        <f t="shared" si="91"/>
        <v>1498</v>
      </c>
      <c r="N52" s="33">
        <f t="shared" si="91"/>
        <v>1738</v>
      </c>
      <c r="O52" s="33">
        <f t="shared" si="91"/>
        <v>425</v>
      </c>
      <c r="P52" s="33">
        <f t="shared" si="91"/>
        <v>2214</v>
      </c>
      <c r="Q52" s="33">
        <f t="shared" si="91"/>
        <v>407</v>
      </c>
      <c r="R52" s="33">
        <f t="shared" si="91"/>
        <v>7851</v>
      </c>
      <c r="S52" s="43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ht="15.75" customHeight="1">
      <c r="J53" s="43"/>
      <c r="S53" s="43"/>
    </row>
    <row r="54" ht="15.75" customHeight="1">
      <c r="A54" s="48"/>
      <c r="B54" s="19" t="s">
        <v>58</v>
      </c>
      <c r="C54" s="20"/>
      <c r="D54" s="20"/>
      <c r="E54" s="20"/>
      <c r="F54" s="20"/>
      <c r="G54" s="20"/>
      <c r="H54" s="20"/>
      <c r="I54" s="21"/>
      <c r="J54" s="43"/>
      <c r="K54" s="19" t="s">
        <v>58</v>
      </c>
      <c r="L54" s="20"/>
      <c r="M54" s="20"/>
      <c r="N54" s="20"/>
      <c r="O54" s="20"/>
      <c r="P54" s="20"/>
      <c r="Q54" s="20"/>
      <c r="R54" s="21"/>
      <c r="S54" s="43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 ht="15.75" customHeight="1">
      <c r="A55" s="48"/>
      <c r="B55" s="4" t="s">
        <v>42</v>
      </c>
      <c r="C55" s="4" t="s">
        <v>25</v>
      </c>
      <c r="D55" s="4" t="s">
        <v>28</v>
      </c>
      <c r="E55" s="4" t="s">
        <v>9</v>
      </c>
      <c r="F55" s="49" t="s">
        <v>33</v>
      </c>
      <c r="G55" s="4" t="s">
        <v>8</v>
      </c>
      <c r="H55" s="4" t="s">
        <v>31</v>
      </c>
      <c r="I55" s="4" t="s">
        <v>43</v>
      </c>
      <c r="J55" s="43"/>
      <c r="K55" s="4" t="s">
        <v>42</v>
      </c>
      <c r="L55" s="4" t="s">
        <v>25</v>
      </c>
      <c r="M55" s="4" t="s">
        <v>28</v>
      </c>
      <c r="N55" s="4" t="s">
        <v>9</v>
      </c>
      <c r="O55" s="49" t="s">
        <v>33</v>
      </c>
      <c r="P55" s="4" t="s">
        <v>8</v>
      </c>
      <c r="Q55" s="4" t="s">
        <v>31</v>
      </c>
      <c r="R55" s="4" t="s">
        <v>43</v>
      </c>
      <c r="S55" s="43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</row>
    <row r="56" ht="15.75" customHeight="1">
      <c r="A56" s="50"/>
      <c r="B56" s="26" t="s">
        <v>25</v>
      </c>
      <c r="C56" s="27">
        <f t="shared" ref="C56:H56" si="92">C46+C26+C36</f>
        <v>0</v>
      </c>
      <c r="D56" s="27">
        <f t="shared" si="92"/>
        <v>13903</v>
      </c>
      <c r="E56" s="27">
        <f t="shared" si="92"/>
        <v>16790</v>
      </c>
      <c r="F56" s="27">
        <f t="shared" si="92"/>
        <v>6665</v>
      </c>
      <c r="G56" s="27">
        <f t="shared" si="92"/>
        <v>112595</v>
      </c>
      <c r="H56" s="27">
        <f t="shared" si="92"/>
        <v>11569</v>
      </c>
      <c r="I56" s="27">
        <f t="shared" ref="I56:I61" si="95">SUM(C56:H56)</f>
        <v>161522</v>
      </c>
      <c r="J56" s="43"/>
      <c r="K56" s="26" t="s">
        <v>25</v>
      </c>
      <c r="L56" s="27">
        <f t="shared" ref="L56:Q56" si="93">INT(C56/52)</f>
        <v>0</v>
      </c>
      <c r="M56" s="27">
        <f t="shared" si="93"/>
        <v>267</v>
      </c>
      <c r="N56" s="27">
        <f t="shared" si="93"/>
        <v>322</v>
      </c>
      <c r="O56" s="27">
        <f t="shared" si="93"/>
        <v>128</v>
      </c>
      <c r="P56" s="27">
        <f t="shared" si="93"/>
        <v>2165</v>
      </c>
      <c r="Q56" s="27">
        <f t="shared" si="93"/>
        <v>222</v>
      </c>
      <c r="R56" s="27">
        <f t="shared" ref="R56:R61" si="97">SUM(L56:Q56)</f>
        <v>3104</v>
      </c>
      <c r="S56" s="43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ht="15.75" customHeight="1">
      <c r="A57" s="50"/>
      <c r="B57" s="26" t="s">
        <v>28</v>
      </c>
      <c r="C57" s="27">
        <f t="shared" ref="C57:H57" si="94">C47+C27+C37</f>
        <v>23842</v>
      </c>
      <c r="D57" s="27">
        <f t="shared" si="94"/>
        <v>0</v>
      </c>
      <c r="E57" s="27">
        <f t="shared" si="94"/>
        <v>5278</v>
      </c>
      <c r="F57" s="27">
        <f t="shared" si="94"/>
        <v>697</v>
      </c>
      <c r="G57" s="27">
        <f t="shared" si="94"/>
        <v>25277</v>
      </c>
      <c r="H57" s="27">
        <f t="shared" si="94"/>
        <v>10587</v>
      </c>
      <c r="I57" s="27">
        <f t="shared" si="95"/>
        <v>65681</v>
      </c>
      <c r="J57" s="43"/>
      <c r="K57" s="26" t="s">
        <v>28</v>
      </c>
      <c r="L57" s="27">
        <f t="shared" ref="L57:Q57" si="96">INT(C57/52)</f>
        <v>458</v>
      </c>
      <c r="M57" s="27">
        <f t="shared" si="96"/>
        <v>0</v>
      </c>
      <c r="N57" s="27">
        <f t="shared" si="96"/>
        <v>101</v>
      </c>
      <c r="O57" s="27">
        <f t="shared" si="96"/>
        <v>13</v>
      </c>
      <c r="P57" s="27">
        <f t="shared" si="96"/>
        <v>486</v>
      </c>
      <c r="Q57" s="27">
        <f t="shared" si="96"/>
        <v>203</v>
      </c>
      <c r="R57" s="27">
        <f t="shared" si="97"/>
        <v>1261</v>
      </c>
      <c r="S57" s="43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ht="15.75" customHeight="1">
      <c r="A58" s="50"/>
      <c r="B58" s="26" t="s">
        <v>9</v>
      </c>
      <c r="C58" s="27">
        <f t="shared" ref="C58:H58" si="98">C48+C28+C38</f>
        <v>40255</v>
      </c>
      <c r="D58" s="27">
        <f t="shared" si="98"/>
        <v>12390</v>
      </c>
      <c r="E58" s="27">
        <f t="shared" si="98"/>
        <v>0</v>
      </c>
      <c r="F58" s="27">
        <f t="shared" si="98"/>
        <v>4273</v>
      </c>
      <c r="G58" s="27">
        <f t="shared" si="98"/>
        <v>28128</v>
      </c>
      <c r="H58" s="27">
        <f t="shared" si="98"/>
        <v>9423</v>
      </c>
      <c r="I58" s="27">
        <f t="shared" si="95"/>
        <v>94469</v>
      </c>
      <c r="J58" s="43"/>
      <c r="K58" s="26" t="s">
        <v>9</v>
      </c>
      <c r="L58" s="27">
        <f t="shared" ref="L58:Q58" si="99">INT(C58/52)</f>
        <v>774</v>
      </c>
      <c r="M58" s="27">
        <f t="shared" si="99"/>
        <v>238</v>
      </c>
      <c r="N58" s="27">
        <f t="shared" si="99"/>
        <v>0</v>
      </c>
      <c r="O58" s="27">
        <f t="shared" si="99"/>
        <v>82</v>
      </c>
      <c r="P58" s="27">
        <f t="shared" si="99"/>
        <v>540</v>
      </c>
      <c r="Q58" s="27">
        <f t="shared" si="99"/>
        <v>181</v>
      </c>
      <c r="R58" s="27">
        <f t="shared" si="97"/>
        <v>1815</v>
      </c>
      <c r="S58" s="43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ht="15.75" customHeight="1">
      <c r="A59" s="50"/>
      <c r="B59" s="26" t="s">
        <v>33</v>
      </c>
      <c r="C59" s="27">
        <f t="shared" ref="C59:H59" si="100">C49+C29+C39</f>
        <v>7339</v>
      </c>
      <c r="D59" s="27">
        <f t="shared" si="100"/>
        <v>5495</v>
      </c>
      <c r="E59" s="27">
        <f t="shared" si="100"/>
        <v>4078</v>
      </c>
      <c r="F59" s="27">
        <f t="shared" si="100"/>
        <v>0</v>
      </c>
      <c r="G59" s="27">
        <f t="shared" si="100"/>
        <v>33493</v>
      </c>
      <c r="H59" s="27">
        <f t="shared" si="100"/>
        <v>5401</v>
      </c>
      <c r="I59" s="27">
        <f t="shared" si="95"/>
        <v>55806</v>
      </c>
      <c r="J59" s="43"/>
      <c r="K59" s="26" t="s">
        <v>33</v>
      </c>
      <c r="L59" s="27">
        <f t="shared" ref="L59:Q59" si="101">INT(C59/52)</f>
        <v>141</v>
      </c>
      <c r="M59" s="27">
        <f t="shared" si="101"/>
        <v>105</v>
      </c>
      <c r="N59" s="27">
        <f t="shared" si="101"/>
        <v>78</v>
      </c>
      <c r="O59" s="27">
        <f t="shared" si="101"/>
        <v>0</v>
      </c>
      <c r="P59" s="27">
        <f t="shared" si="101"/>
        <v>644</v>
      </c>
      <c r="Q59" s="27">
        <f t="shared" si="101"/>
        <v>103</v>
      </c>
      <c r="R59" s="27">
        <f t="shared" si="97"/>
        <v>1071</v>
      </c>
      <c r="S59" s="43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ht="15.75" customHeight="1">
      <c r="A60" s="50"/>
      <c r="B60" s="26" t="s">
        <v>8</v>
      </c>
      <c r="C60" s="27">
        <f t="shared" ref="C60:H60" si="102">C50+C30+C40</f>
        <v>44756</v>
      </c>
      <c r="D60" s="27">
        <f t="shared" si="102"/>
        <v>56746</v>
      </c>
      <c r="E60" s="27">
        <f t="shared" si="102"/>
        <v>69572</v>
      </c>
      <c r="F60" s="27">
        <f t="shared" si="102"/>
        <v>11507</v>
      </c>
      <c r="G60" s="27">
        <f t="shared" si="102"/>
        <v>0</v>
      </c>
      <c r="H60" s="27">
        <f t="shared" si="102"/>
        <v>0</v>
      </c>
      <c r="I60" s="27">
        <f t="shared" si="95"/>
        <v>182581</v>
      </c>
      <c r="J60" s="43"/>
      <c r="K60" s="26" t="s">
        <v>8</v>
      </c>
      <c r="L60" s="27">
        <f t="shared" ref="L60:Q60" si="103">INT(C60/52)</f>
        <v>860</v>
      </c>
      <c r="M60" s="27">
        <f t="shared" si="103"/>
        <v>1091</v>
      </c>
      <c r="N60" s="27">
        <f t="shared" si="103"/>
        <v>1337</v>
      </c>
      <c r="O60" s="27">
        <f t="shared" si="103"/>
        <v>221</v>
      </c>
      <c r="P60" s="27">
        <f t="shared" si="103"/>
        <v>0</v>
      </c>
      <c r="Q60" s="27">
        <f t="shared" si="103"/>
        <v>0</v>
      </c>
      <c r="R60" s="27">
        <f t="shared" si="97"/>
        <v>3509</v>
      </c>
      <c r="S60" s="43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ht="15.75" customHeight="1">
      <c r="A61" s="50"/>
      <c r="B61" s="26" t="s">
        <v>31</v>
      </c>
      <c r="C61" s="27">
        <f t="shared" ref="C61:H61" si="104">C51+C31+C41</f>
        <v>36324</v>
      </c>
      <c r="D61" s="27">
        <f t="shared" si="104"/>
        <v>45197</v>
      </c>
      <c r="E61" s="27">
        <f t="shared" si="104"/>
        <v>63792</v>
      </c>
      <c r="F61" s="27">
        <f t="shared" si="104"/>
        <v>11283</v>
      </c>
      <c r="G61" s="27">
        <f t="shared" si="104"/>
        <v>0</v>
      </c>
      <c r="H61" s="27">
        <f t="shared" si="104"/>
        <v>0</v>
      </c>
      <c r="I61" s="27">
        <f t="shared" si="95"/>
        <v>156596</v>
      </c>
      <c r="J61" s="43"/>
      <c r="K61" s="26" t="s">
        <v>31</v>
      </c>
      <c r="L61" s="27">
        <f t="shared" ref="L61:Q61" si="105">INT(C61/52)</f>
        <v>698</v>
      </c>
      <c r="M61" s="27">
        <f t="shared" si="105"/>
        <v>869</v>
      </c>
      <c r="N61" s="27">
        <f t="shared" si="105"/>
        <v>1226</v>
      </c>
      <c r="O61" s="27">
        <f t="shared" si="105"/>
        <v>216</v>
      </c>
      <c r="P61" s="27">
        <f t="shared" si="105"/>
        <v>0</v>
      </c>
      <c r="Q61" s="27">
        <f t="shared" si="105"/>
        <v>0</v>
      </c>
      <c r="R61" s="27">
        <f t="shared" si="97"/>
        <v>3009</v>
      </c>
      <c r="S61" s="43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ht="15.75" customHeight="1">
      <c r="A62" s="50"/>
      <c r="B62" s="32" t="s">
        <v>48</v>
      </c>
      <c r="C62" s="33">
        <f t="shared" ref="C62:I62" si="106">SUM(C56:C61)</f>
        <v>152516</v>
      </c>
      <c r="D62" s="33">
        <f t="shared" si="106"/>
        <v>133731</v>
      </c>
      <c r="E62" s="33">
        <f t="shared" si="106"/>
        <v>159510</v>
      </c>
      <c r="F62" s="33">
        <f t="shared" si="106"/>
        <v>34425</v>
      </c>
      <c r="G62" s="33">
        <f t="shared" si="106"/>
        <v>199493</v>
      </c>
      <c r="H62" s="33">
        <f t="shared" si="106"/>
        <v>36980</v>
      </c>
      <c r="I62" s="33">
        <f t="shared" si="106"/>
        <v>716655</v>
      </c>
      <c r="J62" s="43"/>
      <c r="K62" s="32" t="s">
        <v>48</v>
      </c>
      <c r="L62" s="33">
        <f t="shared" ref="L62:R62" si="107">SUM(L56:L61)</f>
        <v>2931</v>
      </c>
      <c r="M62" s="33">
        <f t="shared" si="107"/>
        <v>2570</v>
      </c>
      <c r="N62" s="33">
        <f t="shared" si="107"/>
        <v>3064</v>
      </c>
      <c r="O62" s="33">
        <f t="shared" si="107"/>
        <v>660</v>
      </c>
      <c r="P62" s="33">
        <f t="shared" si="107"/>
        <v>3835</v>
      </c>
      <c r="Q62" s="33">
        <f t="shared" si="107"/>
        <v>709</v>
      </c>
      <c r="R62" s="33">
        <f t="shared" si="107"/>
        <v>13769</v>
      </c>
      <c r="S62" s="43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ht="15.75" customHeight="1">
      <c r="J63" s="43"/>
      <c r="S63" s="43"/>
    </row>
    <row r="64" ht="15.75" customHeight="1">
      <c r="A64" s="57"/>
      <c r="B64" s="42" t="s">
        <v>70</v>
      </c>
      <c r="C64" s="20"/>
      <c r="D64" s="20"/>
      <c r="E64" s="20"/>
      <c r="F64" s="20"/>
      <c r="G64" s="20"/>
      <c r="H64" s="58"/>
      <c r="J64" s="43"/>
      <c r="S64" s="43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</row>
    <row r="65" ht="15.75" customHeight="1">
      <c r="A65" s="48"/>
      <c r="B65" s="4" t="s">
        <v>42</v>
      </c>
      <c r="C65" s="49" t="s">
        <v>71</v>
      </c>
      <c r="D65" s="49" t="s">
        <v>72</v>
      </c>
      <c r="E65" s="49" t="s">
        <v>73</v>
      </c>
      <c r="F65" s="49" t="s">
        <v>74</v>
      </c>
      <c r="G65" s="49" t="s">
        <v>75</v>
      </c>
      <c r="H65" s="49" t="s">
        <v>76</v>
      </c>
      <c r="J65" s="43"/>
      <c r="S65" s="43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</row>
    <row r="66" ht="15.75" customHeight="1">
      <c r="A66" s="50"/>
      <c r="B66" s="26" t="s">
        <v>71</v>
      </c>
      <c r="C66" s="56"/>
      <c r="D66" s="56" t="str">
        <f t="array" ref="D66">_xludf.XLOOKUP($B66,'Distancias Cidades'!$A$3:$A$28,_xludf.XLOOKUP(D$65,'Distancias Cidades'!$B$2:$AB$2,'Distancias Cidades'!$B$3:$AB$28))</f>
        <v>#NAME?</v>
      </c>
      <c r="E66" s="56" t="str">
        <f t="array" ref="E66">_xludf.XLOOKUP($B66,'Distancias Cidades'!$A$3:$A$28,_xludf.XLOOKUP(E$65,'Distancias Cidades'!$B$2:$AB$2,'Distancias Cidades'!$B$3:$AB$28))</f>
        <v>#NAME?</v>
      </c>
      <c r="F66" s="56" t="str">
        <f t="array" ref="F66">_xludf.XLOOKUP($B66,'Distancias Cidades'!$A$3:$A$28,_xludf.XLOOKUP(F$65,'Distancias Cidades'!$B$2:$AB$2,'Distancias Cidades'!$B$3:$AB$28))</f>
        <v>#NAME?</v>
      </c>
      <c r="G66" s="56" t="str">
        <f t="array" ref="G66">_xludf.XLOOKUP($B66,'Distancias Cidades'!$A$3:$A$28,_xludf.XLOOKUP(G$65,'Distancias Cidades'!$B$2:$AB$2,'Distancias Cidades'!$B$3:$AB$28))</f>
        <v>#NAME?</v>
      </c>
      <c r="H66" s="56" t="str">
        <f t="array" ref="H66">_xludf.XLOOKUP($B66,'Distancias Cidades'!$A$3:$A$28,_xludf.XLOOKUP(H$65,'Distancias Cidades'!$B$2:$AB$2,'Distancias Cidades'!$B$3:$AB$28))</f>
        <v>#NAME?</v>
      </c>
      <c r="J66" s="43"/>
      <c r="S66" s="43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ht="15.75" customHeight="1">
      <c r="A67" s="50"/>
      <c r="B67" s="26" t="s">
        <v>72</v>
      </c>
      <c r="C67" s="56" t="str">
        <f t="array" ref="C67">(_xludf.XLOOKUP(B67,'Distancias Cidades'!$A$3:$A$28,_xludf.XLOOKUP("BELÉM",'Distancias Cidades'!$B$2:$AB$2,'Distancias Cidades'!$B$3:$AB$28)))+10</f>
        <v>#NAME?</v>
      </c>
      <c r="D67" s="56" t="str">
        <f t="array" ref="D67">_xludf.XLOOKUP($B67,'Distancias Cidades'!$A$3:$A$28,_xludf.XLOOKUP(D$65,'Distancias Cidades'!$B$2:$AB$2,'Distancias Cidades'!$B$3:$AB$28))</f>
        <v>#NAME?</v>
      </c>
      <c r="E67" s="56" t="str">
        <f t="array" ref="E67">_xludf.XLOOKUP($B67,'Distancias Cidades'!$A$3:$A$28,_xludf.XLOOKUP(E$65,'Distancias Cidades'!$B$2:$AB$2,'Distancias Cidades'!$B$3:$AB$28))</f>
        <v>#NAME?</v>
      </c>
      <c r="F67" s="56" t="str">
        <f t="array" ref="F67">_xludf.XLOOKUP($B67,'Distancias Cidades'!$A$3:$A$28,_xludf.XLOOKUP(F$65,'Distancias Cidades'!$B$2:$AB$2,'Distancias Cidades'!$B$3:$AB$28))</f>
        <v>#NAME?</v>
      </c>
      <c r="G67" s="56" t="str">
        <f t="array" ref="G67">_xludf.XLOOKUP($B67,'Distancias Cidades'!$A$3:$A$28,_xludf.XLOOKUP(G$65,'Distancias Cidades'!$B$2:$AB$2,'Distancias Cidades'!$B$3:$AB$28))</f>
        <v>#NAME?</v>
      </c>
      <c r="H67" s="56" t="str">
        <f t="array" ref="H67">_xludf.XLOOKUP($B67,'Distancias Cidades'!$A$3:$A$28,_xludf.XLOOKUP(H$65,'Distancias Cidades'!$B$2:$AB$2,'Distancias Cidades'!$B$3:$AB$28))</f>
        <v>#NAME?</v>
      </c>
      <c r="J67" s="43"/>
      <c r="S67" s="43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ht="15.75" customHeight="1">
      <c r="A68" s="50"/>
      <c r="B68" s="26" t="s">
        <v>73</v>
      </c>
      <c r="C68" s="56" t="str">
        <f t="array" ref="C68">(_xludf.XLOOKUP(B68,'Distancias Cidades'!$A$3:$A$28,_xludf.XLOOKUP("BELÉM",'Distancias Cidades'!$B$2:$AB$2,'Distancias Cidades'!$B$3:$AB$28)))+10</f>
        <v>#NAME?</v>
      </c>
      <c r="D68" s="56" t="str">
        <f t="array" ref="D68">_xludf.XLOOKUP($B68,'Distancias Cidades'!$A$3:$A$28,_xludf.XLOOKUP(D$65,'Distancias Cidades'!$B$2:$AB$2,'Distancias Cidades'!$B$3:$AB$28))</f>
        <v>#NAME?</v>
      </c>
      <c r="E68" s="56" t="str">
        <f t="array" ref="E68">_xludf.XLOOKUP($B68,'Distancias Cidades'!$A$3:$A$28,_xludf.XLOOKUP(E$65,'Distancias Cidades'!$B$2:$AB$2,'Distancias Cidades'!$B$3:$AB$28))</f>
        <v>#NAME?</v>
      </c>
      <c r="F68" s="56" t="str">
        <f t="array" ref="F68">_xludf.XLOOKUP($B68,'Distancias Cidades'!$A$3:$A$28,_xludf.XLOOKUP(F$65,'Distancias Cidades'!$B$2:$AB$2,'Distancias Cidades'!$B$3:$AB$28))</f>
        <v>#NAME?</v>
      </c>
      <c r="G68" s="56" t="str">
        <f t="array" ref="G68">_xludf.XLOOKUP($B68,'Distancias Cidades'!$A$3:$A$28,_xludf.XLOOKUP(G$65,'Distancias Cidades'!$B$2:$AB$2,'Distancias Cidades'!$B$3:$AB$28))</f>
        <v>#NAME?</v>
      </c>
      <c r="H68" s="56" t="str">
        <f t="array" ref="H68">_xludf.XLOOKUP($B68,'Distancias Cidades'!$A$3:$A$28,_xludf.XLOOKUP(H$65,'Distancias Cidades'!$B$2:$AB$2,'Distancias Cidades'!$B$3:$AB$28))</f>
        <v>#NAME?</v>
      </c>
      <c r="J68" s="43"/>
      <c r="S68" s="43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ht="15.75" customHeight="1">
      <c r="A69" s="50"/>
      <c r="B69" s="26" t="s">
        <v>74</v>
      </c>
      <c r="C69" s="56" t="str">
        <f t="array" ref="C69">(_xludf.XLOOKUP(B69,'Distancias Cidades'!$A$3:$A$28,_xludf.XLOOKUP("BELÉM",'Distancias Cidades'!$B$2:$AB$2,'Distancias Cidades'!$B$3:$AB$28)))+10</f>
        <v>#NAME?</v>
      </c>
      <c r="D69" s="56" t="str">
        <f t="array" ref="D69">_xludf.XLOOKUP($B69,'Distancias Cidades'!$A$3:$A$28,_xludf.XLOOKUP(D$65,'Distancias Cidades'!$B$2:$AB$2,'Distancias Cidades'!$B$3:$AB$28))</f>
        <v>#NAME?</v>
      </c>
      <c r="E69" s="56" t="str">
        <f t="array" ref="E69">_xludf.XLOOKUP($B69,'Distancias Cidades'!$A$3:$A$28,_xludf.XLOOKUP(E$65,'Distancias Cidades'!$B$2:$AB$2,'Distancias Cidades'!$B$3:$AB$28))</f>
        <v>#NAME?</v>
      </c>
      <c r="F69" s="56" t="str">
        <f t="array" ref="F69">_xludf.XLOOKUP($B69,'Distancias Cidades'!$A$3:$A$28,_xludf.XLOOKUP(F$65,'Distancias Cidades'!$B$2:$AB$2,'Distancias Cidades'!$B$3:$AB$28))</f>
        <v>#NAME?</v>
      </c>
      <c r="G69" s="56" t="str">
        <f t="array" ref="G69">_xludf.XLOOKUP($B69,'Distancias Cidades'!$A$3:$A$28,_xludf.XLOOKUP(G$65,'Distancias Cidades'!$B$2:$AB$2,'Distancias Cidades'!$B$3:$AB$28))</f>
        <v>#NAME?</v>
      </c>
      <c r="H69" s="56" t="str">
        <f t="array" ref="H69">_xludf.XLOOKUP($B69,'Distancias Cidades'!$A$3:$A$28,_xludf.XLOOKUP(H$65,'Distancias Cidades'!$B$2:$AB$2,'Distancias Cidades'!$B$3:$AB$28))</f>
        <v>#NAME?</v>
      </c>
      <c r="J69" s="43"/>
      <c r="S69" s="43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ht="15.75" customHeight="1">
      <c r="A70" s="50"/>
      <c r="B70" s="26" t="s">
        <v>75</v>
      </c>
      <c r="C70" s="56" t="str">
        <f t="array" ref="C70">(_xludf.XLOOKUP(B70,'Distancias Cidades'!$A$3:$A$28,_xludf.XLOOKUP("BELÉM",'Distancias Cidades'!$B$2:$AB$2,'Distancias Cidades'!$B$3:$AB$28)))+10</f>
        <v>#NAME?</v>
      </c>
      <c r="D70" s="56" t="str">
        <f t="array" ref="D70">_xludf.XLOOKUP($B70,'Distancias Cidades'!$A$3:$A$28,_xludf.XLOOKUP(D$65,'Distancias Cidades'!$B$2:$AB$2,'Distancias Cidades'!$B$3:$AB$28))</f>
        <v>#NAME?</v>
      </c>
      <c r="E70" s="56" t="str">
        <f t="array" ref="E70">_xludf.XLOOKUP($B70,'Distancias Cidades'!$A$3:$A$28,_xludf.XLOOKUP(E$65,'Distancias Cidades'!$B$2:$AB$2,'Distancias Cidades'!$B$3:$AB$28))</f>
        <v>#NAME?</v>
      </c>
      <c r="F70" s="56" t="str">
        <f t="array" ref="F70">_xludf.XLOOKUP($B70,'Distancias Cidades'!$A$3:$A$28,_xludf.XLOOKUP(F$65,'Distancias Cidades'!$B$2:$AB$2,'Distancias Cidades'!$B$3:$AB$28))</f>
        <v>#NAME?</v>
      </c>
      <c r="G70" s="56" t="str">
        <f t="array" ref="G70">_xludf.XLOOKUP($B70,'Distancias Cidades'!$A$3:$A$28,_xludf.XLOOKUP(G$65,'Distancias Cidades'!$B$2:$AB$2,'Distancias Cidades'!$B$3:$AB$28))</f>
        <v>#NAME?</v>
      </c>
      <c r="H70" s="56" t="str">
        <f t="array" ref="H70">_xludf.XLOOKUP($B70,'Distancias Cidades'!$A$3:$A$28,_xludf.XLOOKUP(H$65,'Distancias Cidades'!$B$2:$AB$2,'Distancias Cidades'!$B$3:$AB$28))</f>
        <v>#NAME?</v>
      </c>
      <c r="J70" s="43"/>
      <c r="S70" s="43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ht="15.75" customHeight="1">
      <c r="A71" s="50"/>
      <c r="B71" s="26" t="s">
        <v>76</v>
      </c>
      <c r="C71" s="56" t="str">
        <f t="array" ref="C71">(_xludf.XLOOKUP(B71,'Distancias Cidades'!$A$3:$A$28,_xludf.XLOOKUP("BELÉM",'Distancias Cidades'!$B$2:$AB$2,'Distancias Cidades'!$B$3:$AB$28)))+10</f>
        <v>#NAME?</v>
      </c>
      <c r="D71" s="56" t="str">
        <f t="array" ref="D71">_xludf.XLOOKUP($B71,'Distancias Cidades'!$A$3:$A$28,_xludf.XLOOKUP(D$65,'Distancias Cidades'!$B$2:$AB$2,'Distancias Cidades'!$B$3:$AB$28))</f>
        <v>#NAME?</v>
      </c>
      <c r="E71" s="56" t="str">
        <f t="array" ref="E71">_xludf.XLOOKUP($B71,'Distancias Cidades'!$A$3:$A$28,_xludf.XLOOKUP(E$65,'Distancias Cidades'!$B$2:$AB$2,'Distancias Cidades'!$B$3:$AB$28))</f>
        <v>#NAME?</v>
      </c>
      <c r="F71" s="56" t="str">
        <f t="array" ref="F71">_xludf.XLOOKUP($B71,'Distancias Cidades'!$A$3:$A$28,_xludf.XLOOKUP(F$65,'Distancias Cidades'!$B$2:$AB$2,'Distancias Cidades'!$B$3:$AB$28))</f>
        <v>#NAME?</v>
      </c>
      <c r="G71" s="56" t="str">
        <f t="array" ref="G71">_xludf.XLOOKUP($B71,'Distancias Cidades'!$A$3:$A$28,_xludf.XLOOKUP(G$65,'Distancias Cidades'!$B$2:$AB$2,'Distancias Cidades'!$B$3:$AB$28))</f>
        <v>#NAME?</v>
      </c>
      <c r="H71" s="56" t="str">
        <f t="array" ref="H71">_xludf.XLOOKUP($B71,'Distancias Cidades'!$A$3:$A$28,_xludf.XLOOKUP(H$65,'Distancias Cidades'!$B$2:$AB$2,'Distancias Cidades'!$B$3:$AB$28))</f>
        <v>#NAME?</v>
      </c>
      <c r="J71" s="43"/>
      <c r="S71" s="43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ht="15.75" customHeight="1">
      <c r="J72" s="43"/>
      <c r="S72" s="43"/>
    </row>
    <row r="73" ht="15.75" customHeight="1">
      <c r="J73" s="43"/>
      <c r="L73" s="29"/>
      <c r="M73" s="29"/>
      <c r="N73" s="29"/>
      <c r="O73" s="29"/>
      <c r="P73" s="29"/>
      <c r="Q73" s="29"/>
      <c r="S73" s="43"/>
    </row>
    <row r="74" ht="15.75" customHeight="1">
      <c r="A74" s="57"/>
      <c r="B74" s="42" t="s">
        <v>77</v>
      </c>
      <c r="C74" s="20"/>
      <c r="D74" s="20"/>
      <c r="E74" s="20"/>
      <c r="F74" s="20"/>
      <c r="G74" s="20"/>
      <c r="H74" s="58"/>
      <c r="J74" s="43"/>
      <c r="K74" s="42" t="s">
        <v>78</v>
      </c>
      <c r="L74" s="20"/>
      <c r="M74" s="20"/>
      <c r="N74" s="20"/>
      <c r="O74" s="20"/>
      <c r="P74" s="20"/>
      <c r="Q74" s="58"/>
      <c r="S74" s="43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</row>
    <row r="75" ht="15.75" customHeight="1">
      <c r="A75" s="48"/>
      <c r="B75" s="4" t="s">
        <v>42</v>
      </c>
      <c r="C75" s="4" t="s">
        <v>25</v>
      </c>
      <c r="D75" s="4" t="s">
        <v>28</v>
      </c>
      <c r="E75" s="4" t="s">
        <v>9</v>
      </c>
      <c r="F75" s="49" t="s">
        <v>33</v>
      </c>
      <c r="G75" s="4" t="s">
        <v>8</v>
      </c>
      <c r="H75" s="4" t="s">
        <v>31</v>
      </c>
      <c r="J75" s="43"/>
      <c r="K75" s="4" t="s">
        <v>42</v>
      </c>
      <c r="L75" s="4" t="s">
        <v>25</v>
      </c>
      <c r="M75" s="4" t="s">
        <v>28</v>
      </c>
      <c r="N75" s="4" t="s">
        <v>9</v>
      </c>
      <c r="O75" s="49" t="s">
        <v>33</v>
      </c>
      <c r="P75" s="4" t="s">
        <v>8</v>
      </c>
      <c r="Q75" s="4" t="s">
        <v>31</v>
      </c>
      <c r="S75" s="43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</row>
    <row r="76" ht="15.75" customHeight="1">
      <c r="A76" s="50"/>
      <c r="B76" s="26" t="s">
        <v>25</v>
      </c>
      <c r="C76" s="59"/>
      <c r="D76" s="59" t="str">
        <f>C77</f>
        <v>#NAME?</v>
      </c>
      <c r="E76" s="59" t="str">
        <f>C78</f>
        <v>#NAME?</v>
      </c>
      <c r="F76" s="59" t="str">
        <f>C79</f>
        <v>#NAME?</v>
      </c>
      <c r="G76" s="59" t="str">
        <f>C80</f>
        <v>#NAME?</v>
      </c>
      <c r="H76" s="59" t="str">
        <f>C81</f>
        <v>#NAME?</v>
      </c>
      <c r="J76" s="43"/>
      <c r="K76" s="26" t="s">
        <v>25</v>
      </c>
      <c r="L76" s="56">
        <f t="shared" ref="L76:Q76" si="108">C76*L46</f>
        <v>0</v>
      </c>
      <c r="M76" s="56" t="str">
        <f t="shared" si="108"/>
        <v>#NAME?</v>
      </c>
      <c r="N76" s="56" t="str">
        <f t="shared" si="108"/>
        <v>#NAME?</v>
      </c>
      <c r="O76" s="56" t="str">
        <f t="shared" si="108"/>
        <v>#NAME?</v>
      </c>
      <c r="P76" s="56" t="str">
        <f t="shared" si="108"/>
        <v>#NAME?</v>
      </c>
      <c r="Q76" s="56" t="str">
        <f t="shared" si="108"/>
        <v>#NAME?</v>
      </c>
      <c r="S76" s="43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ht="15.75" customHeight="1">
      <c r="A77" s="50"/>
      <c r="B77" s="26" t="s">
        <v>28</v>
      </c>
      <c r="C77" s="59" t="str">
        <f t="shared" ref="C77:C81" si="110">(((C67*5.6748+496.5)*1.3)+7000)*0.7</f>
        <v>#NAME?</v>
      </c>
      <c r="D77" s="59"/>
      <c r="E77" s="59" t="str">
        <f>D78</f>
        <v>#NAME?</v>
      </c>
      <c r="F77" s="59" t="str">
        <f>D79</f>
        <v>#NAME?</v>
      </c>
      <c r="G77" s="59" t="str">
        <f>D80</f>
        <v>#NAME?</v>
      </c>
      <c r="H77" s="59" t="str">
        <f>D81</f>
        <v>#NAME?</v>
      </c>
      <c r="J77" s="43"/>
      <c r="K77" s="26" t="s">
        <v>28</v>
      </c>
      <c r="L77" s="56" t="str">
        <f t="shared" ref="L77:Q77" si="109">C77*L47</f>
        <v>#NAME?</v>
      </c>
      <c r="M77" s="56">
        <f t="shared" si="109"/>
        <v>0</v>
      </c>
      <c r="N77" s="56" t="str">
        <f t="shared" si="109"/>
        <v>#NAME?</v>
      </c>
      <c r="O77" s="56" t="str">
        <f t="shared" si="109"/>
        <v>#NAME?</v>
      </c>
      <c r="P77" s="56" t="str">
        <f t="shared" si="109"/>
        <v>#NAME?</v>
      </c>
      <c r="Q77" s="56" t="str">
        <f t="shared" si="109"/>
        <v>#NAME?</v>
      </c>
      <c r="S77" s="43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ht="15.75" customHeight="1">
      <c r="A78" s="50"/>
      <c r="B78" s="26" t="s">
        <v>9</v>
      </c>
      <c r="C78" s="59" t="str">
        <f t="shared" si="110"/>
        <v>#NAME?</v>
      </c>
      <c r="D78" s="59" t="str">
        <f t="shared" ref="D78:D81" si="112">(D68*5.6748+496.5)*1.3*0.7</f>
        <v>#NAME?</v>
      </c>
      <c r="E78" s="59"/>
      <c r="F78" s="59" t="str">
        <f>E79</f>
        <v>#NAME?</v>
      </c>
      <c r="G78" s="59" t="str">
        <f>(G68*5.6748+496.5)*1.3*0.7</f>
        <v>#NAME?</v>
      </c>
      <c r="H78" s="59" t="str">
        <f>E81</f>
        <v>#NAME?</v>
      </c>
      <c r="J78" s="43"/>
      <c r="K78" s="26" t="s">
        <v>9</v>
      </c>
      <c r="L78" s="56" t="str">
        <f t="shared" ref="L78:Q78" si="111">C78*L48</f>
        <v>#NAME?</v>
      </c>
      <c r="M78" s="56" t="str">
        <f t="shared" si="111"/>
        <v>#NAME?</v>
      </c>
      <c r="N78" s="56">
        <f t="shared" si="111"/>
        <v>0</v>
      </c>
      <c r="O78" s="56" t="str">
        <f t="shared" si="111"/>
        <v>#NAME?</v>
      </c>
      <c r="P78" s="56" t="str">
        <f t="shared" si="111"/>
        <v>#NAME?</v>
      </c>
      <c r="Q78" s="56" t="str">
        <f t="shared" si="111"/>
        <v>#NAME?</v>
      </c>
      <c r="S78" s="43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ht="15.75" customHeight="1">
      <c r="A79" s="50"/>
      <c r="B79" s="26" t="s">
        <v>33</v>
      </c>
      <c r="C79" s="59" t="str">
        <f t="shared" si="110"/>
        <v>#NAME?</v>
      </c>
      <c r="D79" s="59" t="str">
        <f t="shared" si="112"/>
        <v>#NAME?</v>
      </c>
      <c r="E79" s="59" t="str">
        <f t="shared" ref="E79:E81" si="114">(E69*5.6748+496.5)*1.3*0.7</f>
        <v>#NAME?</v>
      </c>
      <c r="F79" s="59"/>
      <c r="G79" s="59"/>
      <c r="H79" s="59" t="str">
        <f>(H69*5.6748+496.5)*1.3*0.7</f>
        <v>#NAME?</v>
      </c>
      <c r="J79" s="43"/>
      <c r="K79" s="26" t="s">
        <v>33</v>
      </c>
      <c r="L79" s="56" t="str">
        <f t="shared" ref="L79:Q79" si="113">C79*L49</f>
        <v>#NAME?</v>
      </c>
      <c r="M79" s="56" t="str">
        <f t="shared" si="113"/>
        <v>#NAME?</v>
      </c>
      <c r="N79" s="56" t="str">
        <f t="shared" si="113"/>
        <v>#NAME?</v>
      </c>
      <c r="O79" s="56">
        <f t="shared" si="113"/>
        <v>0</v>
      </c>
      <c r="P79" s="56">
        <f t="shared" si="113"/>
        <v>0</v>
      </c>
      <c r="Q79" s="56" t="str">
        <f t="shared" si="113"/>
        <v>#NAME?</v>
      </c>
      <c r="S79" s="43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ht="15.75" customHeight="1">
      <c r="A80" s="50"/>
      <c r="B80" s="26" t="s">
        <v>8</v>
      </c>
      <c r="C80" s="59" t="str">
        <f t="shared" si="110"/>
        <v>#NAME?</v>
      </c>
      <c r="D80" s="59" t="str">
        <f t="shared" si="112"/>
        <v>#NAME?</v>
      </c>
      <c r="E80" s="59" t="str">
        <f t="shared" si="114"/>
        <v>#NAME?</v>
      </c>
      <c r="F80" s="59" t="str">
        <f t="shared" ref="F80:F81" si="116">(F70*5.6748+496.5)*1.3*0.7</f>
        <v>#NAME?</v>
      </c>
      <c r="G80" s="59"/>
      <c r="H80" s="59"/>
      <c r="J80" s="43"/>
      <c r="K80" s="26" t="s">
        <v>8</v>
      </c>
      <c r="L80" s="56" t="str">
        <f t="shared" ref="L80:Q80" si="115">C80*L50</f>
        <v>#NAME?</v>
      </c>
      <c r="M80" s="56" t="str">
        <f t="shared" si="115"/>
        <v>#NAME?</v>
      </c>
      <c r="N80" s="56" t="str">
        <f t="shared" si="115"/>
        <v>#NAME?</v>
      </c>
      <c r="O80" s="56" t="str">
        <f t="shared" si="115"/>
        <v>#NAME?</v>
      </c>
      <c r="P80" s="56">
        <f t="shared" si="115"/>
        <v>0</v>
      </c>
      <c r="Q80" s="56">
        <f t="shared" si="115"/>
        <v>0</v>
      </c>
      <c r="S80" s="43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ht="15.75" customHeight="1">
      <c r="A81" s="50"/>
      <c r="B81" s="26" t="s">
        <v>31</v>
      </c>
      <c r="C81" s="59" t="str">
        <f t="shared" si="110"/>
        <v>#NAME?</v>
      </c>
      <c r="D81" s="59" t="str">
        <f t="shared" si="112"/>
        <v>#NAME?</v>
      </c>
      <c r="E81" s="59" t="str">
        <f t="shared" si="114"/>
        <v>#NAME?</v>
      </c>
      <c r="F81" s="59" t="str">
        <f t="shared" si="116"/>
        <v>#NAME?</v>
      </c>
      <c r="G81" s="59"/>
      <c r="H81" s="59"/>
      <c r="J81" s="43"/>
      <c r="K81" s="26" t="s">
        <v>31</v>
      </c>
      <c r="L81" s="56" t="str">
        <f t="shared" ref="L81:Q81" si="117">C81*L51</f>
        <v>#NAME?</v>
      </c>
      <c r="M81" s="56" t="str">
        <f t="shared" si="117"/>
        <v>#NAME?</v>
      </c>
      <c r="N81" s="56" t="str">
        <f t="shared" si="117"/>
        <v>#NAME?</v>
      </c>
      <c r="O81" s="56" t="str">
        <f t="shared" si="117"/>
        <v>#NAME?</v>
      </c>
      <c r="P81" s="56">
        <f t="shared" si="117"/>
        <v>0</v>
      </c>
      <c r="Q81" s="56">
        <f t="shared" si="117"/>
        <v>0</v>
      </c>
      <c r="S81" s="43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ht="15.75" customHeight="1">
      <c r="A82" s="39"/>
      <c r="B82" s="39" t="s">
        <v>79</v>
      </c>
      <c r="J82" s="43"/>
      <c r="Q82" s="29" t="s">
        <v>68</v>
      </c>
      <c r="R82" s="60" t="str">
        <f>SUM(L76:Q81)</f>
        <v>#NAME?</v>
      </c>
      <c r="S82" s="43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</row>
    <row r="83" ht="15.75" customHeight="1">
      <c r="G83" s="61" t="s">
        <v>80</v>
      </c>
      <c r="H83" s="62"/>
      <c r="J83" s="43"/>
      <c r="Q83" s="29" t="s">
        <v>67</v>
      </c>
      <c r="R83" s="60" t="str">
        <f>R82*52</f>
        <v>#NAME?</v>
      </c>
      <c r="S83" s="43"/>
    </row>
    <row r="84" ht="15.75" customHeight="1">
      <c r="J84" s="43"/>
      <c r="S84" s="43"/>
    </row>
    <row r="85" ht="15.75" customHeight="1">
      <c r="A85" s="39"/>
      <c r="B85" s="39" t="s">
        <v>81</v>
      </c>
      <c r="J85" s="43"/>
      <c r="S85" s="43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</row>
    <row r="86" ht="15.75" customHeight="1">
      <c r="J86" s="43"/>
      <c r="S86" s="43"/>
    </row>
    <row r="87" ht="15.75" customHeight="1">
      <c r="J87" s="43"/>
      <c r="S87" s="43"/>
    </row>
    <row r="88" ht="15.75" customHeight="1">
      <c r="A88" s="63"/>
      <c r="B88" s="64" t="s">
        <v>82</v>
      </c>
      <c r="C88" s="20"/>
      <c r="D88" s="20"/>
      <c r="E88" s="20"/>
      <c r="F88" s="20"/>
      <c r="G88" s="21"/>
      <c r="J88" s="43"/>
      <c r="K88" s="64" t="s">
        <v>82</v>
      </c>
      <c r="L88" s="20"/>
      <c r="M88" s="20"/>
      <c r="N88" s="20"/>
      <c r="O88" s="20"/>
      <c r="P88" s="21"/>
      <c r="S88" s="43"/>
      <c r="T88" s="63" t="s">
        <v>82</v>
      </c>
      <c r="U88" s="63"/>
      <c r="V88" s="63"/>
      <c r="W88" s="63"/>
      <c r="X88" s="63"/>
      <c r="Y88" s="63"/>
      <c r="Z88" s="63"/>
      <c r="AA88" s="63"/>
      <c r="AB88" s="63"/>
      <c r="AC88" s="63"/>
      <c r="AD88" s="63"/>
    </row>
    <row r="89" ht="15.75" customHeight="1">
      <c r="A89" s="65"/>
      <c r="B89" s="66" t="s">
        <v>83</v>
      </c>
      <c r="C89" s="66" t="s">
        <v>84</v>
      </c>
      <c r="D89" s="66" t="s">
        <v>85</v>
      </c>
      <c r="E89" s="66" t="s">
        <v>86</v>
      </c>
      <c r="F89" s="66" t="s">
        <v>87</v>
      </c>
      <c r="G89" s="66" t="s">
        <v>88</v>
      </c>
      <c r="J89" s="43"/>
      <c r="K89" s="66" t="s">
        <v>83</v>
      </c>
      <c r="L89" s="66" t="s">
        <v>84</v>
      </c>
      <c r="M89" s="66" t="s">
        <v>85</v>
      </c>
      <c r="N89" s="66" t="s">
        <v>86</v>
      </c>
      <c r="O89" s="66" t="s">
        <v>87</v>
      </c>
      <c r="P89" s="66" t="s">
        <v>88</v>
      </c>
      <c r="S89" s="43"/>
      <c r="T89" s="65" t="s">
        <v>83</v>
      </c>
      <c r="U89" s="65" t="s">
        <v>84</v>
      </c>
      <c r="V89" s="65" t="s">
        <v>85</v>
      </c>
      <c r="W89" s="65" t="s">
        <v>86</v>
      </c>
      <c r="X89" s="65" t="s">
        <v>87</v>
      </c>
      <c r="Y89" s="65" t="s">
        <v>88</v>
      </c>
      <c r="Z89" s="65"/>
      <c r="AA89" s="65"/>
      <c r="AB89" s="65"/>
      <c r="AC89" s="65"/>
      <c r="AD89" s="65"/>
    </row>
    <row r="90" ht="15.75" customHeight="1">
      <c r="A90" s="63"/>
      <c r="B90" s="67" t="s">
        <v>89</v>
      </c>
      <c r="C90" s="67" t="s">
        <v>90</v>
      </c>
      <c r="D90" s="67" t="s">
        <v>91</v>
      </c>
      <c r="E90" s="67" t="s">
        <v>92</v>
      </c>
      <c r="F90" s="67" t="s">
        <v>93</v>
      </c>
      <c r="G90" s="67" t="s">
        <v>94</v>
      </c>
      <c r="J90" s="43"/>
      <c r="K90" s="68">
        <f>R133+AD10*2+AD30*4</f>
        <v>20272.76785</v>
      </c>
      <c r="L90" s="68">
        <f>R134</f>
        <v>19880</v>
      </c>
      <c r="M90" s="68">
        <f>R132+AD9*2</f>
        <v>5047.664745</v>
      </c>
      <c r="N90" s="68">
        <f>R131+AD8*2+AD28*4+AD38*4</f>
        <v>15853.00818</v>
      </c>
      <c r="O90" s="68">
        <f>R130+AD7*2+AD27*4+AD37*4</f>
        <v>17069.22074</v>
      </c>
      <c r="P90" s="68">
        <f>R129+AD6*2+AD36*4</f>
        <v>33471.49149</v>
      </c>
      <c r="S90" s="43"/>
      <c r="T90" s="63">
        <v>16212.0</v>
      </c>
      <c r="U90" s="63">
        <v>20636.0</v>
      </c>
      <c r="V90" s="63">
        <v>4396.0</v>
      </c>
      <c r="W90" s="63">
        <v>14252.0</v>
      </c>
      <c r="X90" s="63">
        <v>16296.0</v>
      </c>
      <c r="Y90" s="63">
        <v>32648.0</v>
      </c>
      <c r="Z90" s="63"/>
      <c r="AA90" s="63"/>
      <c r="AB90" s="63"/>
      <c r="AC90" s="63"/>
      <c r="AD90" s="63"/>
    </row>
    <row r="91" ht="15.75" customHeight="1">
      <c r="A91" s="63"/>
      <c r="B91" s="69" t="s">
        <v>95</v>
      </c>
      <c r="C91" s="69" t="s">
        <v>96</v>
      </c>
      <c r="D91" s="69" t="s">
        <v>97</v>
      </c>
      <c r="E91" s="69" t="s">
        <v>98</v>
      </c>
      <c r="F91" s="69" t="s">
        <v>99</v>
      </c>
      <c r="G91" s="69" t="s">
        <v>100</v>
      </c>
      <c r="J91" s="43"/>
      <c r="K91" s="68">
        <f>Q132</f>
        <v>420</v>
      </c>
      <c r="L91" s="68">
        <f>O131</f>
        <v>0</v>
      </c>
      <c r="M91" s="68">
        <f>N130</f>
        <v>0</v>
      </c>
      <c r="N91" s="68">
        <f>M129</f>
        <v>0</v>
      </c>
      <c r="O91" s="68">
        <f t="shared" ref="O91:O92" si="118">L133</f>
        <v>3052</v>
      </c>
      <c r="P91" s="69">
        <v>0.0</v>
      </c>
      <c r="S91" s="43"/>
      <c r="T91" s="63">
        <v>364.0</v>
      </c>
      <c r="U91" s="63">
        <v>0.0</v>
      </c>
      <c r="V91" s="63">
        <v>0.0</v>
      </c>
      <c r="W91" s="63">
        <v>448.0</v>
      </c>
      <c r="X91" s="63">
        <v>3976.0</v>
      </c>
      <c r="Y91" s="63">
        <v>0.0</v>
      </c>
      <c r="Z91" s="63"/>
      <c r="AA91" s="63"/>
      <c r="AB91" s="63"/>
      <c r="AC91" s="63"/>
      <c r="AD91" s="63"/>
    </row>
    <row r="92" ht="15.75" customHeight="1">
      <c r="A92" s="63"/>
      <c r="B92" s="69" t="s">
        <v>101</v>
      </c>
      <c r="C92" s="69" t="s">
        <v>102</v>
      </c>
      <c r="D92" s="69" t="s">
        <v>103</v>
      </c>
      <c r="E92" s="69" t="s">
        <v>104</v>
      </c>
      <c r="F92" s="69" t="s">
        <v>105</v>
      </c>
      <c r="G92" s="69" t="s">
        <v>106</v>
      </c>
      <c r="J92" s="43"/>
      <c r="K92" s="68">
        <f>Q131</f>
        <v>1008</v>
      </c>
      <c r="L92" s="68">
        <f>O130</f>
        <v>0</v>
      </c>
      <c r="M92" s="68">
        <f>N129</f>
        <v>616</v>
      </c>
      <c r="N92" s="68">
        <f>M133</f>
        <v>5516</v>
      </c>
      <c r="O92" s="68">
        <f t="shared" si="118"/>
        <v>3696</v>
      </c>
      <c r="P92" s="68">
        <f>P132</f>
        <v>0</v>
      </c>
      <c r="S92" s="43"/>
      <c r="T92" s="63">
        <v>1036.0</v>
      </c>
      <c r="U92" s="63">
        <v>112.0</v>
      </c>
      <c r="V92" s="63">
        <v>1092.0</v>
      </c>
      <c r="W92" s="63">
        <v>4592.0</v>
      </c>
      <c r="X92" s="63">
        <v>4788.0</v>
      </c>
      <c r="Y92" s="63">
        <v>0.0</v>
      </c>
      <c r="Z92" s="63"/>
      <c r="AA92" s="63"/>
      <c r="AB92" s="63"/>
      <c r="AC92" s="63"/>
      <c r="AD92" s="63"/>
    </row>
    <row r="93" ht="15.75" customHeight="1">
      <c r="A93" s="63"/>
      <c r="B93" s="69" t="s">
        <v>96</v>
      </c>
      <c r="C93" s="69" t="s">
        <v>97</v>
      </c>
      <c r="D93" s="69" t="s">
        <v>98</v>
      </c>
      <c r="E93" s="69" t="s">
        <v>99</v>
      </c>
      <c r="F93" s="69" t="s">
        <v>100</v>
      </c>
      <c r="G93" s="69" t="s">
        <v>95</v>
      </c>
      <c r="J93" s="43"/>
      <c r="K93" s="68">
        <f>O131</f>
        <v>0</v>
      </c>
      <c r="L93" s="68">
        <f>N130</f>
        <v>0</v>
      </c>
      <c r="M93" s="68">
        <f>M129</f>
        <v>0</v>
      </c>
      <c r="N93" s="68">
        <f>L133</f>
        <v>3052</v>
      </c>
      <c r="O93" s="69">
        <v>0.0</v>
      </c>
      <c r="P93" s="68">
        <f>Q132</f>
        <v>420</v>
      </c>
      <c r="S93" s="43"/>
      <c r="T93" s="63">
        <v>0.0</v>
      </c>
      <c r="U93" s="63">
        <v>0.0</v>
      </c>
      <c r="V93" s="63">
        <v>448.0</v>
      </c>
      <c r="W93" s="63">
        <v>3976.0</v>
      </c>
      <c r="X93" s="63">
        <v>0.0</v>
      </c>
      <c r="Y93" s="63">
        <v>364.0</v>
      </c>
      <c r="Z93" s="63"/>
      <c r="AA93" s="63"/>
      <c r="AB93" s="63"/>
      <c r="AC93" s="63"/>
      <c r="AD93" s="63"/>
    </row>
    <row r="94" ht="15.75" customHeight="1">
      <c r="A94" s="63"/>
      <c r="B94" s="69" t="s">
        <v>107</v>
      </c>
      <c r="C94" s="69" t="s">
        <v>108</v>
      </c>
      <c r="D94" s="69" t="s">
        <v>109</v>
      </c>
      <c r="E94" s="69" t="s">
        <v>110</v>
      </c>
      <c r="F94" s="69" t="s">
        <v>111</v>
      </c>
      <c r="G94" s="69" t="s">
        <v>112</v>
      </c>
      <c r="J94" s="43"/>
      <c r="K94" s="68">
        <f>Q130</f>
        <v>420</v>
      </c>
      <c r="L94" s="68">
        <f>O129</f>
        <v>868</v>
      </c>
      <c r="M94" s="68">
        <f>N133</f>
        <v>6524</v>
      </c>
      <c r="N94" s="68">
        <f>M134</f>
        <v>7280</v>
      </c>
      <c r="O94" s="68">
        <f>L132</f>
        <v>1820</v>
      </c>
      <c r="P94" s="68">
        <f>P131</f>
        <v>700</v>
      </c>
      <c r="S94" s="43"/>
      <c r="T94" s="63">
        <v>364.0</v>
      </c>
      <c r="U94" s="63">
        <v>700.0</v>
      </c>
      <c r="V94" s="63">
        <v>5292.0</v>
      </c>
      <c r="W94" s="63">
        <v>7700.0</v>
      </c>
      <c r="X94" s="63">
        <v>1484.0</v>
      </c>
      <c r="Y94" s="63">
        <v>1456.0</v>
      </c>
      <c r="Z94" s="63"/>
      <c r="AA94" s="63"/>
      <c r="AB94" s="63"/>
      <c r="AC94" s="63"/>
      <c r="AD94" s="63"/>
    </row>
    <row r="95" ht="15.75" customHeight="1">
      <c r="A95" s="63"/>
      <c r="B95" s="69" t="s">
        <v>102</v>
      </c>
      <c r="C95" s="69" t="s">
        <v>103</v>
      </c>
      <c r="D95" s="69" t="s">
        <v>104</v>
      </c>
      <c r="E95" s="69" t="s">
        <v>105</v>
      </c>
      <c r="F95" s="69" t="s">
        <v>106</v>
      </c>
      <c r="G95" s="69" t="s">
        <v>101</v>
      </c>
      <c r="J95" s="43"/>
      <c r="K95" s="68">
        <f>O130</f>
        <v>0</v>
      </c>
      <c r="L95" s="68">
        <f>N129</f>
        <v>616</v>
      </c>
      <c r="M95" s="68">
        <f>M133</f>
        <v>5516</v>
      </c>
      <c r="N95" s="68">
        <f>L134</f>
        <v>3696</v>
      </c>
      <c r="O95" s="68">
        <f>P132</f>
        <v>0</v>
      </c>
      <c r="P95" s="68">
        <f>Q131</f>
        <v>1008</v>
      </c>
      <c r="S95" s="43"/>
      <c r="T95" s="63">
        <v>112.0</v>
      </c>
      <c r="U95" s="63">
        <v>1092.0</v>
      </c>
      <c r="V95" s="63">
        <v>4592.0</v>
      </c>
      <c r="W95" s="63">
        <v>4788.0</v>
      </c>
      <c r="X95" s="63">
        <v>0.0</v>
      </c>
      <c r="Y95" s="63">
        <v>1036.0</v>
      </c>
      <c r="Z95" s="63"/>
      <c r="AA95" s="63"/>
      <c r="AB95" s="63"/>
      <c r="AC95" s="63"/>
      <c r="AD95" s="63"/>
    </row>
    <row r="96" ht="15.75" customHeight="1">
      <c r="A96" s="63"/>
      <c r="B96" s="69" t="s">
        <v>97</v>
      </c>
      <c r="C96" s="69" t="s">
        <v>98</v>
      </c>
      <c r="D96" s="69" t="s">
        <v>99</v>
      </c>
      <c r="E96" s="69" t="s">
        <v>100</v>
      </c>
      <c r="F96" s="69" t="s">
        <v>95</v>
      </c>
      <c r="G96" s="69" t="s">
        <v>96</v>
      </c>
      <c r="J96" s="43"/>
      <c r="K96" s="68">
        <f>N130</f>
        <v>0</v>
      </c>
      <c r="L96" s="68">
        <f>M129</f>
        <v>0</v>
      </c>
      <c r="M96" s="68">
        <f>L133</f>
        <v>3052</v>
      </c>
      <c r="N96" s="69">
        <v>0.0</v>
      </c>
      <c r="O96" s="68">
        <f>Q132</f>
        <v>420</v>
      </c>
      <c r="P96" s="68">
        <f>O131</f>
        <v>0</v>
      </c>
      <c r="S96" s="43"/>
      <c r="T96" s="63">
        <v>0.0</v>
      </c>
      <c r="U96" s="63">
        <v>448.0</v>
      </c>
      <c r="V96" s="63">
        <v>3976.0</v>
      </c>
      <c r="W96" s="63">
        <v>0.0</v>
      </c>
      <c r="X96" s="63">
        <v>364.0</v>
      </c>
      <c r="Y96" s="63">
        <v>0.0</v>
      </c>
      <c r="Z96" s="63"/>
      <c r="AA96" s="63"/>
      <c r="AB96" s="63"/>
      <c r="AC96" s="63"/>
      <c r="AD96" s="63"/>
    </row>
    <row r="97" ht="15.75" customHeight="1">
      <c r="A97" s="63"/>
      <c r="B97" s="69" t="s">
        <v>113</v>
      </c>
      <c r="C97" s="69" t="s">
        <v>114</v>
      </c>
      <c r="D97" s="69" t="s">
        <v>115</v>
      </c>
      <c r="E97" s="69" t="s">
        <v>116</v>
      </c>
      <c r="F97" s="69" t="s">
        <v>117</v>
      </c>
      <c r="G97" s="69" t="s">
        <v>118</v>
      </c>
      <c r="J97" s="43"/>
      <c r="K97" s="68">
        <f>Q129</f>
        <v>3220</v>
      </c>
      <c r="L97" s="68">
        <f>O133</f>
        <v>2744</v>
      </c>
      <c r="M97" s="68">
        <f>N134</f>
        <v>7448</v>
      </c>
      <c r="N97" s="68">
        <f>M132</f>
        <v>1540</v>
      </c>
      <c r="O97" s="68">
        <f>L131</f>
        <v>11424</v>
      </c>
      <c r="P97" s="68">
        <f>P130</f>
        <v>3164</v>
      </c>
      <c r="S97" s="43"/>
      <c r="T97" s="63">
        <v>3192.0</v>
      </c>
      <c r="U97" s="63">
        <v>2352.0</v>
      </c>
      <c r="V97" s="63">
        <v>6888.0</v>
      </c>
      <c r="W97" s="63">
        <v>1540.0</v>
      </c>
      <c r="X97" s="63">
        <v>9744.0</v>
      </c>
      <c r="Y97" s="63">
        <v>3192.0</v>
      </c>
      <c r="Z97" s="63"/>
      <c r="AA97" s="63"/>
      <c r="AB97" s="63"/>
      <c r="AC97" s="63"/>
      <c r="AD97" s="63"/>
    </row>
    <row r="98" ht="15.75" customHeight="1">
      <c r="A98" s="63"/>
      <c r="B98" s="69" t="s">
        <v>108</v>
      </c>
      <c r="C98" s="69" t="s">
        <v>109</v>
      </c>
      <c r="D98" s="69" t="s">
        <v>110</v>
      </c>
      <c r="E98" s="69" t="s">
        <v>111</v>
      </c>
      <c r="F98" s="69" t="s">
        <v>112</v>
      </c>
      <c r="G98" s="69" t="s">
        <v>107</v>
      </c>
      <c r="J98" s="43"/>
      <c r="K98" s="68">
        <f>O129</f>
        <v>868</v>
      </c>
      <c r="L98" s="68">
        <f>N133</f>
        <v>6524</v>
      </c>
      <c r="M98" s="68">
        <f>M134</f>
        <v>7280</v>
      </c>
      <c r="N98" s="68">
        <f>L132</f>
        <v>1820</v>
      </c>
      <c r="O98" s="68">
        <f>P131</f>
        <v>700</v>
      </c>
      <c r="P98" s="68">
        <f>Q130</f>
        <v>420</v>
      </c>
      <c r="S98" s="43"/>
      <c r="T98" s="63">
        <v>700.0</v>
      </c>
      <c r="U98" s="63">
        <v>5292.0</v>
      </c>
      <c r="V98" s="63">
        <v>7700.0</v>
      </c>
      <c r="W98" s="63">
        <v>1484.0</v>
      </c>
      <c r="X98" s="63">
        <v>1456.0</v>
      </c>
      <c r="Y98" s="63">
        <v>364.0</v>
      </c>
      <c r="Z98" s="63"/>
      <c r="AA98" s="63"/>
      <c r="AB98" s="63"/>
      <c r="AC98" s="63"/>
      <c r="AD98" s="63"/>
    </row>
    <row r="99" ht="15.75" customHeight="1">
      <c r="A99" s="63"/>
      <c r="B99" s="69" t="s">
        <v>103</v>
      </c>
      <c r="C99" s="69" t="s">
        <v>104</v>
      </c>
      <c r="D99" s="69" t="s">
        <v>105</v>
      </c>
      <c r="E99" s="69" t="s">
        <v>106</v>
      </c>
      <c r="F99" s="69" t="s">
        <v>101</v>
      </c>
      <c r="G99" s="69" t="s">
        <v>102</v>
      </c>
      <c r="J99" s="43"/>
      <c r="K99" s="68">
        <f>N129</f>
        <v>616</v>
      </c>
      <c r="L99" s="68">
        <f>M133</f>
        <v>5516</v>
      </c>
      <c r="M99" s="68">
        <f>L134</f>
        <v>3696</v>
      </c>
      <c r="N99" s="68">
        <f>P132</f>
        <v>0</v>
      </c>
      <c r="O99" s="68">
        <f>Q131</f>
        <v>1008</v>
      </c>
      <c r="P99" s="68">
        <f>O130</f>
        <v>0</v>
      </c>
      <c r="S99" s="43"/>
      <c r="T99" s="63">
        <v>1092.0</v>
      </c>
      <c r="U99" s="63">
        <v>4592.0</v>
      </c>
      <c r="V99" s="63">
        <v>4788.0</v>
      </c>
      <c r="W99" s="63">
        <v>0.0</v>
      </c>
      <c r="X99" s="63">
        <v>1036.0</v>
      </c>
      <c r="Y99" s="63">
        <v>112.0</v>
      </c>
      <c r="Z99" s="63"/>
      <c r="AA99" s="63"/>
      <c r="AB99" s="63"/>
      <c r="AC99" s="63"/>
      <c r="AD99" s="63"/>
    </row>
    <row r="100" ht="15.75" customHeight="1">
      <c r="A100" s="63"/>
      <c r="B100" s="69" t="s">
        <v>98</v>
      </c>
      <c r="C100" s="69" t="s">
        <v>99</v>
      </c>
      <c r="D100" s="69" t="s">
        <v>100</v>
      </c>
      <c r="E100" s="69" t="s">
        <v>95</v>
      </c>
      <c r="F100" s="69" t="s">
        <v>96</v>
      </c>
      <c r="G100" s="69" t="s">
        <v>97</v>
      </c>
      <c r="J100" s="43"/>
      <c r="K100" s="68">
        <f>M129</f>
        <v>0</v>
      </c>
      <c r="L100" s="68">
        <f>L133</f>
        <v>3052</v>
      </c>
      <c r="M100" s="69">
        <v>0.0</v>
      </c>
      <c r="N100" s="68">
        <f>Q132</f>
        <v>420</v>
      </c>
      <c r="O100" s="68">
        <f>O131</f>
        <v>0</v>
      </c>
      <c r="P100" s="68">
        <f>N130</f>
        <v>0</v>
      </c>
      <c r="S100" s="43"/>
      <c r="T100" s="63">
        <v>448.0</v>
      </c>
      <c r="U100" s="63">
        <v>3976.0</v>
      </c>
      <c r="V100" s="63">
        <v>0.0</v>
      </c>
      <c r="W100" s="63">
        <v>364.0</v>
      </c>
      <c r="X100" s="63">
        <v>0.0</v>
      </c>
      <c r="Y100" s="63">
        <v>0.0</v>
      </c>
      <c r="Z100" s="63"/>
      <c r="AA100" s="63"/>
      <c r="AB100" s="63"/>
      <c r="AC100" s="63"/>
      <c r="AD100" s="63"/>
    </row>
    <row r="101" ht="15.75" customHeight="1">
      <c r="J101" s="43"/>
      <c r="K101" s="70">
        <f t="shared" ref="K101:P101" si="119">SUM(K90:K100)</f>
        <v>26824.76785</v>
      </c>
      <c r="L101" s="70">
        <f t="shared" si="119"/>
        <v>39200</v>
      </c>
      <c r="M101" s="70">
        <f t="shared" si="119"/>
        <v>39179.66474</v>
      </c>
      <c r="N101" s="70">
        <f t="shared" si="119"/>
        <v>39177.00818</v>
      </c>
      <c r="O101" s="70">
        <f t="shared" si="119"/>
        <v>39189.22074</v>
      </c>
      <c r="P101" s="70">
        <f t="shared" si="119"/>
        <v>39183.49149</v>
      </c>
      <c r="Q101" s="29"/>
      <c r="S101" s="43"/>
      <c r="T101" s="29">
        <v>23520.0</v>
      </c>
      <c r="U101" s="29">
        <v>39200.0</v>
      </c>
      <c r="V101" s="29">
        <v>39172.0</v>
      </c>
      <c r="W101" s="29">
        <v>39144.0</v>
      </c>
      <c r="X101" s="29">
        <v>39144.0</v>
      </c>
      <c r="Y101" s="29">
        <v>39172.0</v>
      </c>
    </row>
    <row r="102" ht="15.75" customHeight="1">
      <c r="J102" s="43"/>
      <c r="K102" s="71" t="s">
        <v>119</v>
      </c>
      <c r="L102" s="20"/>
      <c r="M102" s="20"/>
      <c r="N102" s="20"/>
      <c r="O102" s="20"/>
      <c r="P102" s="21"/>
      <c r="S102" s="43"/>
      <c r="T102" s="29" t="s">
        <v>119</v>
      </c>
    </row>
    <row r="103" ht="15.75" customHeight="1">
      <c r="J103" s="43"/>
      <c r="S103" s="43"/>
    </row>
    <row r="104" ht="15.75" customHeight="1">
      <c r="J104" s="43"/>
      <c r="S104" s="43"/>
    </row>
    <row r="105" ht="15.75" customHeight="1">
      <c r="J105" s="43"/>
      <c r="K105" s="42" t="s">
        <v>120</v>
      </c>
      <c r="L105" s="20"/>
      <c r="M105" s="20"/>
      <c r="N105" s="20"/>
      <c r="O105" s="20"/>
      <c r="P105" s="20"/>
      <c r="Q105" s="20"/>
      <c r="R105" s="21"/>
      <c r="S105" s="43"/>
    </row>
    <row r="106" ht="15.75" customHeight="1">
      <c r="A106" s="57"/>
      <c r="B106" s="42" t="s">
        <v>121</v>
      </c>
      <c r="C106" s="20"/>
      <c r="D106" s="20"/>
      <c r="E106" s="20"/>
      <c r="F106" s="20"/>
      <c r="G106" s="20"/>
      <c r="H106" s="21"/>
      <c r="J106" s="43"/>
      <c r="K106" s="4" t="s">
        <v>42</v>
      </c>
      <c r="L106" s="4" t="s">
        <v>25</v>
      </c>
      <c r="M106" s="4" t="s">
        <v>28</v>
      </c>
      <c r="N106" s="4" t="s">
        <v>9</v>
      </c>
      <c r="O106" s="49" t="s">
        <v>33</v>
      </c>
      <c r="P106" s="4" t="s">
        <v>8</v>
      </c>
      <c r="Q106" s="4" t="s">
        <v>31</v>
      </c>
      <c r="R106" s="4" t="s">
        <v>43</v>
      </c>
      <c r="S106" s="43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</row>
    <row r="107" ht="15.75" customHeight="1">
      <c r="A107" s="57"/>
      <c r="B107" s="72" t="s">
        <v>42</v>
      </c>
      <c r="C107" s="73" t="s">
        <v>25</v>
      </c>
      <c r="D107" s="73" t="s">
        <v>28</v>
      </c>
      <c r="E107" s="73" t="s">
        <v>9</v>
      </c>
      <c r="F107" s="73" t="s">
        <v>33</v>
      </c>
      <c r="G107" s="73" t="s">
        <v>8</v>
      </c>
      <c r="H107" s="73" t="s">
        <v>31</v>
      </c>
      <c r="J107" s="43"/>
      <c r="K107" s="26" t="s">
        <v>25</v>
      </c>
      <c r="L107" s="27">
        <f t="shared" ref="L107:L112" si="121">L56</f>
        <v>0</v>
      </c>
      <c r="M107" s="27">
        <f t="shared" ref="M107:Q107" si="120">M46</f>
        <v>150</v>
      </c>
      <c r="N107" s="27">
        <f t="shared" si="120"/>
        <v>164</v>
      </c>
      <c r="O107" s="27">
        <f t="shared" si="120"/>
        <v>67</v>
      </c>
      <c r="P107" s="27">
        <f t="shared" si="120"/>
        <v>1106</v>
      </c>
      <c r="Q107" s="27">
        <f t="shared" si="120"/>
        <v>115</v>
      </c>
      <c r="R107" s="27">
        <f t="shared" ref="R107:R112" si="123">SUM(L107:Q107)</f>
        <v>1602</v>
      </c>
      <c r="S107" s="43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</row>
    <row r="108" ht="15.75" customHeight="1">
      <c r="A108" s="50"/>
      <c r="B108" s="54" t="s">
        <v>25</v>
      </c>
      <c r="C108" s="74">
        <v>0.0</v>
      </c>
      <c r="D108" s="74">
        <v>0.0</v>
      </c>
      <c r="E108" s="74">
        <v>0.1364918693827453</v>
      </c>
      <c r="F108" s="74">
        <v>0.4641572625400992</v>
      </c>
      <c r="G108" s="74">
        <v>0.9212026781130204</v>
      </c>
      <c r="H108" s="74">
        <v>1.0</v>
      </c>
      <c r="J108" s="43"/>
      <c r="K108" s="26" t="s">
        <v>28</v>
      </c>
      <c r="L108" s="27">
        <f t="shared" si="121"/>
        <v>458</v>
      </c>
      <c r="M108" s="27">
        <f t="shared" ref="M108:Q108" si="122">M47</f>
        <v>0</v>
      </c>
      <c r="N108" s="27">
        <f t="shared" si="122"/>
        <v>53</v>
      </c>
      <c r="O108" s="27">
        <f t="shared" si="122"/>
        <v>11</v>
      </c>
      <c r="P108" s="27">
        <f t="shared" si="122"/>
        <v>330</v>
      </c>
      <c r="Q108" s="27">
        <f t="shared" si="122"/>
        <v>140</v>
      </c>
      <c r="R108" s="27">
        <f t="shared" si="123"/>
        <v>992</v>
      </c>
      <c r="S108" s="43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ht="15.75" customHeight="1">
      <c r="A109" s="50"/>
      <c r="B109" s="54" t="s">
        <v>28</v>
      </c>
      <c r="C109" s="74">
        <v>0.9988169662966084</v>
      </c>
      <c r="D109" s="74">
        <v>0.0</v>
      </c>
      <c r="E109" s="74">
        <v>0.008738309119475958</v>
      </c>
      <c r="F109" s="74">
        <v>0.06872253395043465</v>
      </c>
      <c r="G109" s="74">
        <v>0.3442971058108072</v>
      </c>
      <c r="H109" s="74">
        <v>0.10983109291084395</v>
      </c>
      <c r="J109" s="43"/>
      <c r="K109" s="26" t="s">
        <v>9</v>
      </c>
      <c r="L109" s="27">
        <f t="shared" si="121"/>
        <v>774</v>
      </c>
      <c r="M109" s="27">
        <f t="shared" ref="M109:Q109" si="124">M48</f>
        <v>133</v>
      </c>
      <c r="N109" s="27">
        <f t="shared" si="124"/>
        <v>0</v>
      </c>
      <c r="O109" s="27">
        <f t="shared" si="124"/>
        <v>69</v>
      </c>
      <c r="P109" s="27">
        <f t="shared" si="124"/>
        <v>352</v>
      </c>
      <c r="Q109" s="27">
        <f t="shared" si="124"/>
        <v>98</v>
      </c>
      <c r="R109" s="27">
        <f t="shared" si="123"/>
        <v>1426</v>
      </c>
      <c r="S109" s="43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ht="15.75" customHeight="1">
      <c r="A110" s="50"/>
      <c r="B110" s="54" t="s">
        <v>9</v>
      </c>
      <c r="C110" s="74">
        <v>0.527634066777961</v>
      </c>
      <c r="D110" s="74">
        <v>0.5530235334823489</v>
      </c>
      <c r="E110" s="74">
        <v>0.0</v>
      </c>
      <c r="F110" s="74">
        <v>0.0027778396291823046</v>
      </c>
      <c r="G110" s="74">
        <v>0.073406173853496</v>
      </c>
      <c r="H110" s="74">
        <v>0.3738332350943356</v>
      </c>
      <c r="J110" s="43"/>
      <c r="K110" s="26" t="s">
        <v>33</v>
      </c>
      <c r="L110" s="27">
        <f t="shared" si="121"/>
        <v>141</v>
      </c>
      <c r="M110" s="27">
        <f t="shared" ref="M110:Q110" si="125">M49</f>
        <v>60</v>
      </c>
      <c r="N110" s="27">
        <f t="shared" si="125"/>
        <v>45</v>
      </c>
      <c r="O110" s="27">
        <f t="shared" si="125"/>
        <v>0</v>
      </c>
      <c r="P110" s="27">
        <f t="shared" si="125"/>
        <v>426</v>
      </c>
      <c r="Q110" s="27">
        <f t="shared" si="125"/>
        <v>54</v>
      </c>
      <c r="R110" s="27">
        <f t="shared" si="123"/>
        <v>726</v>
      </c>
      <c r="S110" s="43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ht="15.75" customHeight="1">
      <c r="A111" s="50"/>
      <c r="B111" s="54" t="s">
        <v>33</v>
      </c>
      <c r="C111" s="74">
        <v>0.46146158573890045</v>
      </c>
      <c r="D111" s="74">
        <v>0.9192479523219417</v>
      </c>
      <c r="E111" s="74">
        <v>0.9610693398332255</v>
      </c>
      <c r="F111" s="74">
        <v>0.0</v>
      </c>
      <c r="G111" s="74">
        <v>0.001783125038494299</v>
      </c>
      <c r="H111" s="74">
        <v>0.28979910969495015</v>
      </c>
      <c r="J111" s="43"/>
      <c r="K111" s="26" t="s">
        <v>8</v>
      </c>
      <c r="L111" s="27">
        <f t="shared" si="121"/>
        <v>860</v>
      </c>
      <c r="M111" s="27">
        <f t="shared" ref="M111:Q111" si="126">M50</f>
        <v>607</v>
      </c>
      <c r="N111" s="27">
        <f t="shared" si="126"/>
        <v>732</v>
      </c>
      <c r="O111" s="27">
        <f t="shared" si="126"/>
        <v>130</v>
      </c>
      <c r="P111" s="27">
        <f t="shared" si="126"/>
        <v>0</v>
      </c>
      <c r="Q111" s="27">
        <f t="shared" si="126"/>
        <v>0</v>
      </c>
      <c r="R111" s="27">
        <f t="shared" si="123"/>
        <v>2329</v>
      </c>
      <c r="S111" s="43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ht="15.75" customHeight="1">
      <c r="A112" s="50"/>
      <c r="B112" s="54" t="s">
        <v>8</v>
      </c>
      <c r="C112" s="74">
        <v>0.12722359205841022</v>
      </c>
      <c r="D112" s="74">
        <v>0.3249510787525276</v>
      </c>
      <c r="E112" s="74">
        <v>0.3192085824896564</v>
      </c>
      <c r="F112" s="74">
        <v>0.7540160280225341</v>
      </c>
      <c r="G112" s="74">
        <v>0.0</v>
      </c>
      <c r="H112" s="74">
        <v>0.3505935746262906</v>
      </c>
      <c r="J112" s="43"/>
      <c r="K112" s="26" t="s">
        <v>31</v>
      </c>
      <c r="L112" s="27">
        <f t="shared" si="121"/>
        <v>698</v>
      </c>
      <c r="M112" s="27">
        <f t="shared" ref="M112:Q112" si="127">M51</f>
        <v>548</v>
      </c>
      <c r="N112" s="27">
        <f t="shared" si="127"/>
        <v>744</v>
      </c>
      <c r="O112" s="27">
        <f t="shared" si="127"/>
        <v>148</v>
      </c>
      <c r="P112" s="27">
        <f t="shared" si="127"/>
        <v>0</v>
      </c>
      <c r="Q112" s="27">
        <f t="shared" si="127"/>
        <v>0</v>
      </c>
      <c r="R112" s="27">
        <f t="shared" si="123"/>
        <v>2138</v>
      </c>
      <c r="S112" s="43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ht="15.75" customHeight="1">
      <c r="A113" s="50"/>
      <c r="B113" s="54" t="s">
        <v>31</v>
      </c>
      <c r="C113" s="74">
        <v>0.18944883993373204</v>
      </c>
      <c r="D113" s="74">
        <v>0.4752485318815492</v>
      </c>
      <c r="E113" s="74">
        <v>0.3576035643045301</v>
      </c>
      <c r="F113" s="74">
        <v>0.35397708948965617</v>
      </c>
      <c r="G113" s="74">
        <v>0.7188823475115227</v>
      </c>
      <c r="H113" s="74">
        <v>0.0</v>
      </c>
      <c r="J113" s="43"/>
      <c r="K113" s="32" t="s">
        <v>48</v>
      </c>
      <c r="L113" s="33">
        <f t="shared" ref="L113:R113" si="128">SUM(L107:L112)</f>
        <v>2931</v>
      </c>
      <c r="M113" s="33">
        <f t="shared" si="128"/>
        <v>1498</v>
      </c>
      <c r="N113" s="33">
        <f t="shared" si="128"/>
        <v>1738</v>
      </c>
      <c r="O113" s="33">
        <f t="shared" si="128"/>
        <v>425</v>
      </c>
      <c r="P113" s="33">
        <f t="shared" si="128"/>
        <v>2214</v>
      </c>
      <c r="Q113" s="33">
        <f t="shared" si="128"/>
        <v>407</v>
      </c>
      <c r="R113" s="33">
        <f t="shared" si="128"/>
        <v>9213</v>
      </c>
      <c r="S113" s="43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ht="15.75" customHeight="1">
      <c r="J114" s="43"/>
      <c r="S114" s="43"/>
    </row>
    <row r="115" ht="15.75" customHeight="1">
      <c r="J115" s="43"/>
      <c r="S115" s="43"/>
    </row>
    <row r="116" ht="15.75" customHeight="1">
      <c r="J116" s="43"/>
      <c r="K116" s="42" t="s">
        <v>122</v>
      </c>
      <c r="L116" s="20"/>
      <c r="M116" s="20"/>
      <c r="N116" s="20"/>
      <c r="O116" s="20"/>
      <c r="P116" s="20"/>
      <c r="Q116" s="20"/>
      <c r="R116" s="21"/>
      <c r="S116" s="43"/>
    </row>
    <row r="117" ht="15.75" customHeight="1">
      <c r="J117" s="43"/>
      <c r="K117" s="4" t="s">
        <v>42</v>
      </c>
      <c r="L117" s="4" t="s">
        <v>25</v>
      </c>
      <c r="M117" s="4" t="s">
        <v>28</v>
      </c>
      <c r="N117" s="4" t="s">
        <v>9</v>
      </c>
      <c r="O117" s="49" t="s">
        <v>33</v>
      </c>
      <c r="P117" s="4" t="s">
        <v>8</v>
      </c>
      <c r="Q117" s="4" t="s">
        <v>31</v>
      </c>
      <c r="R117" s="4" t="s">
        <v>43</v>
      </c>
      <c r="S117" s="43"/>
    </row>
    <row r="118" ht="15.75" customHeight="1">
      <c r="J118" s="43"/>
      <c r="K118" s="26" t="s">
        <v>25</v>
      </c>
      <c r="L118" s="27">
        <f t="shared" ref="L118:Q118" si="129">INT(C108*L107)</f>
        <v>0</v>
      </c>
      <c r="M118" s="27">
        <f t="shared" si="129"/>
        <v>0</v>
      </c>
      <c r="N118" s="27">
        <f t="shared" si="129"/>
        <v>22</v>
      </c>
      <c r="O118" s="27">
        <f t="shared" si="129"/>
        <v>31</v>
      </c>
      <c r="P118" s="27">
        <f t="shared" si="129"/>
        <v>1018</v>
      </c>
      <c r="Q118" s="27">
        <f t="shared" si="129"/>
        <v>115</v>
      </c>
      <c r="R118" s="27">
        <f t="shared" ref="R118:R123" si="131">SUM(L118:Q118)</f>
        <v>1186</v>
      </c>
      <c r="S118" s="43"/>
    </row>
    <row r="119" ht="15.75" customHeight="1">
      <c r="J119" s="43"/>
      <c r="K119" s="26" t="s">
        <v>28</v>
      </c>
      <c r="L119" s="27">
        <f t="shared" ref="L119:Q119" si="130">INT(C109*L108)</f>
        <v>457</v>
      </c>
      <c r="M119" s="27">
        <f t="shared" si="130"/>
        <v>0</v>
      </c>
      <c r="N119" s="27">
        <f t="shared" si="130"/>
        <v>0</v>
      </c>
      <c r="O119" s="27">
        <f t="shared" si="130"/>
        <v>0</v>
      </c>
      <c r="P119" s="27">
        <f t="shared" si="130"/>
        <v>113</v>
      </c>
      <c r="Q119" s="27">
        <f t="shared" si="130"/>
        <v>15</v>
      </c>
      <c r="R119" s="27">
        <f t="shared" si="131"/>
        <v>585</v>
      </c>
      <c r="S119" s="43"/>
    </row>
    <row r="120" ht="15.75" customHeight="1">
      <c r="J120" s="43"/>
      <c r="K120" s="26" t="s">
        <v>9</v>
      </c>
      <c r="L120" s="27">
        <f t="shared" ref="L120:Q120" si="132">INT(C110*L109)</f>
        <v>408</v>
      </c>
      <c r="M120" s="27">
        <f t="shared" si="132"/>
        <v>73</v>
      </c>
      <c r="N120" s="27">
        <f t="shared" si="132"/>
        <v>0</v>
      </c>
      <c r="O120" s="27">
        <f t="shared" si="132"/>
        <v>0</v>
      </c>
      <c r="P120" s="27">
        <f t="shared" si="132"/>
        <v>25</v>
      </c>
      <c r="Q120" s="27">
        <f t="shared" si="132"/>
        <v>36</v>
      </c>
      <c r="R120" s="27">
        <f t="shared" si="131"/>
        <v>542</v>
      </c>
      <c r="S120" s="43"/>
    </row>
    <row r="121" ht="15.75" customHeight="1">
      <c r="J121" s="43"/>
      <c r="K121" s="26" t="s">
        <v>33</v>
      </c>
      <c r="L121" s="27">
        <f t="shared" ref="L121:Q121" si="133">INT(C111*L110)</f>
        <v>65</v>
      </c>
      <c r="M121" s="27">
        <f t="shared" si="133"/>
        <v>55</v>
      </c>
      <c r="N121" s="27">
        <f t="shared" si="133"/>
        <v>43</v>
      </c>
      <c r="O121" s="27">
        <f t="shared" si="133"/>
        <v>0</v>
      </c>
      <c r="P121" s="27">
        <f t="shared" si="133"/>
        <v>0</v>
      </c>
      <c r="Q121" s="27">
        <f t="shared" si="133"/>
        <v>15</v>
      </c>
      <c r="R121" s="27">
        <f t="shared" si="131"/>
        <v>178</v>
      </c>
      <c r="S121" s="43"/>
    </row>
    <row r="122" ht="15.75" customHeight="1">
      <c r="J122" s="43"/>
      <c r="K122" s="26" t="s">
        <v>8</v>
      </c>
      <c r="L122" s="27">
        <f t="shared" ref="L122:Q122" si="134">INT(C112*L111)</f>
        <v>109</v>
      </c>
      <c r="M122" s="27">
        <f t="shared" si="134"/>
        <v>197</v>
      </c>
      <c r="N122" s="27">
        <f t="shared" si="134"/>
        <v>233</v>
      </c>
      <c r="O122" s="27">
        <f t="shared" si="134"/>
        <v>98</v>
      </c>
      <c r="P122" s="27">
        <f t="shared" si="134"/>
        <v>0</v>
      </c>
      <c r="Q122" s="27">
        <f t="shared" si="134"/>
        <v>0</v>
      </c>
      <c r="R122" s="27">
        <f t="shared" si="131"/>
        <v>637</v>
      </c>
      <c r="S122" s="43"/>
    </row>
    <row r="123" ht="15.75" customHeight="1">
      <c r="J123" s="43"/>
      <c r="K123" s="26" t="s">
        <v>31</v>
      </c>
      <c r="L123" s="27">
        <f t="shared" ref="L123:Q123" si="135">INT(C113*L112)</f>
        <v>132</v>
      </c>
      <c r="M123" s="27">
        <f t="shared" si="135"/>
        <v>260</v>
      </c>
      <c r="N123" s="27">
        <f t="shared" si="135"/>
        <v>266</v>
      </c>
      <c r="O123" s="27">
        <f t="shared" si="135"/>
        <v>52</v>
      </c>
      <c r="P123" s="27">
        <f t="shared" si="135"/>
        <v>0</v>
      </c>
      <c r="Q123" s="27">
        <f t="shared" si="135"/>
        <v>0</v>
      </c>
      <c r="R123" s="27">
        <f t="shared" si="131"/>
        <v>710</v>
      </c>
      <c r="S123" s="43"/>
    </row>
    <row r="124" ht="15.75" customHeight="1">
      <c r="J124" s="43"/>
      <c r="K124" s="32" t="s">
        <v>48</v>
      </c>
      <c r="L124" s="33">
        <f t="shared" ref="L124:R124" si="136">SUM(L118:L123)</f>
        <v>1171</v>
      </c>
      <c r="M124" s="33">
        <f t="shared" si="136"/>
        <v>585</v>
      </c>
      <c r="N124" s="33">
        <f t="shared" si="136"/>
        <v>564</v>
      </c>
      <c r="O124" s="33">
        <f t="shared" si="136"/>
        <v>181</v>
      </c>
      <c r="P124" s="33">
        <f t="shared" si="136"/>
        <v>1156</v>
      </c>
      <c r="Q124" s="33">
        <f t="shared" si="136"/>
        <v>181</v>
      </c>
      <c r="R124" s="33">
        <f t="shared" si="136"/>
        <v>3838</v>
      </c>
      <c r="S124" s="43"/>
    </row>
    <row r="125" ht="15.75" customHeight="1">
      <c r="A125" s="57"/>
      <c r="B125" s="42" t="s">
        <v>78</v>
      </c>
      <c r="C125" s="20"/>
      <c r="D125" s="20"/>
      <c r="E125" s="20"/>
      <c r="F125" s="20"/>
      <c r="G125" s="20"/>
      <c r="H125" s="58"/>
      <c r="J125" s="43"/>
      <c r="S125" s="43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</row>
    <row r="126" ht="15.75" customHeight="1">
      <c r="A126" s="48"/>
      <c r="B126" s="4" t="s">
        <v>42</v>
      </c>
      <c r="C126" s="4" t="s">
        <v>25</v>
      </c>
      <c r="D126" s="4" t="s">
        <v>28</v>
      </c>
      <c r="E126" s="4" t="s">
        <v>9</v>
      </c>
      <c r="F126" s="49" t="s">
        <v>33</v>
      </c>
      <c r="G126" s="4" t="s">
        <v>8</v>
      </c>
      <c r="H126" s="4" t="s">
        <v>31</v>
      </c>
      <c r="J126" s="43"/>
      <c r="S126" s="43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</row>
    <row r="127" ht="15.75" customHeight="1">
      <c r="A127" s="50"/>
      <c r="B127" s="26" t="s">
        <v>25</v>
      </c>
      <c r="C127" s="56">
        <f t="shared" ref="C127:H127" si="137">C76*L118</f>
        <v>0</v>
      </c>
      <c r="D127" s="56" t="str">
        <f t="shared" si="137"/>
        <v>#NAME?</v>
      </c>
      <c r="E127" s="56" t="str">
        <f t="shared" si="137"/>
        <v>#NAME?</v>
      </c>
      <c r="F127" s="56" t="str">
        <f t="shared" si="137"/>
        <v>#NAME?</v>
      </c>
      <c r="G127" s="56" t="str">
        <f t="shared" si="137"/>
        <v>#NAME?</v>
      </c>
      <c r="H127" s="56" t="str">
        <f t="shared" si="137"/>
        <v>#NAME?</v>
      </c>
      <c r="J127" s="43"/>
      <c r="K127" s="42" t="s">
        <v>123</v>
      </c>
      <c r="L127" s="20"/>
      <c r="M127" s="20"/>
      <c r="N127" s="20"/>
      <c r="O127" s="20"/>
      <c r="P127" s="20"/>
      <c r="Q127" s="20"/>
      <c r="R127" s="21"/>
      <c r="S127" s="43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ht="15.75" customHeight="1">
      <c r="A128" s="50"/>
      <c r="B128" s="26" t="s">
        <v>28</v>
      </c>
      <c r="C128" s="56" t="str">
        <f t="shared" ref="C128:H128" si="138">C77*L119</f>
        <v>#NAME?</v>
      </c>
      <c r="D128" s="56">
        <f t="shared" si="138"/>
        <v>0</v>
      </c>
      <c r="E128" s="56" t="str">
        <f t="shared" si="138"/>
        <v>#NAME?</v>
      </c>
      <c r="F128" s="56" t="str">
        <f t="shared" si="138"/>
        <v>#NAME?</v>
      </c>
      <c r="G128" s="56" t="str">
        <f t="shared" si="138"/>
        <v>#NAME?</v>
      </c>
      <c r="H128" s="56" t="str">
        <f t="shared" si="138"/>
        <v>#NAME?</v>
      </c>
      <c r="J128" s="43"/>
      <c r="K128" s="4" t="s">
        <v>42</v>
      </c>
      <c r="L128" s="4" t="s">
        <v>25</v>
      </c>
      <c r="M128" s="4" t="s">
        <v>28</v>
      </c>
      <c r="N128" s="4" t="s">
        <v>9</v>
      </c>
      <c r="O128" s="49" t="s">
        <v>33</v>
      </c>
      <c r="P128" s="4" t="s">
        <v>8</v>
      </c>
      <c r="Q128" s="4" t="s">
        <v>31</v>
      </c>
      <c r="R128" s="4" t="s">
        <v>43</v>
      </c>
      <c r="S128" s="43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ht="15.75" customHeight="1">
      <c r="A129" s="50"/>
      <c r="B129" s="26" t="s">
        <v>9</v>
      </c>
      <c r="C129" s="56" t="str">
        <f t="shared" ref="C129:H129" si="139">C78*L120</f>
        <v>#NAME?</v>
      </c>
      <c r="D129" s="56" t="str">
        <f t="shared" si="139"/>
        <v>#NAME?</v>
      </c>
      <c r="E129" s="56">
        <f t="shared" si="139"/>
        <v>0</v>
      </c>
      <c r="F129" s="56" t="str">
        <f t="shared" si="139"/>
        <v>#NAME?</v>
      </c>
      <c r="G129" s="56" t="str">
        <f t="shared" si="139"/>
        <v>#NAME?</v>
      </c>
      <c r="H129" s="56" t="str">
        <f t="shared" si="139"/>
        <v>#NAME?</v>
      </c>
      <c r="J129" s="43"/>
      <c r="K129" s="26" t="s">
        <v>25</v>
      </c>
      <c r="L129" s="27">
        <f t="shared" ref="L129:Q129" si="140">L118*28</f>
        <v>0</v>
      </c>
      <c r="M129" s="75">
        <f t="shared" si="140"/>
        <v>0</v>
      </c>
      <c r="N129" s="75">
        <f t="shared" si="140"/>
        <v>616</v>
      </c>
      <c r="O129" s="75">
        <f t="shared" si="140"/>
        <v>868</v>
      </c>
      <c r="P129" s="75">
        <f t="shared" si="140"/>
        <v>28504</v>
      </c>
      <c r="Q129" s="75">
        <f t="shared" si="140"/>
        <v>3220</v>
      </c>
      <c r="R129" s="27">
        <f t="shared" ref="R129:R134" si="143">SUM(L129:Q129)</f>
        <v>33208</v>
      </c>
      <c r="S129" s="43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ht="15.75" customHeight="1">
      <c r="A130" s="50"/>
      <c r="B130" s="26" t="s">
        <v>33</v>
      </c>
      <c r="C130" s="56" t="str">
        <f t="shared" ref="C130:H130" si="141">C79*L121</f>
        <v>#NAME?</v>
      </c>
      <c r="D130" s="56" t="str">
        <f t="shared" si="141"/>
        <v>#NAME?</v>
      </c>
      <c r="E130" s="56" t="str">
        <f t="shared" si="141"/>
        <v>#NAME?</v>
      </c>
      <c r="F130" s="56">
        <f t="shared" si="141"/>
        <v>0</v>
      </c>
      <c r="G130" s="56">
        <f t="shared" si="141"/>
        <v>0</v>
      </c>
      <c r="H130" s="56" t="str">
        <f t="shared" si="141"/>
        <v>#NAME?</v>
      </c>
      <c r="J130" s="43"/>
      <c r="K130" s="26" t="s">
        <v>28</v>
      </c>
      <c r="L130" s="27">
        <f t="shared" ref="L130:Q130" si="142">L119*28</f>
        <v>12796</v>
      </c>
      <c r="M130" s="75">
        <f t="shared" si="142"/>
        <v>0</v>
      </c>
      <c r="N130" s="75">
        <f t="shared" si="142"/>
        <v>0</v>
      </c>
      <c r="O130" s="75">
        <f t="shared" si="142"/>
        <v>0</v>
      </c>
      <c r="P130" s="75">
        <f t="shared" si="142"/>
        <v>3164</v>
      </c>
      <c r="Q130" s="75">
        <f t="shared" si="142"/>
        <v>420</v>
      </c>
      <c r="R130" s="27">
        <f t="shared" si="143"/>
        <v>16380</v>
      </c>
      <c r="S130" s="43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ht="15.75" customHeight="1">
      <c r="A131" s="50"/>
      <c r="B131" s="26" t="s">
        <v>8</v>
      </c>
      <c r="C131" s="56" t="str">
        <f t="shared" ref="C131:H131" si="144">C80*L122</f>
        <v>#NAME?</v>
      </c>
      <c r="D131" s="56" t="str">
        <f t="shared" si="144"/>
        <v>#NAME?</v>
      </c>
      <c r="E131" s="56" t="str">
        <f t="shared" si="144"/>
        <v>#NAME?</v>
      </c>
      <c r="F131" s="56" t="str">
        <f t="shared" si="144"/>
        <v>#NAME?</v>
      </c>
      <c r="G131" s="56">
        <f t="shared" si="144"/>
        <v>0</v>
      </c>
      <c r="H131" s="56">
        <f t="shared" si="144"/>
        <v>0</v>
      </c>
      <c r="J131" s="43"/>
      <c r="K131" s="26" t="s">
        <v>9</v>
      </c>
      <c r="L131" s="27">
        <f t="shared" ref="L131:Q131" si="145">L120*28</f>
        <v>11424</v>
      </c>
      <c r="M131" s="75">
        <f t="shared" si="145"/>
        <v>2044</v>
      </c>
      <c r="N131" s="75">
        <f t="shared" si="145"/>
        <v>0</v>
      </c>
      <c r="O131" s="75">
        <f t="shared" si="145"/>
        <v>0</v>
      </c>
      <c r="P131" s="75">
        <f t="shared" si="145"/>
        <v>700</v>
      </c>
      <c r="Q131" s="75">
        <f t="shared" si="145"/>
        <v>1008</v>
      </c>
      <c r="R131" s="27">
        <f t="shared" si="143"/>
        <v>15176</v>
      </c>
      <c r="S131" s="43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ht="15.75" customHeight="1">
      <c r="A132" s="50"/>
      <c r="B132" s="26" t="s">
        <v>31</v>
      </c>
      <c r="C132" s="56" t="str">
        <f t="shared" ref="C132:H132" si="146">C81*L123</f>
        <v>#NAME?</v>
      </c>
      <c r="D132" s="56" t="str">
        <f t="shared" si="146"/>
        <v>#NAME?</v>
      </c>
      <c r="E132" s="56" t="str">
        <f t="shared" si="146"/>
        <v>#NAME?</v>
      </c>
      <c r="F132" s="56" t="str">
        <f t="shared" si="146"/>
        <v>#NAME?</v>
      </c>
      <c r="G132" s="56">
        <f t="shared" si="146"/>
        <v>0</v>
      </c>
      <c r="H132" s="56">
        <f t="shared" si="146"/>
        <v>0</v>
      </c>
      <c r="J132" s="43"/>
      <c r="K132" s="26" t="s">
        <v>33</v>
      </c>
      <c r="L132" s="27">
        <f t="shared" ref="L132:Q132" si="147">L121*28</f>
        <v>1820</v>
      </c>
      <c r="M132" s="75">
        <f t="shared" si="147"/>
        <v>1540</v>
      </c>
      <c r="N132" s="75">
        <f t="shared" si="147"/>
        <v>1204</v>
      </c>
      <c r="O132" s="75">
        <f t="shared" si="147"/>
        <v>0</v>
      </c>
      <c r="P132" s="75">
        <f t="shared" si="147"/>
        <v>0</v>
      </c>
      <c r="Q132" s="75">
        <f t="shared" si="147"/>
        <v>420</v>
      </c>
      <c r="R132" s="27">
        <f t="shared" si="143"/>
        <v>4984</v>
      </c>
      <c r="S132" s="43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ht="15.75" customHeight="1">
      <c r="H133" s="29" t="s">
        <v>124</v>
      </c>
      <c r="I133" s="2" t="str">
        <f>SUM(C127:H132)</f>
        <v>#NAME?</v>
      </c>
      <c r="J133" s="43"/>
      <c r="K133" s="26" t="s">
        <v>8</v>
      </c>
      <c r="L133" s="27">
        <f t="shared" ref="L133:Q133" si="148">L122*28</f>
        <v>3052</v>
      </c>
      <c r="M133" s="27">
        <f t="shared" si="148"/>
        <v>5516</v>
      </c>
      <c r="N133" s="27">
        <f t="shared" si="148"/>
        <v>6524</v>
      </c>
      <c r="O133" s="27">
        <f t="shared" si="148"/>
        <v>2744</v>
      </c>
      <c r="P133" s="27">
        <f t="shared" si="148"/>
        <v>0</v>
      </c>
      <c r="Q133" s="27">
        <f t="shared" si="148"/>
        <v>0</v>
      </c>
      <c r="R133" s="27">
        <f t="shared" si="143"/>
        <v>17836</v>
      </c>
      <c r="S133" s="43"/>
    </row>
    <row r="134" ht="15.75" customHeight="1">
      <c r="H134" s="29" t="s">
        <v>67</v>
      </c>
      <c r="I134" s="2" t="str">
        <f>I133*52</f>
        <v>#NAME?</v>
      </c>
      <c r="J134" s="43"/>
      <c r="K134" s="26" t="s">
        <v>31</v>
      </c>
      <c r="L134" s="27">
        <f t="shared" ref="L134:Q134" si="149">L123*28</f>
        <v>3696</v>
      </c>
      <c r="M134" s="27">
        <f t="shared" si="149"/>
        <v>7280</v>
      </c>
      <c r="N134" s="27">
        <f t="shared" si="149"/>
        <v>7448</v>
      </c>
      <c r="O134" s="27">
        <f t="shared" si="149"/>
        <v>1456</v>
      </c>
      <c r="P134" s="27">
        <f t="shared" si="149"/>
        <v>0</v>
      </c>
      <c r="Q134" s="27">
        <f t="shared" si="149"/>
        <v>0</v>
      </c>
      <c r="R134" s="27">
        <f t="shared" si="143"/>
        <v>19880</v>
      </c>
      <c r="S134" s="43"/>
    </row>
    <row r="135" ht="15.75" customHeight="1">
      <c r="J135" s="43"/>
      <c r="K135" s="32" t="s">
        <v>48</v>
      </c>
      <c r="L135" s="33">
        <f t="shared" ref="L135:R135" si="150">SUM(L129:L134)</f>
        <v>32788</v>
      </c>
      <c r="M135" s="33">
        <f t="shared" si="150"/>
        <v>16380</v>
      </c>
      <c r="N135" s="33">
        <f t="shared" si="150"/>
        <v>15792</v>
      </c>
      <c r="O135" s="33">
        <f t="shared" si="150"/>
        <v>5068</v>
      </c>
      <c r="P135" s="33">
        <f t="shared" si="150"/>
        <v>32368</v>
      </c>
      <c r="Q135" s="33">
        <f t="shared" si="150"/>
        <v>5068</v>
      </c>
      <c r="R135" s="33">
        <f t="shared" si="150"/>
        <v>107464</v>
      </c>
      <c r="S135" s="43"/>
    </row>
    <row r="136" ht="15.75" customHeight="1">
      <c r="J136" s="43"/>
      <c r="S136" s="43"/>
    </row>
    <row r="137" ht="15.75" customHeight="1">
      <c r="H137" s="2"/>
      <c r="J137" s="43"/>
      <c r="S137" s="43"/>
    </row>
    <row r="138" ht="15.75" customHeight="1">
      <c r="J138" s="43"/>
      <c r="S138" s="43"/>
    </row>
    <row r="139" ht="15.75" customHeight="1">
      <c r="J139" s="43"/>
      <c r="S139" s="43"/>
    </row>
    <row r="140" ht="15.75" customHeight="1">
      <c r="J140" s="43"/>
      <c r="S140" s="43"/>
    </row>
    <row r="141" ht="15.75" customHeight="1">
      <c r="J141" s="43"/>
      <c r="S141" s="43"/>
    </row>
    <row r="142" ht="15.75" customHeight="1">
      <c r="J142" s="43"/>
      <c r="S142" s="43"/>
    </row>
    <row r="143" ht="15.75" customHeight="1">
      <c r="J143" s="43"/>
      <c r="S143" s="43"/>
    </row>
    <row r="144" ht="15.75" customHeight="1">
      <c r="J144" s="43"/>
      <c r="S144" s="43"/>
    </row>
    <row r="145" ht="15.75" customHeight="1">
      <c r="J145" s="43"/>
      <c r="S145" s="43"/>
    </row>
    <row r="146" ht="15.75" customHeight="1">
      <c r="J146" s="43"/>
      <c r="S146" s="43"/>
    </row>
    <row r="147" ht="15.75" customHeight="1">
      <c r="J147" s="43"/>
      <c r="S147" s="43"/>
    </row>
    <row r="148" ht="15.75" customHeight="1">
      <c r="J148" s="43"/>
      <c r="S148" s="43"/>
    </row>
    <row r="149" ht="15.75" customHeight="1">
      <c r="J149" s="43"/>
      <c r="S149" s="43"/>
    </row>
    <row r="150" ht="15.75" customHeight="1">
      <c r="J150" s="43"/>
      <c r="S150" s="43"/>
    </row>
    <row r="151" ht="15.75" customHeight="1"/>
    <row r="152" ht="15.75" customHeight="1"/>
    <row r="153" ht="15.75" customHeight="1"/>
    <row r="154" ht="15.0" customHeight="1">
      <c r="J154" s="42" t="s">
        <v>125</v>
      </c>
      <c r="K154" s="20"/>
      <c r="L154" s="20"/>
      <c r="M154" s="20"/>
      <c r="N154" s="58"/>
    </row>
    <row r="155" ht="15.0" customHeight="1">
      <c r="J155" s="76"/>
      <c r="K155" s="4" t="s">
        <v>29</v>
      </c>
      <c r="L155" s="4" t="s">
        <v>36</v>
      </c>
      <c r="M155" s="4" t="s">
        <v>7</v>
      </c>
      <c r="N155" s="49" t="s">
        <v>126</v>
      </c>
    </row>
    <row r="156" ht="15.0" customHeight="1">
      <c r="D156" s="29" t="s">
        <v>127</v>
      </c>
      <c r="J156" s="77" t="s">
        <v>128</v>
      </c>
      <c r="K156" s="78">
        <f>0.8*4.99</f>
        <v>3.992</v>
      </c>
      <c r="L156" s="79">
        <f>12*4.99</f>
        <v>59.88</v>
      </c>
      <c r="M156" s="79">
        <f>1.2*4.99</f>
        <v>5.988</v>
      </c>
      <c r="N156" s="79">
        <f>17*4.99</f>
        <v>84.83</v>
      </c>
    </row>
    <row r="157" ht="15.0" customHeight="1">
      <c r="D157" s="29" t="s">
        <v>129</v>
      </c>
      <c r="E157" s="29" t="s">
        <v>130</v>
      </c>
      <c r="F157" s="29" t="s">
        <v>131</v>
      </c>
      <c r="J157" s="77" t="s">
        <v>132</v>
      </c>
      <c r="K157" s="80">
        <f>3*(AA12+SUM(AD6:AD9))</f>
        <v>2495.220961</v>
      </c>
      <c r="L157" s="75">
        <f>AA22*3</f>
        <v>1.682285803</v>
      </c>
      <c r="M157" s="75">
        <f>(AA32+SUM(AD27:AD30))*3</f>
        <v>9920.522518</v>
      </c>
      <c r="N157" s="75">
        <f>3*(AA42+SUM(AD36:AD38))</f>
        <v>913.1170924</v>
      </c>
    </row>
    <row r="158" ht="15.0" customHeight="1">
      <c r="D158" s="29" t="s">
        <v>133</v>
      </c>
      <c r="E158" s="29" t="s">
        <v>130</v>
      </c>
      <c r="J158" s="77" t="s">
        <v>134</v>
      </c>
      <c r="K158" s="80">
        <f>K156*K157*365</f>
        <v>3635736.558</v>
      </c>
      <c r="L158" s="81" t="s">
        <v>135</v>
      </c>
      <c r="M158" s="75">
        <f t="shared" ref="M158:N158" si="151">M156*M157*365</f>
        <v>21682492.43</v>
      </c>
      <c r="N158" s="75">
        <f t="shared" si="151"/>
        <v>28272798.88</v>
      </c>
    </row>
    <row r="159" ht="15.0" customHeight="1">
      <c r="D159" s="29" t="s">
        <v>136</v>
      </c>
      <c r="J159" s="50"/>
    </row>
    <row r="160" ht="15.0" customHeight="1">
      <c r="D160" s="29" t="s">
        <v>137</v>
      </c>
    </row>
    <row r="161" ht="15.0" customHeight="1">
      <c r="D161" s="29" t="s">
        <v>138</v>
      </c>
    </row>
    <row r="162" ht="15.0" customHeight="1">
      <c r="D162" s="29" t="s">
        <v>139</v>
      </c>
      <c r="F162" s="29" t="s">
        <v>140</v>
      </c>
    </row>
    <row r="163" ht="15.0" customHeight="1">
      <c r="D163" s="29" t="s">
        <v>141</v>
      </c>
      <c r="E163" s="29" t="s">
        <v>131</v>
      </c>
    </row>
    <row r="164" ht="15.0" customHeight="1">
      <c r="J164" s="29">
        <f>2*5.6748</f>
        <v>11.3496</v>
      </c>
      <c r="L164" s="29">
        <f>2*496.5</f>
        <v>993</v>
      </c>
    </row>
    <row r="165" ht="15.75" customHeight="1"/>
    <row r="166" ht="15.75" customHeight="1"/>
    <row r="167" ht="15.75" customHeight="1"/>
    <row r="168" ht="15.75" customHeight="1"/>
    <row r="169" ht="15.0" customHeight="1">
      <c r="J169" s="42" t="s">
        <v>142</v>
      </c>
      <c r="K169" s="20"/>
      <c r="L169" s="20"/>
      <c r="M169" s="20"/>
      <c r="N169" s="20"/>
      <c r="O169" s="20"/>
      <c r="P169" s="58"/>
    </row>
    <row r="170" ht="15.0" customHeight="1">
      <c r="J170" s="4" t="s">
        <v>42</v>
      </c>
      <c r="K170" s="4" t="s">
        <v>25</v>
      </c>
      <c r="L170" s="4" t="s">
        <v>28</v>
      </c>
      <c r="M170" s="4" t="s">
        <v>9</v>
      </c>
      <c r="N170" s="49" t="s">
        <v>33</v>
      </c>
      <c r="O170" s="4" t="s">
        <v>8</v>
      </c>
      <c r="P170" s="4" t="s">
        <v>31</v>
      </c>
    </row>
    <row r="171" ht="15.0" customHeight="1">
      <c r="J171" s="26" t="s">
        <v>25</v>
      </c>
      <c r="K171" s="27"/>
      <c r="L171" s="27">
        <f>K172</f>
        <v>1787.472</v>
      </c>
      <c r="M171" s="27">
        <f>K173</f>
        <v>1685.3256</v>
      </c>
      <c r="N171" s="27">
        <f>K174</f>
        <v>1219.992</v>
      </c>
      <c r="O171" s="27">
        <f>K175</f>
        <v>2241.456</v>
      </c>
      <c r="P171" s="36">
        <f>K176</f>
        <v>4034.6928</v>
      </c>
    </row>
    <row r="172" ht="15.0" customHeight="1">
      <c r="A172" s="82" t="s">
        <v>143</v>
      </c>
      <c r="B172" s="82" t="s">
        <v>144</v>
      </c>
      <c r="C172" s="82" t="s">
        <v>44</v>
      </c>
      <c r="D172" s="82" t="s">
        <v>145</v>
      </c>
      <c r="E172" s="83" t="s">
        <v>146</v>
      </c>
      <c r="F172" s="84" t="s">
        <v>147</v>
      </c>
      <c r="J172" s="26" t="s">
        <v>28</v>
      </c>
      <c r="K172" s="27">
        <f>(F176+F173)*J164+L164</f>
        <v>1787.472</v>
      </c>
      <c r="L172" s="27"/>
      <c r="M172" s="27">
        <f>L173</f>
        <v>2252.8056</v>
      </c>
      <c r="N172" s="27">
        <f>L174</f>
        <v>1787.472</v>
      </c>
      <c r="O172" s="27">
        <f>L175</f>
        <v>2808.936</v>
      </c>
      <c r="P172" s="36">
        <f>L176</f>
        <v>4602.1728</v>
      </c>
    </row>
    <row r="173" ht="15.0" customHeight="1">
      <c r="A173" s="85" t="s">
        <v>25</v>
      </c>
      <c r="B173" s="86" t="s">
        <v>148</v>
      </c>
      <c r="C173" s="85" t="s">
        <v>149</v>
      </c>
      <c r="D173" s="85" t="s">
        <v>150</v>
      </c>
      <c r="E173" s="87" t="s">
        <v>151</v>
      </c>
      <c r="F173" s="88">
        <v>10.0</v>
      </c>
      <c r="J173" s="26" t="s">
        <v>9</v>
      </c>
      <c r="K173" s="27">
        <f>(F177+F173)*J164+L164</f>
        <v>1685.3256</v>
      </c>
      <c r="L173" s="27">
        <f>(F177+F176)*J164+L164</f>
        <v>2252.8056</v>
      </c>
      <c r="M173" s="27"/>
      <c r="N173" s="27">
        <f>M174</f>
        <v>1685.3256</v>
      </c>
      <c r="O173" s="27">
        <f>M175</f>
        <v>2706.7896</v>
      </c>
      <c r="P173" s="36">
        <f>M176</f>
        <v>4500.0264</v>
      </c>
    </row>
    <row r="174" ht="15.0" customHeight="1">
      <c r="A174" s="89" t="s">
        <v>34</v>
      </c>
      <c r="B174" s="90" t="s">
        <v>152</v>
      </c>
      <c r="C174" s="89" t="s">
        <v>153</v>
      </c>
      <c r="D174" s="89" t="s">
        <v>154</v>
      </c>
      <c r="E174" s="91" t="s">
        <v>155</v>
      </c>
      <c r="F174" s="92">
        <v>115.0</v>
      </c>
      <c r="J174" s="26" t="s">
        <v>33</v>
      </c>
      <c r="K174" s="27">
        <f>(F178+F173)*J164+L164</f>
        <v>1219.992</v>
      </c>
      <c r="L174" s="27">
        <f>(F178+F176)*J164+L164</f>
        <v>1787.472</v>
      </c>
      <c r="M174" s="27">
        <f>(F178+F177)*J164+L164</f>
        <v>1685.3256</v>
      </c>
      <c r="N174" s="27"/>
      <c r="O174" s="27">
        <f>N175</f>
        <v>2241.456</v>
      </c>
      <c r="P174" s="36">
        <f>N176</f>
        <v>4034.6928</v>
      </c>
    </row>
    <row r="175" ht="15.0" customHeight="1">
      <c r="A175" s="89" t="s">
        <v>35</v>
      </c>
      <c r="B175" s="90" t="s">
        <v>156</v>
      </c>
      <c r="C175" s="89" t="s">
        <v>157</v>
      </c>
      <c r="D175" s="89" t="s">
        <v>158</v>
      </c>
      <c r="E175" s="91" t="s">
        <v>159</v>
      </c>
      <c r="F175" s="92">
        <v>15.0</v>
      </c>
      <c r="J175" s="26" t="s">
        <v>8</v>
      </c>
      <c r="K175" s="27">
        <f>(F182+F173)*J164+L164</f>
        <v>2241.456</v>
      </c>
      <c r="L175" s="27">
        <f>(F182+F176)*J164+L164</f>
        <v>2808.936</v>
      </c>
      <c r="M175" s="27">
        <f>(F182+F177)*J164+L164</f>
        <v>2706.7896</v>
      </c>
      <c r="N175" s="27">
        <f>(F182+F178)*J164+L164</f>
        <v>2241.456</v>
      </c>
      <c r="O175" s="27"/>
      <c r="P175" s="36">
        <f>O176</f>
        <v>5056.1568</v>
      </c>
    </row>
    <row r="176" ht="15.0" customHeight="1">
      <c r="A176" s="85" t="s">
        <v>28</v>
      </c>
      <c r="B176" s="86" t="s">
        <v>160</v>
      </c>
      <c r="C176" s="85" t="s">
        <v>161</v>
      </c>
      <c r="D176" s="85" t="s">
        <v>162</v>
      </c>
      <c r="E176" s="87" t="s">
        <v>163</v>
      </c>
      <c r="F176" s="86">
        <v>60.0</v>
      </c>
      <c r="J176" s="26" t="s">
        <v>31</v>
      </c>
      <c r="K176" s="36">
        <f>(F184+F173)*J164+L164</f>
        <v>4034.6928</v>
      </c>
      <c r="L176" s="36">
        <f>(F184+F176)*J164+L164</f>
        <v>4602.1728</v>
      </c>
      <c r="M176" s="36">
        <f>(F184+F177)*J164+L164</f>
        <v>4500.0264</v>
      </c>
      <c r="N176" s="36">
        <f>(F184+F178)*J164+L164</f>
        <v>4034.6928</v>
      </c>
      <c r="O176" s="36">
        <f>(F184+F182)*J164+L164</f>
        <v>5056.1568</v>
      </c>
      <c r="P176" s="27"/>
    </row>
    <row r="177" ht="15.0" customHeight="1">
      <c r="A177" s="85" t="s">
        <v>9</v>
      </c>
      <c r="B177" s="86" t="s">
        <v>164</v>
      </c>
      <c r="C177" s="85" t="s">
        <v>165</v>
      </c>
      <c r="D177" s="85" t="s">
        <v>166</v>
      </c>
      <c r="E177" s="87" t="s">
        <v>167</v>
      </c>
      <c r="F177" s="86">
        <v>51.0</v>
      </c>
    </row>
    <row r="178" ht="15.0" customHeight="1">
      <c r="A178" s="85" t="s">
        <v>33</v>
      </c>
      <c r="B178" s="86" t="s">
        <v>168</v>
      </c>
      <c r="C178" s="85" t="s">
        <v>169</v>
      </c>
      <c r="D178" s="85" t="s">
        <v>170</v>
      </c>
      <c r="E178" s="87" t="s">
        <v>171</v>
      </c>
      <c r="F178" s="86">
        <v>10.0</v>
      </c>
    </row>
    <row r="179" ht="15.0" customHeight="1">
      <c r="A179" s="89" t="s">
        <v>11</v>
      </c>
      <c r="B179" s="90" t="s">
        <v>172</v>
      </c>
      <c r="C179" s="89" t="s">
        <v>173</v>
      </c>
      <c r="D179" s="89" t="s">
        <v>174</v>
      </c>
      <c r="E179" s="91" t="s">
        <v>175</v>
      </c>
      <c r="F179" s="92">
        <v>12.0</v>
      </c>
    </row>
    <row r="180" ht="15.0" customHeight="1">
      <c r="A180" s="89" t="s">
        <v>10</v>
      </c>
      <c r="B180" s="90" t="s">
        <v>176</v>
      </c>
      <c r="C180" s="89" t="s">
        <v>177</v>
      </c>
      <c r="D180" s="89" t="s">
        <v>178</v>
      </c>
      <c r="E180" s="91" t="s">
        <v>179</v>
      </c>
      <c r="F180" s="92">
        <v>100.0</v>
      </c>
    </row>
    <row r="181" ht="15.0" customHeight="1">
      <c r="A181" s="93" t="s">
        <v>10</v>
      </c>
      <c r="B181" s="94" t="s">
        <v>176</v>
      </c>
      <c r="C181" s="93" t="s">
        <v>180</v>
      </c>
      <c r="D181" s="93" t="s">
        <v>181</v>
      </c>
      <c r="E181" s="95" t="s">
        <v>182</v>
      </c>
      <c r="F181" s="96">
        <v>10.0</v>
      </c>
      <c r="J181" s="42" t="s">
        <v>183</v>
      </c>
      <c r="K181" s="20"/>
      <c r="L181" s="20"/>
      <c r="M181" s="20"/>
      <c r="N181" s="20"/>
      <c r="O181" s="20"/>
      <c r="P181" s="20"/>
      <c r="Q181" s="21"/>
    </row>
    <row r="182" ht="15.0" customHeight="1">
      <c r="A182" s="85" t="s">
        <v>8</v>
      </c>
      <c r="B182" s="86" t="s">
        <v>184</v>
      </c>
      <c r="C182" s="85" t="s">
        <v>185</v>
      </c>
      <c r="D182" s="85" t="s">
        <v>186</v>
      </c>
      <c r="E182" s="87" t="s">
        <v>187</v>
      </c>
      <c r="F182" s="88">
        <v>100.0</v>
      </c>
      <c r="J182" s="4" t="s">
        <v>42</v>
      </c>
      <c r="K182" s="4" t="s">
        <v>25</v>
      </c>
      <c r="L182" s="4" t="s">
        <v>28</v>
      </c>
      <c r="M182" s="4" t="s">
        <v>9</v>
      </c>
      <c r="N182" s="49" t="s">
        <v>33</v>
      </c>
      <c r="O182" s="4" t="s">
        <v>8</v>
      </c>
      <c r="P182" s="4" t="s">
        <v>31</v>
      </c>
      <c r="Q182" s="4" t="s">
        <v>43</v>
      </c>
    </row>
    <row r="183" ht="15.0" customHeight="1">
      <c r="A183" s="89" t="s">
        <v>24</v>
      </c>
      <c r="B183" s="90" t="s">
        <v>188</v>
      </c>
      <c r="C183" s="89" t="s">
        <v>189</v>
      </c>
      <c r="D183" s="89" t="s">
        <v>190</v>
      </c>
      <c r="E183" s="91" t="s">
        <v>191</v>
      </c>
      <c r="F183" s="92">
        <v>95.0</v>
      </c>
      <c r="J183" s="26" t="s">
        <v>25</v>
      </c>
      <c r="K183" s="27">
        <f t="shared" ref="K183:P183" si="152">K171*1.3*L118</f>
        <v>0</v>
      </c>
      <c r="L183" s="27">
        <f t="shared" si="152"/>
        <v>0</v>
      </c>
      <c r="M183" s="27">
        <f t="shared" si="152"/>
        <v>48200.31216</v>
      </c>
      <c r="N183" s="27">
        <f t="shared" si="152"/>
        <v>49165.6776</v>
      </c>
      <c r="O183" s="27">
        <f t="shared" si="152"/>
        <v>2966342.87</v>
      </c>
      <c r="P183" s="27">
        <f t="shared" si="152"/>
        <v>603186.5736</v>
      </c>
      <c r="Q183" s="27">
        <f t="shared" ref="Q183:Q188" si="154">SUM(K183:P183)</f>
        <v>3666895.434</v>
      </c>
    </row>
    <row r="184" ht="15.0" customHeight="1">
      <c r="A184" s="85" t="s">
        <v>31</v>
      </c>
      <c r="B184" s="86" t="s">
        <v>192</v>
      </c>
      <c r="C184" s="85" t="s">
        <v>193</v>
      </c>
      <c r="D184" s="85" t="s">
        <v>194</v>
      </c>
      <c r="E184" s="87" t="s">
        <v>195</v>
      </c>
      <c r="F184" s="88">
        <v>258.0</v>
      </c>
      <c r="J184" s="26" t="s">
        <v>28</v>
      </c>
      <c r="K184" s="27">
        <f t="shared" ref="K184:P184" si="153">K172*1.3*L119</f>
        <v>1061937.115</v>
      </c>
      <c r="L184" s="27">
        <f t="shared" si="153"/>
        <v>0</v>
      </c>
      <c r="M184" s="27">
        <f t="shared" si="153"/>
        <v>0</v>
      </c>
      <c r="N184" s="27">
        <f t="shared" si="153"/>
        <v>0</v>
      </c>
      <c r="O184" s="27">
        <f t="shared" si="153"/>
        <v>412632.6984</v>
      </c>
      <c r="P184" s="27">
        <f t="shared" si="153"/>
        <v>89742.3696</v>
      </c>
      <c r="Q184" s="27">
        <f t="shared" si="154"/>
        <v>1564312.183</v>
      </c>
    </row>
    <row r="185" ht="15.0" customHeight="1">
      <c r="A185" s="89" t="s">
        <v>31</v>
      </c>
      <c r="B185" s="90" t="s">
        <v>192</v>
      </c>
      <c r="C185" s="89" t="s">
        <v>196</v>
      </c>
      <c r="D185" s="89" t="s">
        <v>197</v>
      </c>
      <c r="E185" s="91" t="s">
        <v>198</v>
      </c>
      <c r="F185" s="92">
        <v>105.0</v>
      </c>
      <c r="J185" s="26" t="s">
        <v>9</v>
      </c>
      <c r="K185" s="27">
        <f t="shared" ref="K185:P185" si="155">K173*1.3*L120</f>
        <v>893896.6982</v>
      </c>
      <c r="L185" s="27">
        <f t="shared" si="155"/>
        <v>213791.2514</v>
      </c>
      <c r="M185" s="27">
        <f t="shared" si="155"/>
        <v>0</v>
      </c>
      <c r="N185" s="27">
        <f t="shared" si="155"/>
        <v>0</v>
      </c>
      <c r="O185" s="27">
        <f t="shared" si="155"/>
        <v>87970.662</v>
      </c>
      <c r="P185" s="27">
        <f t="shared" si="155"/>
        <v>210601.2355</v>
      </c>
      <c r="Q185" s="27">
        <f t="shared" si="154"/>
        <v>1406259.847</v>
      </c>
    </row>
    <row r="186" ht="15.0" customHeight="1">
      <c r="A186" s="89" t="s">
        <v>31</v>
      </c>
      <c r="B186" s="90" t="s">
        <v>192</v>
      </c>
      <c r="C186" s="89" t="s">
        <v>199</v>
      </c>
      <c r="D186" s="89" t="s">
        <v>200</v>
      </c>
      <c r="E186" s="91" t="s">
        <v>201</v>
      </c>
      <c r="F186" s="92">
        <v>118.0</v>
      </c>
      <c r="J186" s="26" t="s">
        <v>33</v>
      </c>
      <c r="K186" s="27">
        <f t="shared" ref="K186:P186" si="156">K174*1.3*L121</f>
        <v>103089.324</v>
      </c>
      <c r="L186" s="27">
        <f t="shared" si="156"/>
        <v>127804.248</v>
      </c>
      <c r="M186" s="27">
        <f t="shared" si="156"/>
        <v>94209.70104</v>
      </c>
      <c r="N186" s="27">
        <f t="shared" si="156"/>
        <v>0</v>
      </c>
      <c r="O186" s="27">
        <f t="shared" si="156"/>
        <v>0</v>
      </c>
      <c r="P186" s="27">
        <f t="shared" si="156"/>
        <v>78676.5096</v>
      </c>
      <c r="Q186" s="27">
        <f t="shared" si="154"/>
        <v>403779.7826</v>
      </c>
    </row>
    <row r="187" ht="15.0" customHeight="1">
      <c r="A187" s="89" t="s">
        <v>31</v>
      </c>
      <c r="B187" s="90" t="s">
        <v>192</v>
      </c>
      <c r="C187" s="89" t="s">
        <v>202</v>
      </c>
      <c r="D187" s="89" t="s">
        <v>203</v>
      </c>
      <c r="E187" s="91" t="s">
        <v>204</v>
      </c>
      <c r="F187" s="92">
        <v>98.0</v>
      </c>
      <c r="J187" s="26" t="s">
        <v>8</v>
      </c>
      <c r="K187" s="27">
        <f t="shared" ref="K187:P187" si="157">K175*1.3*L122</f>
        <v>317614.3152</v>
      </c>
      <c r="L187" s="27">
        <f t="shared" si="157"/>
        <v>719368.5096</v>
      </c>
      <c r="M187" s="27">
        <f t="shared" si="157"/>
        <v>819886.5698</v>
      </c>
      <c r="N187" s="27">
        <f t="shared" si="157"/>
        <v>285561.4944</v>
      </c>
      <c r="O187" s="27">
        <f t="shared" si="157"/>
        <v>0</v>
      </c>
      <c r="P187" s="27">
        <f t="shared" si="157"/>
        <v>0</v>
      </c>
      <c r="Q187" s="27">
        <f t="shared" si="154"/>
        <v>2142430.889</v>
      </c>
    </row>
    <row r="188" ht="15.0" customHeight="1">
      <c r="A188" s="89" t="s">
        <v>205</v>
      </c>
      <c r="B188" s="90" t="s">
        <v>206</v>
      </c>
      <c r="C188" s="89" t="s">
        <v>207</v>
      </c>
      <c r="D188" s="89" t="s">
        <v>208</v>
      </c>
      <c r="E188" s="91" t="s">
        <v>209</v>
      </c>
      <c r="F188" s="92">
        <v>320.0</v>
      </c>
      <c r="J188" s="26" t="s">
        <v>31</v>
      </c>
      <c r="K188" s="27">
        <f t="shared" ref="K188:P188" si="158">K176*1.3*L123</f>
        <v>692353.2845</v>
      </c>
      <c r="L188" s="27">
        <f t="shared" si="158"/>
        <v>1555534.406</v>
      </c>
      <c r="M188" s="27">
        <f t="shared" si="158"/>
        <v>1556109.129</v>
      </c>
      <c r="N188" s="27">
        <f t="shared" si="158"/>
        <v>272745.2333</v>
      </c>
      <c r="O188" s="27">
        <f t="shared" si="158"/>
        <v>0</v>
      </c>
      <c r="P188" s="27">
        <f t="shared" si="158"/>
        <v>0</v>
      </c>
      <c r="Q188" s="27">
        <f t="shared" si="154"/>
        <v>4076742.053</v>
      </c>
    </row>
    <row r="189" ht="15.0" customHeight="1">
      <c r="J189" s="32" t="s">
        <v>48</v>
      </c>
      <c r="K189" s="33">
        <f t="shared" ref="K189:Q189" si="159">SUM(K183:K188)</f>
        <v>3068890.737</v>
      </c>
      <c r="L189" s="33">
        <f t="shared" si="159"/>
        <v>2616498.415</v>
      </c>
      <c r="M189" s="33">
        <f t="shared" si="159"/>
        <v>2518405.712</v>
      </c>
      <c r="N189" s="33">
        <f t="shared" si="159"/>
        <v>607472.4053</v>
      </c>
      <c r="O189" s="33">
        <f t="shared" si="159"/>
        <v>3466946.231</v>
      </c>
      <c r="P189" s="33">
        <f t="shared" si="159"/>
        <v>982206.6883</v>
      </c>
      <c r="Q189" s="33">
        <f t="shared" si="159"/>
        <v>13260420.19</v>
      </c>
    </row>
    <row r="190" ht="15.0" customHeight="1">
      <c r="Q190" s="4" t="s">
        <v>210</v>
      </c>
      <c r="R190" s="33">
        <f>Q189*52</f>
        <v>689541849.8</v>
      </c>
    </row>
    <row r="191" ht="15.75" customHeight="1"/>
    <row r="192" ht="15.75" customHeight="1"/>
    <row r="193" ht="15.75" customHeight="1"/>
    <row r="194" ht="15.75" customHeight="1"/>
    <row r="195" ht="15.0" customHeight="1">
      <c r="AC195" s="97" t="s">
        <v>211</v>
      </c>
      <c r="AD195" s="98"/>
      <c r="AE195" s="99"/>
    </row>
    <row r="196" ht="15.0" customHeight="1">
      <c r="AC196" s="9" t="s">
        <v>212</v>
      </c>
      <c r="AD196" s="100" t="s">
        <v>213</v>
      </c>
      <c r="AE196" s="21"/>
    </row>
    <row r="197" ht="15.0" customHeight="1">
      <c r="R197" s="42" t="s">
        <v>214</v>
      </c>
      <c r="S197" s="20"/>
      <c r="T197" s="20"/>
      <c r="U197" s="20"/>
      <c r="V197" s="20"/>
      <c r="W197" s="20"/>
      <c r="X197" s="20"/>
      <c r="Y197" s="21"/>
      <c r="AC197" s="9" t="s">
        <v>149</v>
      </c>
      <c r="AD197" s="101">
        <f>N200*(AE6+AE26+AE36)</f>
        <v>180500</v>
      </c>
      <c r="AE197" s="21"/>
    </row>
    <row r="198" ht="15.0" customHeight="1">
      <c r="M198" s="19" t="s">
        <v>215</v>
      </c>
      <c r="N198" s="20"/>
      <c r="O198" s="21"/>
      <c r="R198" s="4" t="s">
        <v>42</v>
      </c>
      <c r="S198" s="4" t="s">
        <v>25</v>
      </c>
      <c r="T198" s="4" t="s">
        <v>28</v>
      </c>
      <c r="U198" s="4" t="s">
        <v>9</v>
      </c>
      <c r="V198" s="49" t="s">
        <v>33</v>
      </c>
      <c r="W198" s="4" t="s">
        <v>8</v>
      </c>
      <c r="X198" s="4" t="s">
        <v>31</v>
      </c>
      <c r="Y198" s="4" t="s">
        <v>43</v>
      </c>
      <c r="AC198" s="9" t="s">
        <v>161</v>
      </c>
      <c r="AD198" s="101">
        <f t="shared" ref="AD198:AD200" si="161">N203*(AE7+AE27+AE37)</f>
        <v>42466.66667</v>
      </c>
      <c r="AE198" s="21"/>
    </row>
    <row r="199" ht="15.0" customHeight="1">
      <c r="B199" s="42" t="s">
        <v>216</v>
      </c>
      <c r="C199" s="20"/>
      <c r="D199" s="20"/>
      <c r="E199" s="20"/>
      <c r="F199" s="20"/>
      <c r="G199" s="20"/>
      <c r="H199" s="20"/>
      <c r="I199" s="21"/>
      <c r="L199" s="102" t="s">
        <v>44</v>
      </c>
      <c r="M199" s="102" t="s">
        <v>217</v>
      </c>
      <c r="N199" s="82" t="s">
        <v>218</v>
      </c>
      <c r="O199" s="82" t="s">
        <v>219</v>
      </c>
      <c r="R199" s="26" t="s">
        <v>25</v>
      </c>
      <c r="S199" s="27">
        <f t="shared" ref="S199:X199" si="160">S214*L118</f>
        <v>0</v>
      </c>
      <c r="T199" s="27">
        <f t="shared" si="160"/>
        <v>0</v>
      </c>
      <c r="U199" s="27">
        <f t="shared" si="160"/>
        <v>40700</v>
      </c>
      <c r="V199" s="27">
        <f t="shared" si="160"/>
        <v>46500</v>
      </c>
      <c r="W199" s="27">
        <f t="shared" si="160"/>
        <v>1527000</v>
      </c>
      <c r="X199" s="27">
        <f t="shared" si="160"/>
        <v>178250</v>
      </c>
      <c r="Y199" s="27">
        <f t="shared" ref="Y199:Y204" si="163">SUM(S199:X199)</f>
        <v>1792450</v>
      </c>
      <c r="AC199" s="9" t="s">
        <v>165</v>
      </c>
      <c r="AD199" s="101">
        <f t="shared" si="161"/>
        <v>78466.66667</v>
      </c>
      <c r="AE199" s="21"/>
    </row>
    <row r="200" ht="15.0" customHeight="1">
      <c r="B200" s="4" t="s">
        <v>42</v>
      </c>
      <c r="C200" s="4" t="s">
        <v>25</v>
      </c>
      <c r="D200" s="4" t="s">
        <v>28</v>
      </c>
      <c r="E200" s="4" t="s">
        <v>9</v>
      </c>
      <c r="F200" s="49" t="s">
        <v>33</v>
      </c>
      <c r="G200" s="4" t="s">
        <v>8</v>
      </c>
      <c r="H200" s="4" t="s">
        <v>31</v>
      </c>
      <c r="I200" s="4" t="s">
        <v>43</v>
      </c>
      <c r="L200" s="103" t="s">
        <v>149</v>
      </c>
      <c r="M200" s="104">
        <v>750.0</v>
      </c>
      <c r="N200" s="104">
        <f t="shared" ref="N200:N215" si="165">M200/3</f>
        <v>250</v>
      </c>
      <c r="O200" s="105">
        <v>35.0</v>
      </c>
      <c r="R200" s="26" t="s">
        <v>28</v>
      </c>
      <c r="S200" s="27">
        <f t="shared" ref="S200:X200" si="162">S215*L119</f>
        <v>639800</v>
      </c>
      <c r="T200" s="27">
        <f t="shared" si="162"/>
        <v>0</v>
      </c>
      <c r="U200" s="27">
        <f t="shared" si="162"/>
        <v>0</v>
      </c>
      <c r="V200" s="27">
        <f t="shared" si="162"/>
        <v>0</v>
      </c>
      <c r="W200" s="27">
        <f t="shared" si="162"/>
        <v>158200</v>
      </c>
      <c r="X200" s="27">
        <f t="shared" si="162"/>
        <v>21750</v>
      </c>
      <c r="Y200" s="27">
        <f t="shared" si="163"/>
        <v>819750</v>
      </c>
      <c r="AC200" s="9" t="s">
        <v>169</v>
      </c>
      <c r="AD200" s="101">
        <f t="shared" si="161"/>
        <v>8750</v>
      </c>
      <c r="AE200" s="21"/>
    </row>
    <row r="201" ht="15.0" customHeight="1">
      <c r="B201" s="26" t="s">
        <v>25</v>
      </c>
      <c r="C201" s="27">
        <f t="shared" ref="C201:H201" si="164">212*L118</f>
        <v>0</v>
      </c>
      <c r="D201" s="27">
        <f t="shared" si="164"/>
        <v>0</v>
      </c>
      <c r="E201" s="27">
        <f t="shared" si="164"/>
        <v>4664</v>
      </c>
      <c r="F201" s="27">
        <f t="shared" si="164"/>
        <v>6572</v>
      </c>
      <c r="G201" s="27">
        <f t="shared" si="164"/>
        <v>215816</v>
      </c>
      <c r="H201" s="27">
        <f t="shared" si="164"/>
        <v>24380</v>
      </c>
      <c r="I201" s="27">
        <f t="shared" ref="I201:I206" si="168">SUM(C201:H201)</f>
        <v>251432</v>
      </c>
      <c r="L201" s="106" t="s">
        <v>153</v>
      </c>
      <c r="M201" s="107">
        <v>800.0</v>
      </c>
      <c r="N201" s="107">
        <f t="shared" si="165"/>
        <v>266.6666667</v>
      </c>
      <c r="O201" s="108">
        <v>25.0</v>
      </c>
      <c r="R201" s="26" t="s">
        <v>9</v>
      </c>
      <c r="S201" s="27">
        <f t="shared" ref="S201:X201" si="166">S216*L120</f>
        <v>754800</v>
      </c>
      <c r="T201" s="27">
        <f t="shared" si="166"/>
        <v>127750</v>
      </c>
      <c r="U201" s="27">
        <f t="shared" si="166"/>
        <v>0</v>
      </c>
      <c r="V201" s="27">
        <f t="shared" si="166"/>
        <v>0</v>
      </c>
      <c r="W201" s="27">
        <f t="shared" si="166"/>
        <v>46250</v>
      </c>
      <c r="X201" s="27">
        <f t="shared" si="166"/>
        <v>68400</v>
      </c>
      <c r="Y201" s="27">
        <f t="shared" si="163"/>
        <v>997200</v>
      </c>
      <c r="AC201" s="9" t="s">
        <v>185</v>
      </c>
      <c r="AD201" s="101">
        <f>N209*(AE10+AE30+AE40)</f>
        <v>161750</v>
      </c>
      <c r="AE201" s="21"/>
    </row>
    <row r="202" ht="15.0" customHeight="1">
      <c r="B202" s="26" t="s">
        <v>28</v>
      </c>
      <c r="C202" s="27">
        <f t="shared" ref="C202:H202" si="167">212*L119</f>
        <v>96884</v>
      </c>
      <c r="D202" s="27">
        <f t="shared" si="167"/>
        <v>0</v>
      </c>
      <c r="E202" s="27">
        <f t="shared" si="167"/>
        <v>0</v>
      </c>
      <c r="F202" s="27">
        <f t="shared" si="167"/>
        <v>0</v>
      </c>
      <c r="G202" s="27">
        <f t="shared" si="167"/>
        <v>23956</v>
      </c>
      <c r="H202" s="27">
        <f t="shared" si="167"/>
        <v>3180</v>
      </c>
      <c r="I202" s="27">
        <f t="shared" si="168"/>
        <v>124020</v>
      </c>
      <c r="L202" s="106" t="s">
        <v>157</v>
      </c>
      <c r="M202" s="107">
        <v>850.0</v>
      </c>
      <c r="N202" s="107">
        <f t="shared" si="165"/>
        <v>283.3333333</v>
      </c>
      <c r="O202" s="108">
        <v>25.0</v>
      </c>
      <c r="R202" s="26" t="s">
        <v>33</v>
      </c>
      <c r="S202" s="27">
        <f t="shared" ref="S202:X202" si="169">S217*L121</f>
        <v>97500</v>
      </c>
      <c r="T202" s="27">
        <f t="shared" si="169"/>
        <v>77000</v>
      </c>
      <c r="U202" s="27">
        <f t="shared" si="169"/>
        <v>79550</v>
      </c>
      <c r="V202" s="27">
        <f t="shared" si="169"/>
        <v>0</v>
      </c>
      <c r="W202" s="27">
        <f t="shared" si="169"/>
        <v>0</v>
      </c>
      <c r="X202" s="27">
        <f t="shared" si="169"/>
        <v>23250</v>
      </c>
      <c r="Y202" s="27">
        <f t="shared" si="163"/>
        <v>277300</v>
      </c>
      <c r="AC202" s="9" t="s">
        <v>193</v>
      </c>
      <c r="AD202" s="101">
        <f>N211*(AE11+AE31+AE41)</f>
        <v>123466.6667</v>
      </c>
      <c r="AE202" s="21"/>
    </row>
    <row r="203" ht="15.0" customHeight="1">
      <c r="B203" s="26" t="s">
        <v>9</v>
      </c>
      <c r="C203" s="27">
        <f t="shared" ref="C203:H203" si="170">212*L120</f>
        <v>86496</v>
      </c>
      <c r="D203" s="27">
        <f t="shared" si="170"/>
        <v>15476</v>
      </c>
      <c r="E203" s="27">
        <f t="shared" si="170"/>
        <v>0</v>
      </c>
      <c r="F203" s="27">
        <f t="shared" si="170"/>
        <v>0</v>
      </c>
      <c r="G203" s="27">
        <f t="shared" si="170"/>
        <v>5300</v>
      </c>
      <c r="H203" s="27">
        <f t="shared" si="170"/>
        <v>7632</v>
      </c>
      <c r="I203" s="27">
        <f t="shared" si="168"/>
        <v>114904</v>
      </c>
      <c r="L203" s="103" t="s">
        <v>161</v>
      </c>
      <c r="M203" s="104">
        <v>650.0</v>
      </c>
      <c r="N203" s="104">
        <f t="shared" si="165"/>
        <v>216.6666667</v>
      </c>
      <c r="O203" s="105">
        <v>40.0</v>
      </c>
      <c r="R203" s="26" t="s">
        <v>8</v>
      </c>
      <c r="S203" s="27">
        <f t="shared" ref="S203:X203" si="171">S218*L122</f>
        <v>163500</v>
      </c>
      <c r="T203" s="27">
        <f t="shared" si="171"/>
        <v>275800</v>
      </c>
      <c r="U203" s="27">
        <f t="shared" si="171"/>
        <v>431050</v>
      </c>
      <c r="V203" s="27">
        <f t="shared" si="171"/>
        <v>147000</v>
      </c>
      <c r="W203" s="27">
        <f t="shared" si="171"/>
        <v>0</v>
      </c>
      <c r="X203" s="27">
        <f t="shared" si="171"/>
        <v>0</v>
      </c>
      <c r="Y203" s="27">
        <f t="shared" si="163"/>
        <v>1017350</v>
      </c>
      <c r="AC203" s="32" t="s">
        <v>220</v>
      </c>
      <c r="AD203" s="101">
        <f>SUM(AD197:AE202)</f>
        <v>595400</v>
      </c>
      <c r="AE203" s="21"/>
    </row>
    <row r="204" ht="15.0" customHeight="1">
      <c r="B204" s="26" t="s">
        <v>33</v>
      </c>
      <c r="C204" s="27">
        <f t="shared" ref="C204:H204" si="172">212*L121</f>
        <v>13780</v>
      </c>
      <c r="D204" s="27">
        <f t="shared" si="172"/>
        <v>11660</v>
      </c>
      <c r="E204" s="27">
        <f t="shared" si="172"/>
        <v>9116</v>
      </c>
      <c r="F204" s="27">
        <f t="shared" si="172"/>
        <v>0</v>
      </c>
      <c r="G204" s="27">
        <f t="shared" si="172"/>
        <v>0</v>
      </c>
      <c r="H204" s="27">
        <f t="shared" si="172"/>
        <v>3180</v>
      </c>
      <c r="I204" s="27">
        <f t="shared" si="168"/>
        <v>37736</v>
      </c>
      <c r="L204" s="103" t="s">
        <v>165</v>
      </c>
      <c r="M204" s="104">
        <v>1100.0</v>
      </c>
      <c r="N204" s="104">
        <f t="shared" si="165"/>
        <v>366.6666667</v>
      </c>
      <c r="O204" s="105">
        <v>45.0</v>
      </c>
      <c r="R204" s="26" t="s">
        <v>31</v>
      </c>
      <c r="S204" s="27">
        <f t="shared" ref="S204:X204" si="173">S219*L123</f>
        <v>204600</v>
      </c>
      <c r="T204" s="27">
        <f t="shared" si="173"/>
        <v>377000</v>
      </c>
      <c r="U204" s="27">
        <f t="shared" si="173"/>
        <v>505400</v>
      </c>
      <c r="V204" s="27">
        <f t="shared" si="173"/>
        <v>80600</v>
      </c>
      <c r="W204" s="27">
        <f t="shared" si="173"/>
        <v>0</v>
      </c>
      <c r="X204" s="27">
        <f t="shared" si="173"/>
        <v>0</v>
      </c>
      <c r="Y204" s="27">
        <f t="shared" si="163"/>
        <v>1167600</v>
      </c>
      <c r="AC204" s="32" t="s">
        <v>210</v>
      </c>
      <c r="AD204" s="101">
        <f>AD203*52</f>
        <v>30960800</v>
      </c>
      <c r="AE204" s="21"/>
    </row>
    <row r="205" ht="15.0" customHeight="1">
      <c r="B205" s="26" t="s">
        <v>8</v>
      </c>
      <c r="C205" s="27">
        <f t="shared" ref="C205:H205" si="174">212*L122</f>
        <v>23108</v>
      </c>
      <c r="D205" s="27">
        <f t="shared" si="174"/>
        <v>41764</v>
      </c>
      <c r="E205" s="27">
        <f t="shared" si="174"/>
        <v>49396</v>
      </c>
      <c r="F205" s="27">
        <f t="shared" si="174"/>
        <v>20776</v>
      </c>
      <c r="G205" s="27">
        <f t="shared" si="174"/>
        <v>0</v>
      </c>
      <c r="H205" s="27">
        <f t="shared" si="174"/>
        <v>0</v>
      </c>
      <c r="I205" s="27">
        <f t="shared" si="168"/>
        <v>135044</v>
      </c>
      <c r="L205" s="103" t="s">
        <v>169</v>
      </c>
      <c r="M205" s="104">
        <v>750.0</v>
      </c>
      <c r="N205" s="104">
        <f t="shared" si="165"/>
        <v>250</v>
      </c>
      <c r="O205" s="105">
        <v>50.0</v>
      </c>
      <c r="R205" s="32" t="s">
        <v>48</v>
      </c>
      <c r="S205" s="33">
        <f t="shared" ref="S205:Y205" si="175">SUM(S199:S204)</f>
        <v>1860200</v>
      </c>
      <c r="T205" s="33">
        <f t="shared" si="175"/>
        <v>857550</v>
      </c>
      <c r="U205" s="33">
        <f t="shared" si="175"/>
        <v>1056700</v>
      </c>
      <c r="V205" s="33">
        <f t="shared" si="175"/>
        <v>274100</v>
      </c>
      <c r="W205" s="33">
        <f t="shared" si="175"/>
        <v>1731450</v>
      </c>
      <c r="X205" s="33">
        <f t="shared" si="175"/>
        <v>291650</v>
      </c>
      <c r="Y205" s="33">
        <f t="shared" si="175"/>
        <v>6071650</v>
      </c>
    </row>
    <row r="206" ht="15.0" customHeight="1">
      <c r="B206" s="26" t="s">
        <v>31</v>
      </c>
      <c r="C206" s="27">
        <f t="shared" ref="C206:H206" si="176">212*L123</f>
        <v>27984</v>
      </c>
      <c r="D206" s="27">
        <f t="shared" si="176"/>
        <v>55120</v>
      </c>
      <c r="E206" s="27">
        <f t="shared" si="176"/>
        <v>56392</v>
      </c>
      <c r="F206" s="27">
        <f t="shared" si="176"/>
        <v>11024</v>
      </c>
      <c r="G206" s="27">
        <f t="shared" si="176"/>
        <v>0</v>
      </c>
      <c r="H206" s="27">
        <f t="shared" si="176"/>
        <v>0</v>
      </c>
      <c r="I206" s="27">
        <f t="shared" si="168"/>
        <v>150520</v>
      </c>
      <c r="L206" s="106" t="s">
        <v>173</v>
      </c>
      <c r="M206" s="107">
        <v>850.0</v>
      </c>
      <c r="N206" s="107">
        <f t="shared" si="165"/>
        <v>283.3333333</v>
      </c>
      <c r="O206" s="108">
        <v>35.0</v>
      </c>
      <c r="Y206" s="4" t="s">
        <v>210</v>
      </c>
      <c r="Z206" s="33">
        <f>Y205*52</f>
        <v>315725800</v>
      </c>
    </row>
    <row r="207" ht="15.0" customHeight="1">
      <c r="B207" s="32" t="s">
        <v>48</v>
      </c>
      <c r="C207" s="27">
        <f>212*L124</f>
        <v>248252</v>
      </c>
      <c r="D207" s="33">
        <f t="shared" ref="D207:I207" si="177">SUM(D201:D206)</f>
        <v>124020</v>
      </c>
      <c r="E207" s="33">
        <f t="shared" si="177"/>
        <v>119568</v>
      </c>
      <c r="F207" s="33">
        <f t="shared" si="177"/>
        <v>38372</v>
      </c>
      <c r="G207" s="33">
        <f t="shared" si="177"/>
        <v>245072</v>
      </c>
      <c r="H207" s="33">
        <f t="shared" si="177"/>
        <v>38372</v>
      </c>
      <c r="I207" s="33">
        <f t="shared" si="177"/>
        <v>813656</v>
      </c>
      <c r="L207" s="106" t="s">
        <v>177</v>
      </c>
      <c r="M207" s="107">
        <v>850.0</v>
      </c>
      <c r="N207" s="107">
        <f t="shared" si="165"/>
        <v>283.3333333</v>
      </c>
      <c r="O207" s="108">
        <v>50.0</v>
      </c>
    </row>
    <row r="208" ht="15.0" customHeight="1">
      <c r="I208" s="4" t="s">
        <v>210</v>
      </c>
      <c r="J208" s="33">
        <f>I207*52</f>
        <v>42310112</v>
      </c>
      <c r="L208" s="106" t="s">
        <v>180</v>
      </c>
      <c r="M208" s="107">
        <v>850.0</v>
      </c>
      <c r="N208" s="107">
        <f t="shared" si="165"/>
        <v>283.3333333</v>
      </c>
      <c r="O208" s="108">
        <v>50.0</v>
      </c>
    </row>
    <row r="209" ht="15.0" customHeight="1">
      <c r="L209" s="103" t="s">
        <v>185</v>
      </c>
      <c r="M209" s="104">
        <v>750.0</v>
      </c>
      <c r="N209" s="104">
        <f t="shared" si="165"/>
        <v>250</v>
      </c>
      <c r="O209" s="105">
        <v>50.0</v>
      </c>
    </row>
    <row r="210" ht="15.0" customHeight="1">
      <c r="L210" s="106" t="s">
        <v>189</v>
      </c>
      <c r="M210" s="107">
        <v>750.0</v>
      </c>
      <c r="N210" s="107">
        <f t="shared" si="165"/>
        <v>250</v>
      </c>
      <c r="O210" s="108">
        <v>50.0</v>
      </c>
    </row>
    <row r="211" ht="15.0" customHeight="1">
      <c r="L211" s="103" t="s">
        <v>193</v>
      </c>
      <c r="M211" s="104">
        <v>800.0</v>
      </c>
      <c r="N211" s="104">
        <f t="shared" si="165"/>
        <v>266.6666667</v>
      </c>
      <c r="O211" s="105">
        <v>50.0</v>
      </c>
    </row>
    <row r="212" ht="15.0" customHeight="1">
      <c r="L212" s="106" t="s">
        <v>196</v>
      </c>
      <c r="M212" s="107">
        <v>800.0</v>
      </c>
      <c r="N212" s="107">
        <f t="shared" si="165"/>
        <v>266.6666667</v>
      </c>
      <c r="O212" s="108">
        <v>45.0</v>
      </c>
      <c r="R212" s="42" t="s">
        <v>221</v>
      </c>
      <c r="S212" s="20"/>
      <c r="T212" s="20"/>
      <c r="U212" s="20"/>
      <c r="V212" s="20"/>
      <c r="W212" s="20"/>
      <c r="X212" s="58"/>
    </row>
    <row r="213" ht="15.0" customHeight="1">
      <c r="L213" s="106" t="s">
        <v>199</v>
      </c>
      <c r="M213" s="107">
        <v>800.0</v>
      </c>
      <c r="N213" s="107">
        <f t="shared" si="165"/>
        <v>266.6666667</v>
      </c>
      <c r="O213" s="109">
        <v>50.0</v>
      </c>
      <c r="R213" s="4" t="s">
        <v>42</v>
      </c>
      <c r="S213" s="4" t="s">
        <v>25</v>
      </c>
      <c r="T213" s="4" t="s">
        <v>28</v>
      </c>
      <c r="U213" s="4" t="s">
        <v>9</v>
      </c>
      <c r="V213" s="49" t="s">
        <v>33</v>
      </c>
      <c r="W213" s="4" t="s">
        <v>8</v>
      </c>
      <c r="X213" s="4" t="s">
        <v>31</v>
      </c>
    </row>
    <row r="214" ht="15.0" customHeight="1">
      <c r="L214" s="106" t="s">
        <v>202</v>
      </c>
      <c r="M214" s="107">
        <v>850.0</v>
      </c>
      <c r="N214" s="107">
        <f t="shared" si="165"/>
        <v>283.3333333</v>
      </c>
      <c r="O214" s="109">
        <v>40.0</v>
      </c>
      <c r="R214" s="26" t="s">
        <v>25</v>
      </c>
      <c r="S214" s="27"/>
      <c r="T214" s="27">
        <f>S215</f>
        <v>1400</v>
      </c>
      <c r="U214" s="27">
        <f>S216</f>
        <v>1850</v>
      </c>
      <c r="V214" s="27">
        <f>S217</f>
        <v>1500</v>
      </c>
      <c r="W214" s="27">
        <f>S218</f>
        <v>1500</v>
      </c>
      <c r="X214" s="27">
        <f>S219</f>
        <v>1550</v>
      </c>
    </row>
    <row r="215" ht="15.0" customHeight="1">
      <c r="L215" s="106" t="s">
        <v>207</v>
      </c>
      <c r="M215" s="107">
        <v>950.0</v>
      </c>
      <c r="N215" s="107">
        <f t="shared" si="165"/>
        <v>316.6666667</v>
      </c>
      <c r="O215" s="109">
        <v>50.0</v>
      </c>
      <c r="R215" s="26" t="s">
        <v>28</v>
      </c>
      <c r="S215" s="27">
        <f>M200+M203</f>
        <v>1400</v>
      </c>
      <c r="T215" s="27"/>
      <c r="U215" s="27">
        <f>T216</f>
        <v>1750</v>
      </c>
      <c r="V215" s="27">
        <f>T217</f>
        <v>1400</v>
      </c>
      <c r="W215" s="27">
        <f>T218</f>
        <v>1400</v>
      </c>
      <c r="X215" s="27">
        <f>T219</f>
        <v>1450</v>
      </c>
    </row>
    <row r="216" ht="15.0" customHeight="1">
      <c r="R216" s="26" t="s">
        <v>9</v>
      </c>
      <c r="S216" s="27">
        <f>M204+M200</f>
        <v>1850</v>
      </c>
      <c r="T216" s="27">
        <f>M204+M203</f>
        <v>1750</v>
      </c>
      <c r="U216" s="27"/>
      <c r="V216" s="27">
        <f>U217</f>
        <v>1850</v>
      </c>
      <c r="W216" s="27">
        <f>U218</f>
        <v>1850</v>
      </c>
      <c r="X216" s="27">
        <f>U219</f>
        <v>1900</v>
      </c>
    </row>
    <row r="217" ht="15.0" customHeight="1">
      <c r="R217" s="26" t="s">
        <v>33</v>
      </c>
      <c r="S217" s="27">
        <f>M205+M200</f>
        <v>1500</v>
      </c>
      <c r="T217" s="27">
        <f>M205+M203</f>
        <v>1400</v>
      </c>
      <c r="U217" s="27">
        <f>M204+M205</f>
        <v>1850</v>
      </c>
      <c r="V217" s="27"/>
      <c r="W217" s="27">
        <f>V218</f>
        <v>1500</v>
      </c>
      <c r="X217" s="27">
        <f>V219</f>
        <v>1550</v>
      </c>
    </row>
    <row r="218" ht="15.0" customHeight="1">
      <c r="R218" s="26" t="s">
        <v>8</v>
      </c>
      <c r="S218" s="27">
        <f>M209+M200</f>
        <v>1500</v>
      </c>
      <c r="T218" s="27">
        <f>M209+M203</f>
        <v>1400</v>
      </c>
      <c r="U218" s="27">
        <f>M209+M204</f>
        <v>1850</v>
      </c>
      <c r="V218" s="27">
        <f>M209+M205</f>
        <v>1500</v>
      </c>
      <c r="W218" s="27"/>
      <c r="X218" s="27">
        <f>W219</f>
        <v>1550</v>
      </c>
    </row>
    <row r="219" ht="15.0" customHeight="1">
      <c r="R219" s="26" t="s">
        <v>31</v>
      </c>
      <c r="S219" s="27">
        <f>M211+M200</f>
        <v>1550</v>
      </c>
      <c r="T219" s="27">
        <f>M211+M203</f>
        <v>1450</v>
      </c>
      <c r="U219" s="27">
        <f>M211+M204</f>
        <v>1900</v>
      </c>
      <c r="V219" s="27">
        <f>M211+M205</f>
        <v>1550</v>
      </c>
      <c r="W219" s="27">
        <f>M211+M209</f>
        <v>1550</v>
      </c>
      <c r="X219" s="27"/>
    </row>
    <row r="220" ht="15.75" customHeight="1"/>
    <row r="221" ht="15.75" customHeight="1"/>
    <row r="222" ht="15.0" customHeight="1">
      <c r="L222" s="19" t="s">
        <v>222</v>
      </c>
      <c r="M222" s="20"/>
      <c r="N222" s="21"/>
    </row>
    <row r="223" ht="15.0" customHeight="1">
      <c r="L223" s="102" t="s">
        <v>44</v>
      </c>
      <c r="M223" s="82" t="s">
        <v>223</v>
      </c>
      <c r="N223" s="82" t="s">
        <v>224</v>
      </c>
      <c r="P223" s="29">
        <f>210*2</f>
        <v>420</v>
      </c>
    </row>
    <row r="224" ht="15.0" customHeight="1">
      <c r="L224" s="103" t="s">
        <v>149</v>
      </c>
      <c r="M224" s="104">
        <v>100.0</v>
      </c>
      <c r="N224" s="104">
        <v>210.0</v>
      </c>
      <c r="O224" s="110">
        <f>M224+2*N224</f>
        <v>520</v>
      </c>
      <c r="R224" s="42" t="s">
        <v>225</v>
      </c>
      <c r="S224" s="20"/>
      <c r="T224" s="20"/>
      <c r="U224" s="20"/>
      <c r="V224" s="20"/>
      <c r="W224" s="20"/>
      <c r="X224" s="20"/>
      <c r="Y224" s="21"/>
      <c r="AC224" s="97" t="s">
        <v>226</v>
      </c>
      <c r="AD224" s="98"/>
      <c r="AE224" s="99"/>
    </row>
    <row r="225" ht="15.0" customHeight="1">
      <c r="L225" s="106" t="s">
        <v>153</v>
      </c>
      <c r="M225" s="107">
        <v>100.0</v>
      </c>
      <c r="N225" s="107">
        <v>210.0</v>
      </c>
      <c r="R225" s="4" t="s">
        <v>42</v>
      </c>
      <c r="S225" s="4" t="s">
        <v>25</v>
      </c>
      <c r="T225" s="4" t="s">
        <v>28</v>
      </c>
      <c r="U225" s="4" t="s">
        <v>9</v>
      </c>
      <c r="V225" s="49" t="s">
        <v>33</v>
      </c>
      <c r="W225" s="4" t="s">
        <v>8</v>
      </c>
      <c r="X225" s="4" t="s">
        <v>31</v>
      </c>
      <c r="Y225" s="4" t="s">
        <v>43</v>
      </c>
      <c r="AC225" s="9" t="s">
        <v>212</v>
      </c>
      <c r="AD225" s="100" t="s">
        <v>213</v>
      </c>
      <c r="AE225" s="21"/>
    </row>
    <row r="226" ht="15.0" customHeight="1">
      <c r="L226" s="106" t="s">
        <v>227</v>
      </c>
      <c r="M226" s="107">
        <v>100.0</v>
      </c>
      <c r="N226" s="107">
        <v>210.0</v>
      </c>
      <c r="R226" s="26" t="s">
        <v>25</v>
      </c>
      <c r="S226" s="27">
        <f t="shared" ref="S226:X226" si="178">L118*$P$223</f>
        <v>0</v>
      </c>
      <c r="T226" s="27">
        <f t="shared" si="178"/>
        <v>0</v>
      </c>
      <c r="U226" s="27">
        <f t="shared" si="178"/>
        <v>9240</v>
      </c>
      <c r="V226" s="27">
        <f t="shared" si="178"/>
        <v>13020</v>
      </c>
      <c r="W226" s="27">
        <f t="shared" si="178"/>
        <v>427560</v>
      </c>
      <c r="X226" s="27">
        <f t="shared" si="178"/>
        <v>48300</v>
      </c>
      <c r="Y226" s="27">
        <f t="shared" ref="Y226:Y231" si="180">SUM(S226:X226)</f>
        <v>498120</v>
      </c>
      <c r="AC226" s="9" t="s">
        <v>149</v>
      </c>
      <c r="AD226" s="101">
        <f t="shared" ref="AD226:AD231" si="181">$O$224*(AE6+AE26+AE36)</f>
        <v>375440</v>
      </c>
      <c r="AE226" s="21"/>
    </row>
    <row r="227" ht="15.0" customHeight="1">
      <c r="L227" s="103" t="s">
        <v>161</v>
      </c>
      <c r="M227" s="104">
        <v>100.0</v>
      </c>
      <c r="N227" s="104">
        <v>210.0</v>
      </c>
      <c r="R227" s="26" t="s">
        <v>28</v>
      </c>
      <c r="S227" s="27">
        <f t="shared" ref="S227:X227" si="179">L119*$P$223</f>
        <v>191940</v>
      </c>
      <c r="T227" s="27">
        <f t="shared" si="179"/>
        <v>0</v>
      </c>
      <c r="U227" s="27">
        <f t="shared" si="179"/>
        <v>0</v>
      </c>
      <c r="V227" s="27">
        <f t="shared" si="179"/>
        <v>0</v>
      </c>
      <c r="W227" s="27">
        <f t="shared" si="179"/>
        <v>47460</v>
      </c>
      <c r="X227" s="27">
        <f t="shared" si="179"/>
        <v>6300</v>
      </c>
      <c r="Y227" s="27">
        <f t="shared" si="180"/>
        <v>245700</v>
      </c>
      <c r="AC227" s="9" t="s">
        <v>161</v>
      </c>
      <c r="AD227" s="101">
        <f t="shared" si="181"/>
        <v>101920</v>
      </c>
      <c r="AE227" s="21"/>
    </row>
    <row r="228" ht="15.0" customHeight="1">
      <c r="L228" s="103" t="s">
        <v>165</v>
      </c>
      <c r="M228" s="104">
        <v>100.0</v>
      </c>
      <c r="N228" s="104">
        <v>210.0</v>
      </c>
      <c r="R228" s="26" t="s">
        <v>9</v>
      </c>
      <c r="S228" s="27">
        <f t="shared" ref="S228:X228" si="182">L120*$P$223</f>
        <v>171360</v>
      </c>
      <c r="T228" s="27">
        <f t="shared" si="182"/>
        <v>30660</v>
      </c>
      <c r="U228" s="27">
        <f t="shared" si="182"/>
        <v>0</v>
      </c>
      <c r="V228" s="27">
        <f t="shared" si="182"/>
        <v>0</v>
      </c>
      <c r="W228" s="27">
        <f t="shared" si="182"/>
        <v>10500</v>
      </c>
      <c r="X228" s="27">
        <f t="shared" si="182"/>
        <v>15120</v>
      </c>
      <c r="Y228" s="27">
        <f t="shared" si="180"/>
        <v>227640</v>
      </c>
      <c r="AC228" s="9" t="s">
        <v>165</v>
      </c>
      <c r="AD228" s="101">
        <f t="shared" si="181"/>
        <v>111280</v>
      </c>
      <c r="AE228" s="21"/>
    </row>
    <row r="229" ht="15.0" customHeight="1">
      <c r="L229" s="103" t="s">
        <v>169</v>
      </c>
      <c r="M229" s="104">
        <v>100.0</v>
      </c>
      <c r="N229" s="104">
        <v>210.0</v>
      </c>
      <c r="R229" s="26" t="s">
        <v>33</v>
      </c>
      <c r="S229" s="27">
        <f t="shared" ref="S229:X229" si="183">L121*$P$223</f>
        <v>27300</v>
      </c>
      <c r="T229" s="27">
        <f t="shared" si="183"/>
        <v>23100</v>
      </c>
      <c r="U229" s="27">
        <f t="shared" si="183"/>
        <v>18060</v>
      </c>
      <c r="V229" s="27">
        <f t="shared" si="183"/>
        <v>0</v>
      </c>
      <c r="W229" s="27">
        <f t="shared" si="183"/>
        <v>0</v>
      </c>
      <c r="X229" s="27">
        <f t="shared" si="183"/>
        <v>6300</v>
      </c>
      <c r="Y229" s="27">
        <f t="shared" si="180"/>
        <v>74760</v>
      </c>
      <c r="AC229" s="9" t="s">
        <v>169</v>
      </c>
      <c r="AD229" s="101">
        <f t="shared" si="181"/>
        <v>18200</v>
      </c>
      <c r="AE229" s="21"/>
    </row>
    <row r="230" ht="15.0" customHeight="1">
      <c r="L230" s="106" t="s">
        <v>173</v>
      </c>
      <c r="M230" s="107">
        <v>100.0</v>
      </c>
      <c r="N230" s="107">
        <v>210.0</v>
      </c>
      <c r="R230" s="26" t="s">
        <v>8</v>
      </c>
      <c r="S230" s="27">
        <f t="shared" ref="S230:X230" si="184">L122*$P$223</f>
        <v>45780</v>
      </c>
      <c r="T230" s="27">
        <f t="shared" si="184"/>
        <v>82740</v>
      </c>
      <c r="U230" s="27">
        <f t="shared" si="184"/>
        <v>97860</v>
      </c>
      <c r="V230" s="27">
        <f t="shared" si="184"/>
        <v>41160</v>
      </c>
      <c r="W230" s="27">
        <f t="shared" si="184"/>
        <v>0</v>
      </c>
      <c r="X230" s="27">
        <f t="shared" si="184"/>
        <v>0</v>
      </c>
      <c r="Y230" s="27">
        <f t="shared" si="180"/>
        <v>267540</v>
      </c>
      <c r="AC230" s="9" t="s">
        <v>185</v>
      </c>
      <c r="AD230" s="101">
        <f t="shared" si="181"/>
        <v>336440</v>
      </c>
      <c r="AE230" s="21"/>
    </row>
    <row r="231" ht="15.0" customHeight="1">
      <c r="L231" s="106" t="s">
        <v>228</v>
      </c>
      <c r="M231" s="107">
        <v>100.0</v>
      </c>
      <c r="N231" s="107">
        <v>210.0</v>
      </c>
      <c r="R231" s="26" t="s">
        <v>31</v>
      </c>
      <c r="S231" s="27">
        <f t="shared" ref="S231:X231" si="185">L123*$P$223</f>
        <v>55440</v>
      </c>
      <c r="T231" s="27">
        <f t="shared" si="185"/>
        <v>109200</v>
      </c>
      <c r="U231" s="27">
        <f t="shared" si="185"/>
        <v>111720</v>
      </c>
      <c r="V231" s="27">
        <f t="shared" si="185"/>
        <v>21840</v>
      </c>
      <c r="W231" s="27">
        <f t="shared" si="185"/>
        <v>0</v>
      </c>
      <c r="X231" s="27">
        <f t="shared" si="185"/>
        <v>0</v>
      </c>
      <c r="Y231" s="27">
        <f t="shared" si="180"/>
        <v>298200</v>
      </c>
      <c r="AC231" s="9" t="s">
        <v>193</v>
      </c>
      <c r="AD231" s="101">
        <f t="shared" si="181"/>
        <v>240760</v>
      </c>
      <c r="AE231" s="21"/>
    </row>
    <row r="232" ht="15.0" customHeight="1">
      <c r="L232" s="106" t="s">
        <v>180</v>
      </c>
      <c r="M232" s="107">
        <v>100.0</v>
      </c>
      <c r="N232" s="107">
        <v>210.0</v>
      </c>
      <c r="R232" s="32" t="s">
        <v>48</v>
      </c>
      <c r="S232" s="33">
        <f t="shared" ref="S232:Y232" si="186">SUM(S226:S231)</f>
        <v>491820</v>
      </c>
      <c r="T232" s="33">
        <f t="shared" si="186"/>
        <v>245700</v>
      </c>
      <c r="U232" s="33">
        <f t="shared" si="186"/>
        <v>236880</v>
      </c>
      <c r="V232" s="33">
        <f t="shared" si="186"/>
        <v>76020</v>
      </c>
      <c r="W232" s="33">
        <f t="shared" si="186"/>
        <v>485520</v>
      </c>
      <c r="X232" s="33">
        <f t="shared" si="186"/>
        <v>76020</v>
      </c>
      <c r="Y232" s="33">
        <f t="shared" si="186"/>
        <v>1611960</v>
      </c>
      <c r="AC232" s="32" t="s">
        <v>220</v>
      </c>
      <c r="AD232" s="101">
        <f>SUM(AD226:AE231)</f>
        <v>1184040</v>
      </c>
      <c r="AE232" s="21"/>
    </row>
    <row r="233" ht="15.0" customHeight="1">
      <c r="L233" s="103" t="s">
        <v>185</v>
      </c>
      <c r="M233" s="104">
        <v>100.0</v>
      </c>
      <c r="N233" s="104">
        <v>210.0</v>
      </c>
      <c r="Y233" s="4" t="s">
        <v>210</v>
      </c>
      <c r="Z233" s="33">
        <f>Y232*52</f>
        <v>83821920</v>
      </c>
      <c r="AC233" s="32" t="s">
        <v>210</v>
      </c>
      <c r="AD233" s="101">
        <f>AD232*52</f>
        <v>61570080</v>
      </c>
      <c r="AE233" s="21"/>
    </row>
    <row r="234" ht="15.0" customHeight="1">
      <c r="L234" s="106" t="s">
        <v>189</v>
      </c>
      <c r="M234" s="107">
        <v>100.0</v>
      </c>
      <c r="N234" s="107">
        <v>210.0</v>
      </c>
    </row>
    <row r="235" ht="15.0" customHeight="1">
      <c r="L235" s="103" t="s">
        <v>193</v>
      </c>
      <c r="M235" s="104">
        <v>100.0</v>
      </c>
      <c r="N235" s="104">
        <v>210.0</v>
      </c>
    </row>
    <row r="236" ht="15.0" customHeight="1">
      <c r="L236" s="106" t="s">
        <v>196</v>
      </c>
      <c r="M236" s="107">
        <v>100.0</v>
      </c>
      <c r="N236" s="107">
        <v>210.0</v>
      </c>
    </row>
    <row r="237" ht="15.0" customHeight="1">
      <c r="L237" s="106" t="s">
        <v>199</v>
      </c>
      <c r="M237" s="107">
        <v>100.0</v>
      </c>
      <c r="N237" s="107">
        <v>210.0</v>
      </c>
    </row>
    <row r="238" ht="15.0" customHeight="1">
      <c r="L238" s="106" t="s">
        <v>202</v>
      </c>
      <c r="M238" s="107">
        <v>100.0</v>
      </c>
      <c r="N238" s="107">
        <v>210.0</v>
      </c>
    </row>
    <row r="239" ht="15.0" customHeight="1">
      <c r="L239" s="106" t="s">
        <v>207</v>
      </c>
      <c r="M239" s="107">
        <v>100.0</v>
      </c>
      <c r="N239" s="107">
        <v>210.0</v>
      </c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3">
    <mergeCell ref="J169:P169"/>
    <mergeCell ref="J181:Q181"/>
    <mergeCell ref="AC195:AE195"/>
    <mergeCell ref="AD196:AE196"/>
    <mergeCell ref="R197:Y197"/>
    <mergeCell ref="AD197:AE197"/>
    <mergeCell ref="AD198:AE198"/>
    <mergeCell ref="AD199:AE199"/>
    <mergeCell ref="AD200:AE200"/>
    <mergeCell ref="AD201:AE201"/>
    <mergeCell ref="AD202:AE202"/>
    <mergeCell ref="AD203:AE203"/>
    <mergeCell ref="AD204:AE204"/>
    <mergeCell ref="R212:X212"/>
    <mergeCell ref="B2:I2"/>
    <mergeCell ref="K2:R2"/>
    <mergeCell ref="T2:AD2"/>
    <mergeCell ref="B4:I4"/>
    <mergeCell ref="K4:R4"/>
    <mergeCell ref="T4:AA4"/>
    <mergeCell ref="AC4:AD4"/>
    <mergeCell ref="B14:I14"/>
    <mergeCell ref="K14:R14"/>
    <mergeCell ref="T14:AA14"/>
    <mergeCell ref="AC14:AD14"/>
    <mergeCell ref="K24:R24"/>
    <mergeCell ref="T24:AA24"/>
    <mergeCell ref="AC24:AD24"/>
    <mergeCell ref="B24:I24"/>
    <mergeCell ref="B34:I34"/>
    <mergeCell ref="K34:R34"/>
    <mergeCell ref="T34:AA34"/>
    <mergeCell ref="AC34:AD34"/>
    <mergeCell ref="B44:I44"/>
    <mergeCell ref="K44:R44"/>
    <mergeCell ref="B54:I54"/>
    <mergeCell ref="K54:R54"/>
    <mergeCell ref="B64:H64"/>
    <mergeCell ref="B74:H74"/>
    <mergeCell ref="K74:Q74"/>
    <mergeCell ref="B88:G88"/>
    <mergeCell ref="K88:P88"/>
    <mergeCell ref="K102:P102"/>
    <mergeCell ref="K105:R105"/>
    <mergeCell ref="B106:H106"/>
    <mergeCell ref="K116:R116"/>
    <mergeCell ref="B125:H125"/>
    <mergeCell ref="K127:R127"/>
    <mergeCell ref="J154:N154"/>
    <mergeCell ref="M198:O198"/>
    <mergeCell ref="B199:I199"/>
    <mergeCell ref="AD229:AE229"/>
    <mergeCell ref="AD230:AE230"/>
    <mergeCell ref="AD231:AE231"/>
    <mergeCell ref="AD232:AE232"/>
    <mergeCell ref="AD233:AE233"/>
    <mergeCell ref="L222:N222"/>
    <mergeCell ref="R224:Y224"/>
    <mergeCell ref="AC224:AE224"/>
    <mergeCell ref="AD225:AE225"/>
    <mergeCell ref="AD226:AE226"/>
    <mergeCell ref="AD227:AE227"/>
    <mergeCell ref="AD228:AE228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11" t="s">
        <v>229</v>
      </c>
      <c r="D1" s="111" t="s">
        <v>230</v>
      </c>
      <c r="J1" s="29">
        <v>1.0</v>
      </c>
    </row>
    <row r="2">
      <c r="A2" s="2">
        <f>MAX('OTIMIZA ROTA'!AY38)</f>
        <v>65986445.73</v>
      </c>
    </row>
    <row r="3">
      <c r="A3" s="29" t="str">
        <f>'OTIMIZA ROTA'!P90:Q90</f>
        <v>#VALUE!</v>
      </c>
    </row>
    <row r="4">
      <c r="A4" s="111" t="s">
        <v>231</v>
      </c>
    </row>
    <row r="6">
      <c r="A6" s="111" t="s">
        <v>232</v>
      </c>
    </row>
    <row r="7">
      <c r="A7" s="29" t="str">
        <f>'OTIMIZA ROTA'!L68:Q73 &lt;= 'OTIMIZA ROTA'!L6:Q11</f>
        <v>#VALUE!</v>
      </c>
    </row>
    <row r="8">
      <c r="A8" s="29" t="str">
        <f>'OTIMIZA ROTA'!L78:Q83 &lt;= 'OTIMIZA ROTA'!L26:Q31</f>
        <v>#VALUE!</v>
      </c>
    </row>
    <row r="9">
      <c r="A9" s="29" t="str">
        <f>'OTIMIZA ROTA'!L88:Q93 &lt;= 'OTIMIZA ROTA'!L36:Q41</f>
        <v>#VALUE!</v>
      </c>
    </row>
    <row r="10">
      <c r="A10" s="29" t="str">
        <f>'OTIMIZA ROTA'!L68:Q73 &lt;= 0</f>
        <v>#VALUE!</v>
      </c>
    </row>
    <row r="11">
      <c r="A11" s="29" t="str">
        <f>'OTIMIZA ROTA'!L78:Q83 &lt;= 0</f>
        <v>#VALUE!</v>
      </c>
    </row>
    <row r="12">
      <c r="A12" s="29" t="str">
        <f>'OTIMIZA ROTA'!L88:Q93 &lt;= 0</f>
        <v>#VALUE!</v>
      </c>
    </row>
    <row r="13">
      <c r="A13" s="29" t="str">
        <f>'OTIMIZA ROTA'!AF75:AL75 &lt;= 'OTIMIZA ROTA'!AF76:AL76</f>
        <v>#VALUE!</v>
      </c>
    </row>
    <row r="14">
      <c r="A14" s="29" t="str">
        <f>'OTIMIZA ROTA'!AO75:AU75 &lt;= 'OTIMIZA ROTA'!AO76:AU76</f>
        <v>#VALUE!</v>
      </c>
    </row>
    <row r="15">
      <c r="A15" s="29" t="str">
        <f>'OTIMIZA ROTA'!AO75:AU75 &lt;= 0</f>
        <v>#VALUE!</v>
      </c>
    </row>
    <row r="16">
      <c r="A16" s="29" t="str">
        <f>'OTIMIZA ROTA'!AF75:AL75 &lt;= 0</f>
        <v>#VALUE!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6.14"/>
    <col customWidth="1" min="2" max="2" width="15.86"/>
    <col customWidth="1" min="3" max="5" width="14.43"/>
    <col customWidth="1" min="6" max="6" width="15.14"/>
    <col customWidth="1" min="8" max="8" width="14.86"/>
    <col customWidth="1" min="9" max="9" width="15.14"/>
    <col customWidth="1" min="10" max="10" width="16.43"/>
    <col customWidth="1" min="18" max="18" width="17.86"/>
    <col customWidth="1" min="19" max="19" width="11.86"/>
    <col customWidth="1" min="20" max="26" width="15.86"/>
    <col customWidth="1" min="27" max="27" width="19.14"/>
    <col customWidth="1" min="28" max="28" width="14.0"/>
    <col customWidth="1" min="29" max="30" width="15.86"/>
    <col customWidth="1" min="49" max="49" width="11.86"/>
  </cols>
  <sheetData>
    <row r="1">
      <c r="J1" s="43"/>
      <c r="S1" s="43"/>
      <c r="AC1" s="29" t="s">
        <v>233</v>
      </c>
      <c r="AW1" s="43"/>
    </row>
    <row r="2">
      <c r="A2" s="44"/>
      <c r="B2" s="45" t="s">
        <v>67</v>
      </c>
      <c r="C2" s="46"/>
      <c r="D2" s="46"/>
      <c r="E2" s="46"/>
      <c r="F2" s="46"/>
      <c r="G2" s="46"/>
      <c r="H2" s="46"/>
      <c r="I2" s="47"/>
      <c r="J2" s="112"/>
      <c r="K2" s="45" t="s">
        <v>68</v>
      </c>
      <c r="L2" s="46"/>
      <c r="M2" s="46"/>
      <c r="N2" s="46"/>
      <c r="O2" s="46"/>
      <c r="P2" s="46"/>
      <c r="Q2" s="46"/>
      <c r="R2" s="47"/>
      <c r="S2" s="43"/>
      <c r="T2" s="45" t="s">
        <v>234</v>
      </c>
      <c r="U2" s="46"/>
      <c r="V2" s="46"/>
      <c r="W2" s="46"/>
      <c r="X2" s="46"/>
      <c r="Y2" s="46"/>
      <c r="Z2" s="46"/>
      <c r="AA2" s="46"/>
      <c r="AB2" s="46"/>
      <c r="AC2" s="46"/>
      <c r="AD2" s="47"/>
      <c r="AW2" s="43"/>
      <c r="AX2" s="113"/>
      <c r="AY2" s="113"/>
      <c r="AZ2" s="113"/>
      <c r="BA2" s="113"/>
      <c r="BB2" s="113"/>
      <c r="BC2" s="113"/>
      <c r="BD2" s="113"/>
      <c r="BE2" s="113"/>
    </row>
    <row r="3">
      <c r="J3" s="112"/>
      <c r="S3" s="43"/>
      <c r="AW3" s="43"/>
      <c r="AX3" s="113"/>
      <c r="AY3" s="113"/>
      <c r="AZ3" s="113"/>
      <c r="BA3" s="113"/>
      <c r="BB3" s="113"/>
      <c r="BC3" s="113"/>
      <c r="BD3" s="113"/>
      <c r="BE3" s="113"/>
    </row>
    <row r="4">
      <c r="A4" s="48"/>
      <c r="B4" s="19" t="s">
        <v>39</v>
      </c>
      <c r="C4" s="20"/>
      <c r="D4" s="20"/>
      <c r="E4" s="20"/>
      <c r="F4" s="20"/>
      <c r="G4" s="20"/>
      <c r="H4" s="20"/>
      <c r="I4" s="21"/>
      <c r="J4" s="112"/>
      <c r="K4" s="114" t="s">
        <v>235</v>
      </c>
      <c r="L4" s="20"/>
      <c r="M4" s="20"/>
      <c r="N4" s="20"/>
      <c r="O4" s="20"/>
      <c r="P4" s="20"/>
      <c r="Q4" s="20"/>
      <c r="R4" s="21"/>
      <c r="S4" s="43"/>
      <c r="T4" s="115" t="s">
        <v>40</v>
      </c>
      <c r="U4" s="21"/>
      <c r="W4" s="116" t="s">
        <v>236</v>
      </c>
      <c r="X4" s="20"/>
      <c r="Y4" s="20"/>
      <c r="Z4" s="20"/>
      <c r="AA4" s="20"/>
      <c r="AB4" s="20"/>
      <c r="AC4" s="20"/>
      <c r="AD4" s="21"/>
      <c r="AF4" s="114" t="s">
        <v>237</v>
      </c>
      <c r="AG4" s="20"/>
      <c r="AH4" s="20"/>
      <c r="AI4" s="20"/>
      <c r="AJ4" s="20"/>
      <c r="AK4" s="20"/>
      <c r="AL4" s="20"/>
      <c r="AM4" s="21"/>
      <c r="AO4" s="116" t="s">
        <v>238</v>
      </c>
      <c r="AP4" s="20"/>
      <c r="AQ4" s="20"/>
      <c r="AR4" s="20"/>
      <c r="AS4" s="20"/>
      <c r="AT4" s="20"/>
      <c r="AU4" s="20"/>
      <c r="AV4" s="21"/>
      <c r="AW4" s="43"/>
      <c r="AX4" s="42" t="s">
        <v>239</v>
      </c>
      <c r="AY4" s="20"/>
      <c r="AZ4" s="20"/>
      <c r="BA4" s="20"/>
      <c r="BB4" s="20"/>
      <c r="BC4" s="20"/>
      <c r="BD4" s="20"/>
      <c r="BE4" s="21"/>
      <c r="BF4" s="57"/>
      <c r="BG4" s="42" t="s">
        <v>240</v>
      </c>
      <c r="BH4" s="20"/>
      <c r="BI4" s="20"/>
      <c r="BJ4" s="20"/>
      <c r="BK4" s="20"/>
      <c r="BL4" s="20"/>
      <c r="BM4" s="20"/>
      <c r="BN4" s="21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</row>
    <row r="5">
      <c r="A5" s="48"/>
      <c r="B5" s="4" t="s">
        <v>42</v>
      </c>
      <c r="C5" s="4" t="s">
        <v>25</v>
      </c>
      <c r="D5" s="49" t="s">
        <v>28</v>
      </c>
      <c r="E5" s="4" t="s">
        <v>9</v>
      </c>
      <c r="F5" s="49" t="s">
        <v>33</v>
      </c>
      <c r="G5" s="4" t="s">
        <v>8</v>
      </c>
      <c r="H5" s="4" t="s">
        <v>31</v>
      </c>
      <c r="I5" s="4" t="s">
        <v>43</v>
      </c>
      <c r="J5" s="112"/>
      <c r="K5" s="4" t="s">
        <v>42</v>
      </c>
      <c r="L5" s="4" t="s">
        <v>25</v>
      </c>
      <c r="M5" s="49" t="s">
        <v>28</v>
      </c>
      <c r="N5" s="4" t="s">
        <v>9</v>
      </c>
      <c r="O5" s="49" t="s">
        <v>33</v>
      </c>
      <c r="P5" s="49" t="s">
        <v>8</v>
      </c>
      <c r="Q5" s="4" t="s">
        <v>31</v>
      </c>
      <c r="R5" s="4" t="s">
        <v>43</v>
      </c>
      <c r="S5" s="43"/>
      <c r="T5" s="4" t="s">
        <v>44</v>
      </c>
      <c r="U5" s="4" t="s">
        <v>47</v>
      </c>
      <c r="W5" s="49" t="s">
        <v>42</v>
      </c>
      <c r="X5" s="49" t="s">
        <v>25</v>
      </c>
      <c r="Y5" s="49" t="s">
        <v>28</v>
      </c>
      <c r="Z5" s="49" t="s">
        <v>9</v>
      </c>
      <c r="AA5" s="49" t="s">
        <v>33</v>
      </c>
      <c r="AB5" s="49" t="s">
        <v>8</v>
      </c>
      <c r="AC5" s="49" t="s">
        <v>31</v>
      </c>
      <c r="AD5" s="49" t="s">
        <v>43</v>
      </c>
      <c r="AF5" s="4" t="s">
        <v>42</v>
      </c>
      <c r="AG5" s="4" t="s">
        <v>25</v>
      </c>
      <c r="AH5" s="49" t="s">
        <v>28</v>
      </c>
      <c r="AI5" s="4" t="s">
        <v>9</v>
      </c>
      <c r="AJ5" s="49" t="s">
        <v>33</v>
      </c>
      <c r="AK5" s="49" t="s">
        <v>8</v>
      </c>
      <c r="AL5" s="4" t="s">
        <v>31</v>
      </c>
      <c r="AM5" s="4" t="s">
        <v>43</v>
      </c>
      <c r="AO5" s="49" t="s">
        <v>42</v>
      </c>
      <c r="AP5" s="49" t="s">
        <v>25</v>
      </c>
      <c r="AQ5" s="49" t="s">
        <v>28</v>
      </c>
      <c r="AR5" s="49" t="s">
        <v>9</v>
      </c>
      <c r="AS5" s="49" t="s">
        <v>33</v>
      </c>
      <c r="AT5" s="49" t="s">
        <v>8</v>
      </c>
      <c r="AU5" s="49" t="s">
        <v>31</v>
      </c>
      <c r="AV5" s="49" t="s">
        <v>43</v>
      </c>
      <c r="AW5" s="43"/>
      <c r="AX5" s="4" t="s">
        <v>42</v>
      </c>
      <c r="AY5" s="4" t="s">
        <v>25</v>
      </c>
      <c r="AZ5" s="4" t="s">
        <v>28</v>
      </c>
      <c r="BA5" s="4" t="s">
        <v>9</v>
      </c>
      <c r="BB5" s="49" t="s">
        <v>33</v>
      </c>
      <c r="BC5" s="4" t="s">
        <v>8</v>
      </c>
      <c r="BD5" s="4" t="s">
        <v>31</v>
      </c>
      <c r="BE5" s="4" t="s">
        <v>43</v>
      </c>
      <c r="BF5" s="57"/>
      <c r="BG5" s="4" t="s">
        <v>42</v>
      </c>
      <c r="BH5" s="4" t="s">
        <v>25</v>
      </c>
      <c r="BI5" s="4" t="s">
        <v>28</v>
      </c>
      <c r="BJ5" s="4" t="s">
        <v>9</v>
      </c>
      <c r="BK5" s="49" t="s">
        <v>33</v>
      </c>
      <c r="BL5" s="4" t="s">
        <v>8</v>
      </c>
      <c r="BM5" s="4" t="s">
        <v>31</v>
      </c>
      <c r="BN5" s="4" t="s">
        <v>43</v>
      </c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</row>
    <row r="6">
      <c r="A6" s="50"/>
      <c r="B6" s="26" t="s">
        <v>25</v>
      </c>
      <c r="C6" s="27"/>
      <c r="D6" s="27">
        <v>1747.0</v>
      </c>
      <c r="E6" s="27">
        <v>313.0</v>
      </c>
      <c r="F6" s="51">
        <v>329.0</v>
      </c>
      <c r="G6" s="27">
        <v>2513.0</v>
      </c>
      <c r="H6" s="27">
        <v>475.0</v>
      </c>
      <c r="I6" s="27">
        <f t="shared" ref="I6:I11" si="6">SUM(C6:H6)</f>
        <v>5377</v>
      </c>
      <c r="J6" s="112"/>
      <c r="K6" s="26" t="s">
        <v>25</v>
      </c>
      <c r="L6" s="27">
        <f t="shared" ref="L6:Q6" si="1">INT(C6/52)</f>
        <v>0</v>
      </c>
      <c r="M6" s="27">
        <f t="shared" si="1"/>
        <v>33</v>
      </c>
      <c r="N6" s="27">
        <f t="shared" si="1"/>
        <v>6</v>
      </c>
      <c r="O6" s="27">
        <f t="shared" si="1"/>
        <v>6</v>
      </c>
      <c r="P6" s="27">
        <f t="shared" si="1"/>
        <v>48</v>
      </c>
      <c r="Q6" s="27">
        <f t="shared" si="1"/>
        <v>9</v>
      </c>
      <c r="R6" s="27">
        <f t="shared" ref="R6:R11" si="8">SUM(L6:Q6)</f>
        <v>102</v>
      </c>
      <c r="S6" s="43"/>
      <c r="T6" s="26" t="s">
        <v>25</v>
      </c>
      <c r="U6" s="52">
        <f>L12-R6</f>
        <v>105</v>
      </c>
      <c r="W6" s="26" t="s">
        <v>25</v>
      </c>
      <c r="X6" s="27"/>
      <c r="Y6" s="27"/>
      <c r="Z6" s="27"/>
      <c r="AA6" s="27"/>
      <c r="AB6" s="27">
        <v>56.0</v>
      </c>
      <c r="AC6" s="27">
        <v>49.0</v>
      </c>
      <c r="AD6" s="27">
        <f t="shared" ref="AD6:AD11" si="9">SUM(X6:AC6)</f>
        <v>105</v>
      </c>
      <c r="AF6" s="26" t="s">
        <v>25</v>
      </c>
      <c r="AG6" s="27">
        <f t="shared" ref="AG6:AL6" si="2">L6*28</f>
        <v>0</v>
      </c>
      <c r="AH6" s="27">
        <f t="shared" si="2"/>
        <v>924</v>
      </c>
      <c r="AI6" s="27">
        <f t="shared" si="2"/>
        <v>168</v>
      </c>
      <c r="AJ6" s="27">
        <f t="shared" si="2"/>
        <v>168</v>
      </c>
      <c r="AK6" s="27">
        <f t="shared" si="2"/>
        <v>1344</v>
      </c>
      <c r="AL6" s="27">
        <f t="shared" si="2"/>
        <v>252</v>
      </c>
      <c r="AM6" s="27">
        <f t="shared" ref="AM6:AM11" si="11">SUM(AG6:AL6)</f>
        <v>2856</v>
      </c>
      <c r="AO6" s="26" t="s">
        <v>25</v>
      </c>
      <c r="AP6" s="27">
        <f t="shared" ref="AP6:AU6" si="3">X6*2</f>
        <v>0</v>
      </c>
      <c r="AQ6" s="27">
        <f t="shared" si="3"/>
        <v>0</v>
      </c>
      <c r="AR6" s="27">
        <f t="shared" si="3"/>
        <v>0</v>
      </c>
      <c r="AS6" s="27">
        <f t="shared" si="3"/>
        <v>0</v>
      </c>
      <c r="AT6" s="27">
        <f t="shared" si="3"/>
        <v>112</v>
      </c>
      <c r="AU6" s="27">
        <f t="shared" si="3"/>
        <v>98</v>
      </c>
      <c r="AV6" s="27">
        <f t="shared" ref="AV6:AV11" si="13">SUM(AP6:AU6)</f>
        <v>210</v>
      </c>
      <c r="AW6" s="43"/>
      <c r="AX6" s="26" t="s">
        <v>25</v>
      </c>
      <c r="AY6" s="27">
        <f t="shared" ref="AY6:BD6" si="4">SUM(L6,L26,L46)</f>
        <v>0</v>
      </c>
      <c r="AZ6" s="27">
        <f t="shared" si="4"/>
        <v>149</v>
      </c>
      <c r="BA6" s="27">
        <f t="shared" si="4"/>
        <v>164</v>
      </c>
      <c r="BB6" s="27">
        <f t="shared" si="4"/>
        <v>66</v>
      </c>
      <c r="BC6" s="27">
        <f t="shared" si="4"/>
        <v>1106</v>
      </c>
      <c r="BD6" s="27">
        <f t="shared" si="4"/>
        <v>114</v>
      </c>
      <c r="BE6" s="27">
        <f t="shared" ref="BE6:BE11" si="15">SUM(AY6:BD6)</f>
        <v>1599</v>
      </c>
      <c r="BF6" s="117"/>
      <c r="BG6" s="26" t="s">
        <v>25</v>
      </c>
      <c r="BH6" s="27">
        <f t="shared" ref="BH6:BM6" si="5">SUM(X6,X26,X46)</f>
        <v>0</v>
      </c>
      <c r="BI6" s="27">
        <f t="shared" si="5"/>
        <v>0</v>
      </c>
      <c r="BJ6" s="27">
        <f t="shared" si="5"/>
        <v>0</v>
      </c>
      <c r="BK6" s="27">
        <f t="shared" si="5"/>
        <v>0</v>
      </c>
      <c r="BL6" s="27">
        <f t="shared" si="5"/>
        <v>56</v>
      </c>
      <c r="BM6" s="27">
        <f t="shared" si="5"/>
        <v>246</v>
      </c>
      <c r="BN6" s="27">
        <f t="shared" ref="BN6:BN11" si="17">SUM(BH6:BM6)</f>
        <v>302</v>
      </c>
      <c r="BO6" s="117"/>
      <c r="BP6" s="117"/>
      <c r="BQ6" s="117"/>
      <c r="BR6" s="117"/>
      <c r="BS6" s="117"/>
      <c r="BT6" s="117"/>
      <c r="BU6" s="117"/>
      <c r="BV6" s="117"/>
      <c r="BW6" s="117"/>
      <c r="BX6" s="117"/>
      <c r="BY6" s="117"/>
      <c r="BZ6" s="117"/>
    </row>
    <row r="7">
      <c r="A7" s="50"/>
      <c r="B7" s="26" t="s">
        <v>28</v>
      </c>
      <c r="C7" s="27">
        <v>2926.0</v>
      </c>
      <c r="D7" s="27"/>
      <c r="E7" s="27">
        <v>282.0</v>
      </c>
      <c r="F7" s="53">
        <v>491.0</v>
      </c>
      <c r="G7" s="27">
        <v>9135.0</v>
      </c>
      <c r="H7" s="27">
        <v>4055.0</v>
      </c>
      <c r="I7" s="27">
        <f t="shared" si="6"/>
        <v>16889</v>
      </c>
      <c r="J7" s="112"/>
      <c r="K7" s="26" t="s">
        <v>28</v>
      </c>
      <c r="L7" s="27">
        <f t="shared" ref="L7:Q7" si="7">INT(C7/52)</f>
        <v>56</v>
      </c>
      <c r="M7" s="27">
        <f t="shared" si="7"/>
        <v>0</v>
      </c>
      <c r="N7" s="27">
        <f t="shared" si="7"/>
        <v>5</v>
      </c>
      <c r="O7" s="27">
        <f t="shared" si="7"/>
        <v>9</v>
      </c>
      <c r="P7" s="27">
        <f t="shared" si="7"/>
        <v>175</v>
      </c>
      <c r="Q7" s="27">
        <f t="shared" si="7"/>
        <v>77</v>
      </c>
      <c r="R7" s="27">
        <f t="shared" si="8"/>
        <v>322</v>
      </c>
      <c r="S7" s="43"/>
      <c r="T7" s="26" t="s">
        <v>28</v>
      </c>
      <c r="U7" s="52">
        <f>M12-R7</f>
        <v>102</v>
      </c>
      <c r="W7" s="26" t="s">
        <v>28</v>
      </c>
      <c r="X7" s="27"/>
      <c r="Y7" s="27"/>
      <c r="Z7" s="27"/>
      <c r="AA7" s="27"/>
      <c r="AB7" s="27"/>
      <c r="AC7" s="27">
        <f t="shared" ref="AC7:AC8" si="19">U7</f>
        <v>102</v>
      </c>
      <c r="AD7" s="27">
        <f t="shared" si="9"/>
        <v>102</v>
      </c>
      <c r="AF7" s="26" t="s">
        <v>28</v>
      </c>
      <c r="AG7" s="27">
        <f t="shared" ref="AG7:AL7" si="10">L7*28</f>
        <v>1568</v>
      </c>
      <c r="AH7" s="27">
        <f t="shared" si="10"/>
        <v>0</v>
      </c>
      <c r="AI7" s="27">
        <f t="shared" si="10"/>
        <v>140</v>
      </c>
      <c r="AJ7" s="27">
        <f t="shared" si="10"/>
        <v>252</v>
      </c>
      <c r="AK7" s="27">
        <f t="shared" si="10"/>
        <v>4900</v>
      </c>
      <c r="AL7" s="27">
        <f t="shared" si="10"/>
        <v>2156</v>
      </c>
      <c r="AM7" s="27">
        <f t="shared" si="11"/>
        <v>9016</v>
      </c>
      <c r="AO7" s="26" t="s">
        <v>28</v>
      </c>
      <c r="AP7" s="27">
        <f t="shared" ref="AP7:AU7" si="12">X7*2</f>
        <v>0</v>
      </c>
      <c r="AQ7" s="27">
        <f t="shared" si="12"/>
        <v>0</v>
      </c>
      <c r="AR7" s="27">
        <f t="shared" si="12"/>
        <v>0</v>
      </c>
      <c r="AS7" s="27">
        <f t="shared" si="12"/>
        <v>0</v>
      </c>
      <c r="AT7" s="27">
        <f t="shared" si="12"/>
        <v>0</v>
      </c>
      <c r="AU7" s="27">
        <f t="shared" si="12"/>
        <v>204</v>
      </c>
      <c r="AV7" s="27">
        <f t="shared" si="13"/>
        <v>204</v>
      </c>
      <c r="AW7" s="43"/>
      <c r="AX7" s="26" t="s">
        <v>28</v>
      </c>
      <c r="AY7" s="27">
        <f t="shared" ref="AY7:BD7" si="14">SUM(L7,L27,L47)</f>
        <v>256</v>
      </c>
      <c r="AZ7" s="27">
        <f t="shared" si="14"/>
        <v>0</v>
      </c>
      <c r="BA7" s="27">
        <f t="shared" si="14"/>
        <v>52</v>
      </c>
      <c r="BB7" s="27">
        <f t="shared" si="14"/>
        <v>10</v>
      </c>
      <c r="BC7" s="27">
        <f t="shared" si="14"/>
        <v>330</v>
      </c>
      <c r="BD7" s="27">
        <f t="shared" si="14"/>
        <v>139</v>
      </c>
      <c r="BE7" s="27">
        <f t="shared" si="15"/>
        <v>787</v>
      </c>
      <c r="BF7" s="117"/>
      <c r="BG7" s="26" t="s">
        <v>28</v>
      </c>
      <c r="BH7" s="27">
        <f t="shared" ref="BH7:BM7" si="16">SUM(X7,X27,X47)</f>
        <v>339</v>
      </c>
      <c r="BI7" s="27">
        <f t="shared" si="16"/>
        <v>0</v>
      </c>
      <c r="BJ7" s="27">
        <f t="shared" si="16"/>
        <v>0</v>
      </c>
      <c r="BK7" s="27">
        <f t="shared" si="16"/>
        <v>0</v>
      </c>
      <c r="BL7" s="27">
        <f t="shared" si="16"/>
        <v>11</v>
      </c>
      <c r="BM7" s="27">
        <f t="shared" si="16"/>
        <v>354</v>
      </c>
      <c r="BN7" s="27">
        <f t="shared" si="17"/>
        <v>704</v>
      </c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</row>
    <row r="8">
      <c r="A8" s="50"/>
      <c r="B8" s="26" t="s">
        <v>9</v>
      </c>
      <c r="C8" s="27">
        <v>2039.0</v>
      </c>
      <c r="D8" s="27">
        <v>1481.0</v>
      </c>
      <c r="E8" s="27"/>
      <c r="F8" s="53">
        <v>2967.0</v>
      </c>
      <c r="G8" s="27">
        <v>8519.0</v>
      </c>
      <c r="H8" s="27">
        <v>827.0</v>
      </c>
      <c r="I8" s="27">
        <f t="shared" si="6"/>
        <v>15833</v>
      </c>
      <c r="J8" s="112"/>
      <c r="K8" s="26" t="s">
        <v>9</v>
      </c>
      <c r="L8" s="27">
        <f t="shared" ref="L8:Q8" si="18">INT(C8/52)</f>
        <v>39</v>
      </c>
      <c r="M8" s="27">
        <f t="shared" si="18"/>
        <v>28</v>
      </c>
      <c r="N8" s="27">
        <f t="shared" si="18"/>
        <v>0</v>
      </c>
      <c r="O8" s="27">
        <f t="shared" si="18"/>
        <v>57</v>
      </c>
      <c r="P8" s="27">
        <f t="shared" si="18"/>
        <v>163</v>
      </c>
      <c r="Q8" s="27">
        <f t="shared" si="18"/>
        <v>15</v>
      </c>
      <c r="R8" s="27">
        <f t="shared" si="8"/>
        <v>302</v>
      </c>
      <c r="S8" s="43"/>
      <c r="T8" s="54" t="s">
        <v>9</v>
      </c>
      <c r="U8" s="52">
        <f>N12-R8</f>
        <v>108</v>
      </c>
      <c r="W8" s="26" t="s">
        <v>9</v>
      </c>
      <c r="X8" s="27"/>
      <c r="Y8" s="27"/>
      <c r="Z8" s="27"/>
      <c r="AA8" s="27"/>
      <c r="AB8" s="27"/>
      <c r="AC8" s="27">
        <f t="shared" si="19"/>
        <v>108</v>
      </c>
      <c r="AD8" s="27">
        <f t="shared" si="9"/>
        <v>108</v>
      </c>
      <c r="AF8" s="26" t="s">
        <v>9</v>
      </c>
      <c r="AG8" s="27">
        <f t="shared" ref="AG8:AL8" si="20">L8*28</f>
        <v>1092</v>
      </c>
      <c r="AH8" s="27">
        <f t="shared" si="20"/>
        <v>784</v>
      </c>
      <c r="AI8" s="27">
        <f t="shared" si="20"/>
        <v>0</v>
      </c>
      <c r="AJ8" s="27">
        <f t="shared" si="20"/>
        <v>1596</v>
      </c>
      <c r="AK8" s="27">
        <f t="shared" si="20"/>
        <v>4564</v>
      </c>
      <c r="AL8" s="27">
        <f t="shared" si="20"/>
        <v>420</v>
      </c>
      <c r="AM8" s="27">
        <f t="shared" si="11"/>
        <v>8456</v>
      </c>
      <c r="AO8" s="26" t="s">
        <v>9</v>
      </c>
      <c r="AP8" s="27">
        <f t="shared" ref="AP8:AU8" si="21">X8*2</f>
        <v>0</v>
      </c>
      <c r="AQ8" s="27">
        <f t="shared" si="21"/>
        <v>0</v>
      </c>
      <c r="AR8" s="27">
        <f t="shared" si="21"/>
        <v>0</v>
      </c>
      <c r="AS8" s="27">
        <f t="shared" si="21"/>
        <v>0</v>
      </c>
      <c r="AT8" s="27">
        <f t="shared" si="21"/>
        <v>0</v>
      </c>
      <c r="AU8" s="27">
        <f t="shared" si="21"/>
        <v>216</v>
      </c>
      <c r="AV8" s="27">
        <f t="shared" si="13"/>
        <v>216</v>
      </c>
      <c r="AW8" s="43"/>
      <c r="AX8" s="26" t="s">
        <v>9</v>
      </c>
      <c r="AY8" s="27">
        <f t="shared" ref="AY8:BD8" si="22">SUM(L8,L28,L48)</f>
        <v>405</v>
      </c>
      <c r="AZ8" s="27">
        <f t="shared" si="22"/>
        <v>132</v>
      </c>
      <c r="BA8" s="27">
        <f t="shared" si="22"/>
        <v>0</v>
      </c>
      <c r="BB8" s="27">
        <f t="shared" si="22"/>
        <v>69</v>
      </c>
      <c r="BC8" s="27">
        <f t="shared" si="22"/>
        <v>350</v>
      </c>
      <c r="BD8" s="27">
        <f t="shared" si="22"/>
        <v>97</v>
      </c>
      <c r="BE8" s="27">
        <f t="shared" si="15"/>
        <v>1053</v>
      </c>
      <c r="BF8" s="117"/>
      <c r="BG8" s="26" t="s">
        <v>9</v>
      </c>
      <c r="BH8" s="27">
        <f t="shared" ref="BH8:BM8" si="23">SUM(X8,X28,X48)</f>
        <v>0</v>
      </c>
      <c r="BI8" s="27">
        <f t="shared" si="23"/>
        <v>0</v>
      </c>
      <c r="BJ8" s="27">
        <f t="shared" si="23"/>
        <v>0</v>
      </c>
      <c r="BK8" s="27">
        <f t="shared" si="23"/>
        <v>1</v>
      </c>
      <c r="BL8" s="27">
        <f t="shared" si="23"/>
        <v>285</v>
      </c>
      <c r="BM8" s="27">
        <f t="shared" si="23"/>
        <v>396</v>
      </c>
      <c r="BN8" s="27">
        <f t="shared" si="17"/>
        <v>682</v>
      </c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</row>
    <row r="9">
      <c r="A9" s="50"/>
      <c r="B9" s="26" t="s">
        <v>33</v>
      </c>
      <c r="C9" s="51">
        <v>407.0</v>
      </c>
      <c r="D9" s="55">
        <v>779.0</v>
      </c>
      <c r="E9" s="55">
        <v>670.0</v>
      </c>
      <c r="F9" s="9"/>
      <c r="G9" s="55">
        <v>10907.0</v>
      </c>
      <c r="H9" s="55">
        <v>289.0</v>
      </c>
      <c r="I9" s="27">
        <f t="shared" si="6"/>
        <v>13052</v>
      </c>
      <c r="J9" s="112"/>
      <c r="K9" s="26" t="s">
        <v>33</v>
      </c>
      <c r="L9" s="27">
        <f t="shared" ref="L9:Q9" si="24">INT(C9/52)</f>
        <v>7</v>
      </c>
      <c r="M9" s="27">
        <f t="shared" si="24"/>
        <v>14</v>
      </c>
      <c r="N9" s="27">
        <f t="shared" si="24"/>
        <v>12</v>
      </c>
      <c r="O9" s="27">
        <f t="shared" si="24"/>
        <v>0</v>
      </c>
      <c r="P9" s="27">
        <f t="shared" si="24"/>
        <v>209</v>
      </c>
      <c r="Q9" s="27">
        <f t="shared" si="24"/>
        <v>5</v>
      </c>
      <c r="R9" s="27">
        <f t="shared" si="8"/>
        <v>247</v>
      </c>
      <c r="S9" s="43"/>
      <c r="T9" s="54" t="s">
        <v>33</v>
      </c>
      <c r="U9" s="52">
        <f>O12-R9</f>
        <v>-56</v>
      </c>
      <c r="W9" s="26" t="s">
        <v>33</v>
      </c>
      <c r="X9" s="27"/>
      <c r="Y9" s="27"/>
      <c r="Z9" s="27"/>
      <c r="AA9" s="27"/>
      <c r="AB9" s="27"/>
      <c r="AC9" s="27"/>
      <c r="AD9" s="27">
        <f t="shared" si="9"/>
        <v>0</v>
      </c>
      <c r="AF9" s="26" t="s">
        <v>33</v>
      </c>
      <c r="AG9" s="27">
        <f t="shared" ref="AG9:AL9" si="25">L9*28</f>
        <v>196</v>
      </c>
      <c r="AH9" s="27">
        <f t="shared" si="25"/>
        <v>392</v>
      </c>
      <c r="AI9" s="27">
        <f t="shared" si="25"/>
        <v>336</v>
      </c>
      <c r="AJ9" s="27">
        <f t="shared" si="25"/>
        <v>0</v>
      </c>
      <c r="AK9" s="27">
        <f t="shared" si="25"/>
        <v>5852</v>
      </c>
      <c r="AL9" s="27">
        <f t="shared" si="25"/>
        <v>140</v>
      </c>
      <c r="AM9" s="27">
        <f t="shared" si="11"/>
        <v>6916</v>
      </c>
      <c r="AO9" s="26" t="s">
        <v>33</v>
      </c>
      <c r="AP9" s="27">
        <f t="shared" ref="AP9:AU9" si="26">X9*2</f>
        <v>0</v>
      </c>
      <c r="AQ9" s="27">
        <f t="shared" si="26"/>
        <v>0</v>
      </c>
      <c r="AR9" s="27">
        <f t="shared" si="26"/>
        <v>0</v>
      </c>
      <c r="AS9" s="27">
        <f t="shared" si="26"/>
        <v>0</v>
      </c>
      <c r="AT9" s="27">
        <f t="shared" si="26"/>
        <v>0</v>
      </c>
      <c r="AU9" s="27">
        <f t="shared" si="26"/>
        <v>0</v>
      </c>
      <c r="AV9" s="27">
        <f t="shared" si="13"/>
        <v>0</v>
      </c>
      <c r="AW9" s="43"/>
      <c r="AX9" s="26" t="s">
        <v>33</v>
      </c>
      <c r="AY9" s="27">
        <f t="shared" ref="AY9:BD9" si="27">SUM(L9,L29,L49)</f>
        <v>73</v>
      </c>
      <c r="AZ9" s="27">
        <f t="shared" si="27"/>
        <v>59</v>
      </c>
      <c r="BA9" s="27">
        <f t="shared" si="27"/>
        <v>44</v>
      </c>
      <c r="BB9" s="27">
        <f t="shared" si="27"/>
        <v>0</v>
      </c>
      <c r="BC9" s="27">
        <f t="shared" si="27"/>
        <v>425</v>
      </c>
      <c r="BD9" s="27">
        <f t="shared" si="27"/>
        <v>53</v>
      </c>
      <c r="BE9" s="27">
        <f t="shared" si="15"/>
        <v>654</v>
      </c>
      <c r="BF9" s="117"/>
      <c r="BG9" s="26" t="s">
        <v>33</v>
      </c>
      <c r="BH9" s="27">
        <f t="shared" ref="BH9:BM9" si="28">SUM(X9,X29,X49)</f>
        <v>0</v>
      </c>
      <c r="BI9" s="27">
        <f t="shared" si="28"/>
        <v>0</v>
      </c>
      <c r="BJ9" s="27">
        <f t="shared" si="28"/>
        <v>0</v>
      </c>
      <c r="BK9" s="27">
        <f t="shared" si="28"/>
        <v>0</v>
      </c>
      <c r="BL9" s="27">
        <f t="shared" si="28"/>
        <v>0</v>
      </c>
      <c r="BM9" s="27">
        <f t="shared" si="28"/>
        <v>0</v>
      </c>
      <c r="BN9" s="27">
        <f t="shared" si="17"/>
        <v>0</v>
      </c>
      <c r="BO9" s="117"/>
      <c r="BP9" s="117"/>
      <c r="BQ9" s="117"/>
      <c r="BR9" s="117"/>
      <c r="BS9" s="117"/>
      <c r="BT9" s="117"/>
      <c r="BU9" s="117"/>
      <c r="BV9" s="117"/>
      <c r="BW9" s="117"/>
      <c r="BX9" s="117"/>
      <c r="BY9" s="117"/>
      <c r="BZ9" s="117"/>
    </row>
    <row r="10">
      <c r="A10" s="50"/>
      <c r="B10" s="26" t="s">
        <v>8</v>
      </c>
      <c r="C10" s="27">
        <v>4058.0</v>
      </c>
      <c r="D10" s="27">
        <v>6369.0</v>
      </c>
      <c r="E10" s="27">
        <v>6570.0</v>
      </c>
      <c r="F10" s="51">
        <v>2077.0</v>
      </c>
      <c r="G10" s="31"/>
      <c r="H10" s="31"/>
      <c r="I10" s="27">
        <f t="shared" si="6"/>
        <v>19074</v>
      </c>
      <c r="J10" s="112"/>
      <c r="K10" s="26" t="s">
        <v>8</v>
      </c>
      <c r="L10" s="27">
        <f t="shared" ref="L10:Q10" si="29">INT(C10/52)</f>
        <v>78</v>
      </c>
      <c r="M10" s="27">
        <f t="shared" si="29"/>
        <v>122</v>
      </c>
      <c r="N10" s="27">
        <f t="shared" si="29"/>
        <v>126</v>
      </c>
      <c r="O10" s="27">
        <f t="shared" si="29"/>
        <v>39</v>
      </c>
      <c r="P10" s="27">
        <f t="shared" si="29"/>
        <v>0</v>
      </c>
      <c r="Q10" s="27">
        <f t="shared" si="29"/>
        <v>0</v>
      </c>
      <c r="R10" s="27">
        <f t="shared" si="8"/>
        <v>365</v>
      </c>
      <c r="S10" s="43"/>
      <c r="T10" s="54" t="s">
        <v>8</v>
      </c>
      <c r="U10" s="52">
        <f>P12-R10</f>
        <v>230</v>
      </c>
      <c r="W10" s="26" t="s">
        <v>8</v>
      </c>
      <c r="X10" s="27"/>
      <c r="Y10" s="27"/>
      <c r="Z10" s="27"/>
      <c r="AA10" s="27"/>
      <c r="AB10" s="27"/>
      <c r="AC10" s="27">
        <f>U10</f>
        <v>230</v>
      </c>
      <c r="AD10" s="27">
        <f t="shared" si="9"/>
        <v>230</v>
      </c>
      <c r="AF10" s="26" t="s">
        <v>8</v>
      </c>
      <c r="AG10" s="27">
        <f t="shared" ref="AG10:AL10" si="30">L10*28</f>
        <v>2184</v>
      </c>
      <c r="AH10" s="27">
        <f t="shared" si="30"/>
        <v>3416</v>
      </c>
      <c r="AI10" s="27">
        <f t="shared" si="30"/>
        <v>3528</v>
      </c>
      <c r="AJ10" s="27">
        <f t="shared" si="30"/>
        <v>1092</v>
      </c>
      <c r="AK10" s="27">
        <f t="shared" si="30"/>
        <v>0</v>
      </c>
      <c r="AL10" s="27">
        <f t="shared" si="30"/>
        <v>0</v>
      </c>
      <c r="AM10" s="27">
        <f t="shared" si="11"/>
        <v>10220</v>
      </c>
      <c r="AO10" s="26" t="s">
        <v>8</v>
      </c>
      <c r="AP10" s="27">
        <f t="shared" ref="AP10:AU10" si="31">X10*2</f>
        <v>0</v>
      </c>
      <c r="AQ10" s="27">
        <f t="shared" si="31"/>
        <v>0</v>
      </c>
      <c r="AR10" s="27">
        <f t="shared" si="31"/>
        <v>0</v>
      </c>
      <c r="AS10" s="27">
        <f t="shared" si="31"/>
        <v>0</v>
      </c>
      <c r="AT10" s="27">
        <f t="shared" si="31"/>
        <v>0</v>
      </c>
      <c r="AU10" s="27">
        <f t="shared" si="31"/>
        <v>460</v>
      </c>
      <c r="AV10" s="27">
        <f t="shared" si="13"/>
        <v>460</v>
      </c>
      <c r="AW10" s="43"/>
      <c r="AX10" s="26" t="s">
        <v>8</v>
      </c>
      <c r="AY10" s="27">
        <f t="shared" ref="AY10:BD10" si="32">SUM(L10,L30,L50)</f>
        <v>468</v>
      </c>
      <c r="AZ10" s="27">
        <f t="shared" si="32"/>
        <v>605</v>
      </c>
      <c r="BA10" s="27">
        <f t="shared" si="32"/>
        <v>731</v>
      </c>
      <c r="BB10" s="27">
        <f t="shared" si="32"/>
        <v>129</v>
      </c>
      <c r="BC10" s="27">
        <f t="shared" si="32"/>
        <v>0</v>
      </c>
      <c r="BD10" s="27">
        <f t="shared" si="32"/>
        <v>0</v>
      </c>
      <c r="BE10" s="27">
        <f t="shared" si="15"/>
        <v>1933</v>
      </c>
      <c r="BF10" s="117"/>
      <c r="BG10" s="26" t="s">
        <v>8</v>
      </c>
      <c r="BH10" s="27">
        <f t="shared" ref="BH10:BM10" si="33">SUM(X10,X30,X50)</f>
        <v>0</v>
      </c>
      <c r="BI10" s="27">
        <f t="shared" si="33"/>
        <v>0</v>
      </c>
      <c r="BJ10" s="27">
        <f t="shared" si="33"/>
        <v>0</v>
      </c>
      <c r="BK10" s="27">
        <f t="shared" si="33"/>
        <v>0</v>
      </c>
      <c r="BL10" s="27">
        <f t="shared" si="33"/>
        <v>0</v>
      </c>
      <c r="BM10" s="27">
        <f t="shared" si="33"/>
        <v>398</v>
      </c>
      <c r="BN10" s="27">
        <f t="shared" si="17"/>
        <v>398</v>
      </c>
      <c r="BO10" s="117"/>
      <c r="BP10" s="117"/>
      <c r="BQ10" s="117"/>
      <c r="BR10" s="117"/>
      <c r="BS10" s="117"/>
      <c r="BT10" s="117"/>
      <c r="BU10" s="117"/>
      <c r="BV10" s="117"/>
      <c r="BW10" s="117"/>
      <c r="BX10" s="117"/>
      <c r="BY10" s="117"/>
      <c r="BZ10" s="117"/>
    </row>
    <row r="11">
      <c r="A11" s="50"/>
      <c r="B11" s="26" t="s">
        <v>31</v>
      </c>
      <c r="C11" s="27">
        <v>1452.0</v>
      </c>
      <c r="D11" s="27">
        <v>11836.0</v>
      </c>
      <c r="E11" s="27">
        <v>13601.0</v>
      </c>
      <c r="F11" s="53">
        <v>4203.0</v>
      </c>
      <c r="G11" s="31"/>
      <c r="H11" s="31"/>
      <c r="I11" s="27">
        <f t="shared" si="6"/>
        <v>31092</v>
      </c>
      <c r="J11" s="112"/>
      <c r="K11" s="26" t="s">
        <v>31</v>
      </c>
      <c r="L11" s="27">
        <f t="shared" ref="L11:Q11" si="34">INT(C11/52)</f>
        <v>27</v>
      </c>
      <c r="M11" s="27">
        <f t="shared" si="34"/>
        <v>227</v>
      </c>
      <c r="N11" s="27">
        <f t="shared" si="34"/>
        <v>261</v>
      </c>
      <c r="O11" s="27">
        <f t="shared" si="34"/>
        <v>80</v>
      </c>
      <c r="P11" s="27">
        <f t="shared" si="34"/>
        <v>0</v>
      </c>
      <c r="Q11" s="27">
        <f t="shared" si="34"/>
        <v>0</v>
      </c>
      <c r="R11" s="27">
        <f t="shared" si="8"/>
        <v>595</v>
      </c>
      <c r="S11" s="43"/>
      <c r="T11" s="54" t="s">
        <v>31</v>
      </c>
      <c r="U11" s="52">
        <f>Q12-R11</f>
        <v>-489</v>
      </c>
      <c r="W11" s="26" t="s">
        <v>31</v>
      </c>
      <c r="X11" s="27"/>
      <c r="Y11" s="27"/>
      <c r="Z11" s="27"/>
      <c r="AA11" s="27"/>
      <c r="AB11" s="27"/>
      <c r="AC11" s="27"/>
      <c r="AD11" s="27">
        <f t="shared" si="9"/>
        <v>0</v>
      </c>
      <c r="AF11" s="26" t="s">
        <v>31</v>
      </c>
      <c r="AG11" s="27">
        <f t="shared" ref="AG11:AL11" si="35">L11*28</f>
        <v>756</v>
      </c>
      <c r="AH11" s="27">
        <f t="shared" si="35"/>
        <v>6356</v>
      </c>
      <c r="AI11" s="27">
        <f t="shared" si="35"/>
        <v>7308</v>
      </c>
      <c r="AJ11" s="27">
        <f t="shared" si="35"/>
        <v>2240</v>
      </c>
      <c r="AK11" s="27">
        <f t="shared" si="35"/>
        <v>0</v>
      </c>
      <c r="AL11" s="27">
        <f t="shared" si="35"/>
        <v>0</v>
      </c>
      <c r="AM11" s="27">
        <f t="shared" si="11"/>
        <v>16660</v>
      </c>
      <c r="AO11" s="26" t="s">
        <v>31</v>
      </c>
      <c r="AP11" s="27">
        <f t="shared" ref="AP11:AU11" si="36">X11*2</f>
        <v>0</v>
      </c>
      <c r="AQ11" s="27">
        <f t="shared" si="36"/>
        <v>0</v>
      </c>
      <c r="AR11" s="27">
        <f t="shared" si="36"/>
        <v>0</v>
      </c>
      <c r="AS11" s="27">
        <f t="shared" si="36"/>
        <v>0</v>
      </c>
      <c r="AT11" s="27">
        <f t="shared" si="36"/>
        <v>0</v>
      </c>
      <c r="AU11" s="27">
        <f t="shared" si="36"/>
        <v>0</v>
      </c>
      <c r="AV11" s="27">
        <f t="shared" si="13"/>
        <v>0</v>
      </c>
      <c r="AW11" s="43"/>
      <c r="AX11" s="26" t="s">
        <v>31</v>
      </c>
      <c r="AY11" s="27">
        <f t="shared" ref="AY11:BD11" si="37">SUM(L11,L31,L51)</f>
        <v>361</v>
      </c>
      <c r="AZ11" s="27">
        <f t="shared" si="37"/>
        <v>546</v>
      </c>
      <c r="BA11" s="27">
        <f t="shared" si="37"/>
        <v>743</v>
      </c>
      <c r="BB11" s="27">
        <f t="shared" si="37"/>
        <v>147</v>
      </c>
      <c r="BC11" s="27">
        <f t="shared" si="37"/>
        <v>0</v>
      </c>
      <c r="BD11" s="27">
        <f t="shared" si="37"/>
        <v>0</v>
      </c>
      <c r="BE11" s="27">
        <f t="shared" si="15"/>
        <v>1797</v>
      </c>
      <c r="BF11" s="117"/>
      <c r="BG11" s="26" t="s">
        <v>31</v>
      </c>
      <c r="BH11" s="27">
        <f t="shared" ref="BH11:BM11" si="38">SUM(X11,X31,X51)</f>
        <v>0</v>
      </c>
      <c r="BI11" s="27">
        <f t="shared" si="38"/>
        <v>0</v>
      </c>
      <c r="BJ11" s="27">
        <f t="shared" si="38"/>
        <v>0</v>
      </c>
      <c r="BK11" s="27">
        <f t="shared" si="38"/>
        <v>0</v>
      </c>
      <c r="BL11" s="27">
        <f t="shared" si="38"/>
        <v>0</v>
      </c>
      <c r="BM11" s="27">
        <f t="shared" si="38"/>
        <v>0</v>
      </c>
      <c r="BN11" s="27">
        <f t="shared" si="17"/>
        <v>0</v>
      </c>
      <c r="BO11" s="117"/>
      <c r="BP11" s="117"/>
      <c r="BQ11" s="117"/>
      <c r="BR11" s="117"/>
      <c r="BS11" s="117"/>
      <c r="BT11" s="117"/>
      <c r="BU11" s="117"/>
      <c r="BV11" s="117"/>
      <c r="BW11" s="117"/>
      <c r="BX11" s="117"/>
      <c r="BY11" s="117"/>
      <c r="BZ11" s="117"/>
    </row>
    <row r="12">
      <c r="A12" s="50"/>
      <c r="B12" s="32" t="s">
        <v>48</v>
      </c>
      <c r="C12" s="33">
        <f t="shared" ref="C12:I12" si="39">SUM(C6:C11)</f>
        <v>10882</v>
      </c>
      <c r="D12" s="33">
        <f t="shared" si="39"/>
        <v>22212</v>
      </c>
      <c r="E12" s="33">
        <f t="shared" si="39"/>
        <v>21436</v>
      </c>
      <c r="F12" s="33">
        <f t="shared" si="39"/>
        <v>10067</v>
      </c>
      <c r="G12" s="33">
        <f t="shared" si="39"/>
        <v>31074</v>
      </c>
      <c r="H12" s="33">
        <f t="shared" si="39"/>
        <v>5646</v>
      </c>
      <c r="I12" s="33">
        <f t="shared" si="39"/>
        <v>101317</v>
      </c>
      <c r="J12" s="112"/>
      <c r="K12" s="32" t="s">
        <v>48</v>
      </c>
      <c r="L12" s="33">
        <f t="shared" ref="L12:R12" si="40">SUM(L6:L11)</f>
        <v>207</v>
      </c>
      <c r="M12" s="33">
        <f t="shared" si="40"/>
        <v>424</v>
      </c>
      <c r="N12" s="33">
        <f t="shared" si="40"/>
        <v>410</v>
      </c>
      <c r="O12" s="33">
        <f t="shared" si="40"/>
        <v>191</v>
      </c>
      <c r="P12" s="33">
        <f t="shared" si="40"/>
        <v>595</v>
      </c>
      <c r="Q12" s="33">
        <f t="shared" si="40"/>
        <v>106</v>
      </c>
      <c r="R12" s="33">
        <f t="shared" si="40"/>
        <v>1933</v>
      </c>
      <c r="S12" s="43"/>
      <c r="T12" s="32" t="s">
        <v>49</v>
      </c>
      <c r="U12" s="33">
        <f>SUM(U6:U11)</f>
        <v>0</v>
      </c>
      <c r="W12" s="32" t="s">
        <v>48</v>
      </c>
      <c r="X12" s="33">
        <f t="shared" ref="X12:AD12" si="41">SUM(X6:X11)</f>
        <v>0</v>
      </c>
      <c r="Y12" s="33">
        <f t="shared" si="41"/>
        <v>0</v>
      </c>
      <c r="Z12" s="33">
        <f t="shared" si="41"/>
        <v>0</v>
      </c>
      <c r="AA12" s="33">
        <f t="shared" si="41"/>
        <v>0</v>
      </c>
      <c r="AB12" s="33">
        <f t="shared" si="41"/>
        <v>56</v>
      </c>
      <c r="AC12" s="33">
        <f t="shared" si="41"/>
        <v>489</v>
      </c>
      <c r="AD12" s="33">
        <f t="shared" si="41"/>
        <v>545</v>
      </c>
      <c r="AF12" s="32" t="s">
        <v>48</v>
      </c>
      <c r="AG12" s="33">
        <f t="shared" ref="AG12:AL12" si="42">SUM(AG6:AG11)</f>
        <v>5796</v>
      </c>
      <c r="AH12" s="33">
        <f t="shared" si="42"/>
        <v>11872</v>
      </c>
      <c r="AI12" s="33">
        <f t="shared" si="42"/>
        <v>11480</v>
      </c>
      <c r="AJ12" s="33">
        <f t="shared" si="42"/>
        <v>5348</v>
      </c>
      <c r="AK12" s="33">
        <f t="shared" si="42"/>
        <v>16660</v>
      </c>
      <c r="AL12" s="33">
        <f t="shared" si="42"/>
        <v>2968</v>
      </c>
      <c r="AM12" s="33">
        <v>1933.0</v>
      </c>
      <c r="AO12" s="32" t="s">
        <v>48</v>
      </c>
      <c r="AP12" s="33">
        <f t="shared" ref="AP12:AV12" si="43">SUM(AP6:AP11)</f>
        <v>0</v>
      </c>
      <c r="AQ12" s="33">
        <f t="shared" si="43"/>
        <v>0</v>
      </c>
      <c r="AR12" s="33">
        <f t="shared" si="43"/>
        <v>0</v>
      </c>
      <c r="AS12" s="33">
        <f t="shared" si="43"/>
        <v>0</v>
      </c>
      <c r="AT12" s="33">
        <f t="shared" si="43"/>
        <v>112</v>
      </c>
      <c r="AU12" s="33">
        <f t="shared" si="43"/>
        <v>978</v>
      </c>
      <c r="AV12" s="33">
        <f t="shared" si="43"/>
        <v>1090</v>
      </c>
      <c r="AW12" s="43"/>
      <c r="AX12" s="32" t="s">
        <v>48</v>
      </c>
      <c r="AY12" s="33">
        <f t="shared" ref="AY12:BE12" si="44">SUM(AY6:AY11)</f>
        <v>1563</v>
      </c>
      <c r="AZ12" s="33">
        <f t="shared" si="44"/>
        <v>1491</v>
      </c>
      <c r="BA12" s="33">
        <f t="shared" si="44"/>
        <v>1734</v>
      </c>
      <c r="BB12" s="33">
        <f t="shared" si="44"/>
        <v>421</v>
      </c>
      <c r="BC12" s="33">
        <f t="shared" si="44"/>
        <v>2211</v>
      </c>
      <c r="BD12" s="33">
        <f t="shared" si="44"/>
        <v>403</v>
      </c>
      <c r="BE12" s="33">
        <f t="shared" si="44"/>
        <v>7823</v>
      </c>
      <c r="BF12" s="117"/>
      <c r="BG12" s="32" t="s">
        <v>48</v>
      </c>
      <c r="BH12" s="33">
        <f t="shared" ref="BH12:BN12" si="45">SUM(BH6:BH11)</f>
        <v>339</v>
      </c>
      <c r="BI12" s="33">
        <f t="shared" si="45"/>
        <v>0</v>
      </c>
      <c r="BJ12" s="33">
        <f t="shared" si="45"/>
        <v>0</v>
      </c>
      <c r="BK12" s="33">
        <f t="shared" si="45"/>
        <v>1</v>
      </c>
      <c r="BL12" s="33">
        <f t="shared" si="45"/>
        <v>352</v>
      </c>
      <c r="BM12" s="33">
        <f t="shared" si="45"/>
        <v>1394</v>
      </c>
      <c r="BN12" s="33">
        <f t="shared" si="45"/>
        <v>2086</v>
      </c>
      <c r="BO12" s="117"/>
      <c r="BP12" s="117"/>
      <c r="BQ12" s="117"/>
      <c r="BR12" s="117"/>
      <c r="BS12" s="117"/>
      <c r="BT12" s="117"/>
      <c r="BU12" s="117"/>
      <c r="BV12" s="117"/>
      <c r="BW12" s="117"/>
      <c r="BX12" s="117"/>
      <c r="BY12" s="117"/>
      <c r="BZ12" s="117"/>
    </row>
    <row r="13">
      <c r="J13" s="112"/>
      <c r="S13" s="43"/>
      <c r="AW13" s="43"/>
      <c r="AX13" s="113"/>
      <c r="AY13" s="113"/>
      <c r="AZ13" s="113"/>
      <c r="BA13" s="113"/>
      <c r="BB13" s="113"/>
      <c r="BC13" s="113"/>
      <c r="BD13" s="113"/>
      <c r="BE13" s="113"/>
    </row>
    <row r="14">
      <c r="A14" s="48"/>
      <c r="B14" s="19" t="s">
        <v>50</v>
      </c>
      <c r="C14" s="20"/>
      <c r="D14" s="20"/>
      <c r="E14" s="20"/>
      <c r="F14" s="20"/>
      <c r="G14" s="20"/>
      <c r="H14" s="20"/>
      <c r="I14" s="21"/>
      <c r="J14" s="112"/>
      <c r="K14" s="42" t="s">
        <v>241</v>
      </c>
      <c r="L14" s="20"/>
      <c r="M14" s="20"/>
      <c r="N14" s="20"/>
      <c r="O14" s="20"/>
      <c r="P14" s="20"/>
      <c r="Q14" s="20"/>
      <c r="R14" s="21"/>
      <c r="S14" s="43"/>
      <c r="T14" s="42" t="s">
        <v>242</v>
      </c>
      <c r="U14" s="20"/>
      <c r="V14" s="20"/>
      <c r="W14" s="20"/>
      <c r="X14" s="20"/>
      <c r="Y14" s="20"/>
      <c r="Z14" s="58"/>
      <c r="AW14" s="43"/>
      <c r="AX14" s="42" t="s">
        <v>243</v>
      </c>
      <c r="AY14" s="20"/>
      <c r="AZ14" s="20"/>
      <c r="BA14" s="20"/>
      <c r="BB14" s="20"/>
      <c r="BC14" s="20"/>
      <c r="BD14" s="20"/>
      <c r="BE14" s="21"/>
      <c r="BG14" s="42" t="s">
        <v>244</v>
      </c>
      <c r="BH14" s="20"/>
      <c r="BI14" s="20"/>
      <c r="BJ14" s="20"/>
      <c r="BK14" s="20"/>
      <c r="BL14" s="20"/>
      <c r="BM14" s="20"/>
      <c r="BN14" s="21"/>
    </row>
    <row r="15">
      <c r="A15" s="48"/>
      <c r="B15" s="4" t="s">
        <v>42</v>
      </c>
      <c r="C15" s="4" t="s">
        <v>25</v>
      </c>
      <c r="D15" s="4" t="s">
        <v>28</v>
      </c>
      <c r="E15" s="4" t="s">
        <v>9</v>
      </c>
      <c r="F15" s="49" t="s">
        <v>33</v>
      </c>
      <c r="G15" s="4" t="s">
        <v>8</v>
      </c>
      <c r="H15" s="4" t="s">
        <v>31</v>
      </c>
      <c r="I15" s="4" t="s">
        <v>43</v>
      </c>
      <c r="J15" s="112"/>
      <c r="K15" s="4" t="s">
        <v>42</v>
      </c>
      <c r="L15" s="4" t="s">
        <v>25</v>
      </c>
      <c r="M15" s="4" t="s">
        <v>28</v>
      </c>
      <c r="N15" s="4" t="s">
        <v>9</v>
      </c>
      <c r="O15" s="49" t="s">
        <v>33</v>
      </c>
      <c r="P15" s="4" t="s">
        <v>8</v>
      </c>
      <c r="Q15" s="4" t="s">
        <v>31</v>
      </c>
      <c r="R15" s="4" t="s">
        <v>43</v>
      </c>
      <c r="S15" s="43"/>
      <c r="T15" s="4" t="s">
        <v>42</v>
      </c>
      <c r="U15" s="4" t="s">
        <v>25</v>
      </c>
      <c r="V15" s="4" t="s">
        <v>28</v>
      </c>
      <c r="W15" s="4" t="s">
        <v>9</v>
      </c>
      <c r="X15" s="49" t="s">
        <v>33</v>
      </c>
      <c r="Y15" s="4" t="s">
        <v>8</v>
      </c>
      <c r="Z15" s="4" t="s">
        <v>31</v>
      </c>
      <c r="AW15" s="43"/>
      <c r="AX15" s="4" t="s">
        <v>42</v>
      </c>
      <c r="AY15" s="4" t="s">
        <v>25</v>
      </c>
      <c r="AZ15" s="4" t="s">
        <v>28</v>
      </c>
      <c r="BA15" s="4" t="s">
        <v>9</v>
      </c>
      <c r="BB15" s="49" t="s">
        <v>33</v>
      </c>
      <c r="BC15" s="4" t="s">
        <v>8</v>
      </c>
      <c r="BD15" s="4" t="s">
        <v>31</v>
      </c>
      <c r="BE15" s="4" t="s">
        <v>43</v>
      </c>
      <c r="BG15" s="4" t="s">
        <v>42</v>
      </c>
      <c r="BH15" s="4" t="s">
        <v>25</v>
      </c>
      <c r="BI15" s="4" t="s">
        <v>28</v>
      </c>
      <c r="BJ15" s="4" t="s">
        <v>9</v>
      </c>
      <c r="BK15" s="49" t="s">
        <v>33</v>
      </c>
      <c r="BL15" s="4" t="s">
        <v>8</v>
      </c>
      <c r="BM15" s="4" t="s">
        <v>31</v>
      </c>
      <c r="BN15" s="4" t="s">
        <v>43</v>
      </c>
    </row>
    <row r="16">
      <c r="A16" s="50"/>
      <c r="B16" s="26" t="s">
        <v>25</v>
      </c>
      <c r="C16" s="34"/>
      <c r="D16" s="27"/>
      <c r="E16" s="27">
        <v>1.0</v>
      </c>
      <c r="F16" s="27">
        <v>2.0</v>
      </c>
      <c r="G16" s="27"/>
      <c r="H16" s="27"/>
      <c r="I16" s="27">
        <f t="shared" ref="I16:I21" si="50">SUM(C16:H16)</f>
        <v>3</v>
      </c>
      <c r="J16" s="112"/>
      <c r="K16" s="26" t="s">
        <v>25</v>
      </c>
      <c r="L16" s="27">
        <f t="shared" ref="L16:Q16" si="46">INT(C16/52)</f>
        <v>0</v>
      </c>
      <c r="M16" s="27">
        <f t="shared" si="46"/>
        <v>0</v>
      </c>
      <c r="N16" s="27">
        <f t="shared" si="46"/>
        <v>0</v>
      </c>
      <c r="O16" s="27">
        <f t="shared" si="46"/>
        <v>0</v>
      </c>
      <c r="P16" s="27">
        <f t="shared" si="46"/>
        <v>0</v>
      </c>
      <c r="Q16" s="27">
        <f t="shared" si="46"/>
        <v>0</v>
      </c>
      <c r="R16" s="27">
        <f t="shared" ref="R16:R21" si="52">SUM(L16:Q16)</f>
        <v>0</v>
      </c>
      <c r="S16" s="43"/>
      <c r="T16" s="26" t="s">
        <v>25</v>
      </c>
      <c r="U16" s="56">
        <f t="shared" ref="U16:Z16" si="47">L6*C76</f>
        <v>0</v>
      </c>
      <c r="V16" s="56" t="str">
        <f t="shared" si="47"/>
        <v>#NAME?</v>
      </c>
      <c r="W16" s="56" t="str">
        <f t="shared" si="47"/>
        <v>#NAME?</v>
      </c>
      <c r="X16" s="56" t="str">
        <f t="shared" si="47"/>
        <v>#NAME?</v>
      </c>
      <c r="Y16" s="56" t="str">
        <f t="shared" si="47"/>
        <v>#NAME?</v>
      </c>
      <c r="Z16" s="56" t="str">
        <f t="shared" si="47"/>
        <v>#NAME?</v>
      </c>
      <c r="AW16" s="43"/>
      <c r="AX16" s="26" t="s">
        <v>25</v>
      </c>
      <c r="AY16" s="27">
        <f t="shared" ref="AY16:BD16" si="48">SUM(AG6,AG26,AG46)</f>
        <v>0</v>
      </c>
      <c r="AZ16" s="27">
        <f t="shared" si="48"/>
        <v>4172</v>
      </c>
      <c r="BA16" s="27">
        <f t="shared" si="48"/>
        <v>4592</v>
      </c>
      <c r="BB16" s="27">
        <f t="shared" si="48"/>
        <v>1848</v>
      </c>
      <c r="BC16" s="27">
        <f t="shared" si="48"/>
        <v>30968</v>
      </c>
      <c r="BD16" s="27">
        <f t="shared" si="48"/>
        <v>3192</v>
      </c>
      <c r="BE16" s="27">
        <f t="shared" ref="BE16:BE21" si="55">SUM(AY16:BD16)</f>
        <v>44772</v>
      </c>
      <c r="BG16" s="26" t="s">
        <v>25</v>
      </c>
      <c r="BH16" s="27">
        <f t="shared" ref="BH16:BM16" si="49">SUM(AP6,AP26,AP46)</f>
        <v>0</v>
      </c>
      <c r="BI16" s="27">
        <f t="shared" si="49"/>
        <v>0</v>
      </c>
      <c r="BJ16" s="27">
        <f t="shared" si="49"/>
        <v>0</v>
      </c>
      <c r="BK16" s="27">
        <f t="shared" si="49"/>
        <v>0</v>
      </c>
      <c r="BL16" s="27">
        <f t="shared" si="49"/>
        <v>112</v>
      </c>
      <c r="BM16" s="27">
        <f t="shared" si="49"/>
        <v>886</v>
      </c>
      <c r="BN16" s="27">
        <f t="shared" ref="BN16:BN21" si="57">SUM(BH16:BM16)</f>
        <v>998</v>
      </c>
    </row>
    <row r="17">
      <c r="A17" s="50"/>
      <c r="B17" s="26" t="s">
        <v>28</v>
      </c>
      <c r="C17" s="34"/>
      <c r="D17" s="27"/>
      <c r="E17" s="27"/>
      <c r="F17" s="27"/>
      <c r="G17" s="27"/>
      <c r="H17" s="27"/>
      <c r="I17" s="27">
        <f t="shared" si="50"/>
        <v>0</v>
      </c>
      <c r="J17" s="112"/>
      <c r="K17" s="26" t="s">
        <v>28</v>
      </c>
      <c r="L17" s="27">
        <f t="shared" ref="L17:Q17" si="51">INT(C17/52)</f>
        <v>0</v>
      </c>
      <c r="M17" s="27">
        <f t="shared" si="51"/>
        <v>0</v>
      </c>
      <c r="N17" s="27">
        <f t="shared" si="51"/>
        <v>0</v>
      </c>
      <c r="O17" s="27">
        <f t="shared" si="51"/>
        <v>0</v>
      </c>
      <c r="P17" s="27">
        <f t="shared" si="51"/>
        <v>0</v>
      </c>
      <c r="Q17" s="27">
        <f t="shared" si="51"/>
        <v>0</v>
      </c>
      <c r="R17" s="27">
        <f t="shared" si="52"/>
        <v>0</v>
      </c>
      <c r="S17" s="43"/>
      <c r="T17" s="26" t="s">
        <v>28</v>
      </c>
      <c r="U17" s="56" t="str">
        <f t="shared" ref="U17:Z17" si="53">L7*C77</f>
        <v>#NAME?</v>
      </c>
      <c r="V17" s="56">
        <f t="shared" si="53"/>
        <v>0</v>
      </c>
      <c r="W17" s="56" t="str">
        <f t="shared" si="53"/>
        <v>#NAME?</v>
      </c>
      <c r="X17" s="56" t="str">
        <f t="shared" si="53"/>
        <v>#NAME?</v>
      </c>
      <c r="Y17" s="56" t="str">
        <f t="shared" si="53"/>
        <v>#NAME?</v>
      </c>
      <c r="Z17" s="56" t="str">
        <f t="shared" si="53"/>
        <v>#NAME?</v>
      </c>
      <c r="AW17" s="43"/>
      <c r="AX17" s="26" t="s">
        <v>28</v>
      </c>
      <c r="AY17" s="27">
        <f t="shared" ref="AY17:BD17" si="54">SUM(AG7,AG27,AG47)</f>
        <v>7168</v>
      </c>
      <c r="AZ17" s="27">
        <f t="shared" si="54"/>
        <v>0</v>
      </c>
      <c r="BA17" s="27">
        <f t="shared" si="54"/>
        <v>1456</v>
      </c>
      <c r="BB17" s="27">
        <f t="shared" si="54"/>
        <v>280</v>
      </c>
      <c r="BC17" s="27">
        <f t="shared" si="54"/>
        <v>9240</v>
      </c>
      <c r="BD17" s="27">
        <f t="shared" si="54"/>
        <v>3892</v>
      </c>
      <c r="BE17" s="27">
        <f t="shared" si="55"/>
        <v>22036</v>
      </c>
      <c r="BG17" s="26" t="s">
        <v>28</v>
      </c>
      <c r="BH17" s="27">
        <f t="shared" ref="BH17:BM17" si="56">SUM(AP7,AP27,AP47)</f>
        <v>1356</v>
      </c>
      <c r="BI17" s="27">
        <f t="shared" si="56"/>
        <v>0</v>
      </c>
      <c r="BJ17" s="27">
        <f t="shared" si="56"/>
        <v>0</v>
      </c>
      <c r="BK17" s="27">
        <f t="shared" si="56"/>
        <v>0</v>
      </c>
      <c r="BL17" s="27">
        <f t="shared" si="56"/>
        <v>44</v>
      </c>
      <c r="BM17" s="27">
        <f t="shared" si="56"/>
        <v>1212</v>
      </c>
      <c r="BN17" s="27">
        <f t="shared" si="57"/>
        <v>2612</v>
      </c>
    </row>
    <row r="18">
      <c r="A18" s="50"/>
      <c r="B18" s="26" t="s">
        <v>9</v>
      </c>
      <c r="C18" s="34"/>
      <c r="D18" s="27">
        <v>3.0</v>
      </c>
      <c r="E18" s="27"/>
      <c r="F18" s="27"/>
      <c r="G18" s="27">
        <v>1.0</v>
      </c>
      <c r="H18" s="27">
        <v>4.0</v>
      </c>
      <c r="I18" s="27">
        <f t="shared" si="50"/>
        <v>8</v>
      </c>
      <c r="J18" s="112"/>
      <c r="K18" s="26" t="s">
        <v>9</v>
      </c>
      <c r="L18" s="27">
        <f t="shared" ref="L18:Q18" si="58">INT(C18/52)</f>
        <v>0</v>
      </c>
      <c r="M18" s="27">
        <f t="shared" si="58"/>
        <v>0</v>
      </c>
      <c r="N18" s="27">
        <f t="shared" si="58"/>
        <v>0</v>
      </c>
      <c r="O18" s="27">
        <f t="shared" si="58"/>
        <v>0</v>
      </c>
      <c r="P18" s="27">
        <f t="shared" si="58"/>
        <v>0</v>
      </c>
      <c r="Q18" s="27">
        <f t="shared" si="58"/>
        <v>0</v>
      </c>
      <c r="R18" s="27">
        <f t="shared" si="52"/>
        <v>0</v>
      </c>
      <c r="S18" s="43"/>
      <c r="T18" s="26" t="s">
        <v>9</v>
      </c>
      <c r="U18" s="56" t="str">
        <f t="shared" ref="U18:Z18" si="59">L8*C78</f>
        <v>#NAME?</v>
      </c>
      <c r="V18" s="56" t="str">
        <f t="shared" si="59"/>
        <v>#NAME?</v>
      </c>
      <c r="W18" s="56">
        <f t="shared" si="59"/>
        <v>0</v>
      </c>
      <c r="X18" s="56" t="str">
        <f t="shared" si="59"/>
        <v>#NAME?</v>
      </c>
      <c r="Y18" s="56" t="str">
        <f t="shared" si="59"/>
        <v>#NAME?</v>
      </c>
      <c r="Z18" s="56" t="str">
        <f t="shared" si="59"/>
        <v>#NAME?</v>
      </c>
      <c r="AW18" s="43"/>
      <c r="AX18" s="26" t="s">
        <v>9</v>
      </c>
      <c r="AY18" s="27">
        <f t="shared" ref="AY18:BD18" si="60">SUM(AG8,AG28,AG48)</f>
        <v>11340</v>
      </c>
      <c r="AZ18" s="27">
        <f t="shared" si="60"/>
        <v>3696</v>
      </c>
      <c r="BA18" s="27">
        <f t="shared" si="60"/>
        <v>0</v>
      </c>
      <c r="BB18" s="27">
        <f t="shared" si="60"/>
        <v>1932</v>
      </c>
      <c r="BC18" s="27">
        <f t="shared" si="60"/>
        <v>9800</v>
      </c>
      <c r="BD18" s="27">
        <f t="shared" si="60"/>
        <v>2716</v>
      </c>
      <c r="BE18" s="27">
        <f t="shared" si="55"/>
        <v>29484</v>
      </c>
      <c r="BG18" s="26" t="s">
        <v>9</v>
      </c>
      <c r="BH18" s="27">
        <f t="shared" ref="BH18:BM18" si="61">SUM(AP8,AP28,AP48)</f>
        <v>0</v>
      </c>
      <c r="BI18" s="27">
        <f t="shared" si="61"/>
        <v>0</v>
      </c>
      <c r="BJ18" s="27">
        <f t="shared" si="61"/>
        <v>0</v>
      </c>
      <c r="BK18" s="27">
        <f t="shared" si="61"/>
        <v>4</v>
      </c>
      <c r="BL18" s="27">
        <f t="shared" si="61"/>
        <v>1140</v>
      </c>
      <c r="BM18" s="27">
        <f t="shared" si="61"/>
        <v>1368</v>
      </c>
      <c r="BN18" s="27">
        <f t="shared" si="57"/>
        <v>2512</v>
      </c>
    </row>
    <row r="19">
      <c r="A19" s="50"/>
      <c r="B19" s="26" t="s">
        <v>10</v>
      </c>
      <c r="C19" s="8"/>
      <c r="D19" s="55">
        <v>4.0</v>
      </c>
      <c r="E19" s="55">
        <v>2.0</v>
      </c>
      <c r="F19" s="31"/>
      <c r="G19" s="51">
        <v>2.0</v>
      </c>
      <c r="H19" s="55">
        <v>2.0</v>
      </c>
      <c r="I19" s="27">
        <f t="shared" si="50"/>
        <v>10</v>
      </c>
      <c r="J19" s="112"/>
      <c r="K19" s="26" t="s">
        <v>33</v>
      </c>
      <c r="L19" s="27">
        <f t="shared" ref="L19:Q19" si="62">INT(C19/52)</f>
        <v>0</v>
      </c>
      <c r="M19" s="27">
        <f t="shared" si="62"/>
        <v>0</v>
      </c>
      <c r="N19" s="27">
        <f t="shared" si="62"/>
        <v>0</v>
      </c>
      <c r="O19" s="27">
        <f t="shared" si="62"/>
        <v>0</v>
      </c>
      <c r="P19" s="27">
        <f t="shared" si="62"/>
        <v>0</v>
      </c>
      <c r="Q19" s="27">
        <f t="shared" si="62"/>
        <v>0</v>
      </c>
      <c r="R19" s="27">
        <f t="shared" si="52"/>
        <v>0</v>
      </c>
      <c r="S19" s="43"/>
      <c r="T19" s="26" t="s">
        <v>33</v>
      </c>
      <c r="U19" s="56" t="str">
        <f t="shared" ref="U19:Z19" si="63">L9*C79</f>
        <v>#NAME?</v>
      </c>
      <c r="V19" s="56" t="str">
        <f t="shared" si="63"/>
        <v>#NAME?</v>
      </c>
      <c r="W19" s="56" t="str">
        <f t="shared" si="63"/>
        <v>#NAME?</v>
      </c>
      <c r="X19" s="56">
        <f t="shared" si="63"/>
        <v>0</v>
      </c>
      <c r="Y19" s="56">
        <f t="shared" si="63"/>
        <v>0</v>
      </c>
      <c r="Z19" s="56" t="str">
        <f t="shared" si="63"/>
        <v>#NAME?</v>
      </c>
      <c r="AW19" s="43"/>
      <c r="AX19" s="26" t="s">
        <v>33</v>
      </c>
      <c r="AY19" s="27">
        <f t="shared" ref="AY19:BD19" si="64">SUM(AG9,AG29,AG49)</f>
        <v>2044</v>
      </c>
      <c r="AZ19" s="27">
        <f t="shared" si="64"/>
        <v>1652</v>
      </c>
      <c r="BA19" s="27">
        <f t="shared" si="64"/>
        <v>1232</v>
      </c>
      <c r="BB19" s="27">
        <f t="shared" si="64"/>
        <v>0</v>
      </c>
      <c r="BC19" s="27">
        <f t="shared" si="64"/>
        <v>11900</v>
      </c>
      <c r="BD19" s="27">
        <f t="shared" si="64"/>
        <v>1484</v>
      </c>
      <c r="BE19" s="27">
        <f t="shared" si="55"/>
        <v>18312</v>
      </c>
      <c r="BG19" s="26" t="s">
        <v>33</v>
      </c>
      <c r="BH19" s="27">
        <f t="shared" ref="BH19:BM19" si="65">SUM(AP9,AP29,AP49)</f>
        <v>0</v>
      </c>
      <c r="BI19" s="27">
        <f t="shared" si="65"/>
        <v>0</v>
      </c>
      <c r="BJ19" s="27">
        <f t="shared" si="65"/>
        <v>0</v>
      </c>
      <c r="BK19" s="27">
        <f t="shared" si="65"/>
        <v>0</v>
      </c>
      <c r="BL19" s="27">
        <f t="shared" si="65"/>
        <v>0</v>
      </c>
      <c r="BM19" s="27">
        <f t="shared" si="65"/>
        <v>0</v>
      </c>
      <c r="BN19" s="27">
        <f t="shared" si="57"/>
        <v>0</v>
      </c>
    </row>
    <row r="20">
      <c r="A20" s="50"/>
      <c r="B20" s="26" t="s">
        <v>8</v>
      </c>
      <c r="C20" s="34"/>
      <c r="D20" s="27">
        <v>17.0</v>
      </c>
      <c r="E20" s="27">
        <v>16.0</v>
      </c>
      <c r="F20" s="56">
        <v>2.0</v>
      </c>
      <c r="G20" s="56"/>
      <c r="H20" s="56"/>
      <c r="I20" s="27">
        <f t="shared" si="50"/>
        <v>35</v>
      </c>
      <c r="J20" s="112"/>
      <c r="K20" s="26" t="s">
        <v>8</v>
      </c>
      <c r="L20" s="27">
        <f t="shared" ref="L20:Q20" si="66">INT(C20/52)</f>
        <v>0</v>
      </c>
      <c r="M20" s="27">
        <f t="shared" si="66"/>
        <v>0</v>
      </c>
      <c r="N20" s="27">
        <f t="shared" si="66"/>
        <v>0</v>
      </c>
      <c r="O20" s="27">
        <f t="shared" si="66"/>
        <v>0</v>
      </c>
      <c r="P20" s="27">
        <f t="shared" si="66"/>
        <v>0</v>
      </c>
      <c r="Q20" s="27">
        <f t="shared" si="66"/>
        <v>0</v>
      </c>
      <c r="R20" s="27">
        <f t="shared" si="52"/>
        <v>0</v>
      </c>
      <c r="S20" s="43"/>
      <c r="T20" s="26" t="s">
        <v>8</v>
      </c>
      <c r="U20" s="56" t="str">
        <f t="shared" ref="U20:Z20" si="67">L10*C80</f>
        <v>#NAME?</v>
      </c>
      <c r="V20" s="56" t="str">
        <f t="shared" si="67"/>
        <v>#NAME?</v>
      </c>
      <c r="W20" s="56" t="str">
        <f t="shared" si="67"/>
        <v>#NAME?</v>
      </c>
      <c r="X20" s="56" t="str">
        <f t="shared" si="67"/>
        <v>#NAME?</v>
      </c>
      <c r="Y20" s="56">
        <f t="shared" si="67"/>
        <v>0</v>
      </c>
      <c r="Z20" s="56">
        <f t="shared" si="67"/>
        <v>0</v>
      </c>
      <c r="AW20" s="43"/>
      <c r="AX20" s="26" t="s">
        <v>8</v>
      </c>
      <c r="AY20" s="27">
        <f t="shared" ref="AY20:BD20" si="68">SUM(AG10,AG30,AG50)</f>
        <v>13104</v>
      </c>
      <c r="AZ20" s="27">
        <f t="shared" si="68"/>
        <v>16940</v>
      </c>
      <c r="BA20" s="27">
        <f t="shared" si="68"/>
        <v>20468</v>
      </c>
      <c r="BB20" s="27">
        <f t="shared" si="68"/>
        <v>3612</v>
      </c>
      <c r="BC20" s="27">
        <f t="shared" si="68"/>
        <v>0</v>
      </c>
      <c r="BD20" s="27">
        <f t="shared" si="68"/>
        <v>0</v>
      </c>
      <c r="BE20" s="27">
        <f t="shared" si="55"/>
        <v>54124</v>
      </c>
      <c r="BG20" s="26" t="s">
        <v>8</v>
      </c>
      <c r="BH20" s="27">
        <f t="shared" ref="BH20:BM20" si="69">SUM(AP10,AP30,AP50)</f>
        <v>0</v>
      </c>
      <c r="BI20" s="27">
        <f t="shared" si="69"/>
        <v>0</v>
      </c>
      <c r="BJ20" s="27">
        <f t="shared" si="69"/>
        <v>0</v>
      </c>
      <c r="BK20" s="27">
        <f t="shared" si="69"/>
        <v>0</v>
      </c>
      <c r="BL20" s="27">
        <f t="shared" si="69"/>
        <v>0</v>
      </c>
      <c r="BM20" s="27">
        <f t="shared" si="69"/>
        <v>1132</v>
      </c>
      <c r="BN20" s="27">
        <f t="shared" si="57"/>
        <v>1132</v>
      </c>
    </row>
    <row r="21" ht="15.75" customHeight="1">
      <c r="A21" s="50"/>
      <c r="B21" s="26" t="s">
        <v>31</v>
      </c>
      <c r="C21" s="34"/>
      <c r="D21" s="27">
        <v>7.0</v>
      </c>
      <c r="E21" s="27">
        <v>9.0</v>
      </c>
      <c r="F21" s="56"/>
      <c r="G21" s="56"/>
      <c r="H21" s="56"/>
      <c r="I21" s="27">
        <f t="shared" si="50"/>
        <v>16</v>
      </c>
      <c r="J21" s="112"/>
      <c r="K21" s="26" t="s">
        <v>31</v>
      </c>
      <c r="L21" s="27">
        <f t="shared" ref="L21:Q21" si="70">INT(C21/52)</f>
        <v>0</v>
      </c>
      <c r="M21" s="27">
        <f t="shared" si="70"/>
        <v>0</v>
      </c>
      <c r="N21" s="27">
        <f t="shared" si="70"/>
        <v>0</v>
      </c>
      <c r="O21" s="27">
        <f t="shared" si="70"/>
        <v>0</v>
      </c>
      <c r="P21" s="27">
        <f t="shared" si="70"/>
        <v>0</v>
      </c>
      <c r="Q21" s="27">
        <f t="shared" si="70"/>
        <v>0</v>
      </c>
      <c r="R21" s="27">
        <f t="shared" si="52"/>
        <v>0</v>
      </c>
      <c r="S21" s="43"/>
      <c r="T21" s="26" t="s">
        <v>31</v>
      </c>
      <c r="U21" s="56" t="str">
        <f t="shared" ref="U21:Z21" si="71">L11*C81</f>
        <v>#NAME?</v>
      </c>
      <c r="V21" s="56" t="str">
        <f t="shared" si="71"/>
        <v>#NAME?</v>
      </c>
      <c r="W21" s="56" t="str">
        <f t="shared" si="71"/>
        <v>#NAME?</v>
      </c>
      <c r="X21" s="56" t="str">
        <f t="shared" si="71"/>
        <v>#NAME?</v>
      </c>
      <c r="Y21" s="56">
        <f t="shared" si="71"/>
        <v>0</v>
      </c>
      <c r="Z21" s="56">
        <f t="shared" si="71"/>
        <v>0</v>
      </c>
      <c r="AW21" s="43"/>
      <c r="AX21" s="26" t="s">
        <v>31</v>
      </c>
      <c r="AY21" s="27">
        <f t="shared" ref="AY21:BD21" si="72">SUM(AG11,AG31,AG51)</f>
        <v>10108</v>
      </c>
      <c r="AZ21" s="27">
        <f t="shared" si="72"/>
        <v>15288</v>
      </c>
      <c r="BA21" s="27">
        <f t="shared" si="72"/>
        <v>20804</v>
      </c>
      <c r="BB21" s="27">
        <f t="shared" si="72"/>
        <v>4116</v>
      </c>
      <c r="BC21" s="27">
        <f t="shared" si="72"/>
        <v>0</v>
      </c>
      <c r="BD21" s="27">
        <f t="shared" si="72"/>
        <v>0</v>
      </c>
      <c r="BE21" s="27">
        <f t="shared" si="55"/>
        <v>50316</v>
      </c>
      <c r="BG21" s="26" t="s">
        <v>31</v>
      </c>
      <c r="BH21" s="27">
        <f t="shared" ref="BH21:BM21" si="73">SUM(AP11,AP31,AP51)</f>
        <v>0</v>
      </c>
      <c r="BI21" s="27">
        <f t="shared" si="73"/>
        <v>0</v>
      </c>
      <c r="BJ21" s="27">
        <f t="shared" si="73"/>
        <v>0</v>
      </c>
      <c r="BK21" s="27">
        <f t="shared" si="73"/>
        <v>0</v>
      </c>
      <c r="BL21" s="27">
        <f t="shared" si="73"/>
        <v>0</v>
      </c>
      <c r="BM21" s="27">
        <f t="shared" si="73"/>
        <v>0</v>
      </c>
      <c r="BN21" s="27">
        <f t="shared" si="57"/>
        <v>0</v>
      </c>
    </row>
    <row r="22" ht="15.75" customHeight="1">
      <c r="A22" s="50"/>
      <c r="B22" s="32" t="s">
        <v>48</v>
      </c>
      <c r="C22" s="35">
        <f t="shared" ref="C22:I22" si="74">SUM(C16:C21)</f>
        <v>0</v>
      </c>
      <c r="D22" s="35">
        <f t="shared" si="74"/>
        <v>31</v>
      </c>
      <c r="E22" s="35">
        <f t="shared" si="74"/>
        <v>28</v>
      </c>
      <c r="F22" s="35">
        <f t="shared" si="74"/>
        <v>4</v>
      </c>
      <c r="G22" s="35">
        <f t="shared" si="74"/>
        <v>3</v>
      </c>
      <c r="H22" s="35">
        <f t="shared" si="74"/>
        <v>6</v>
      </c>
      <c r="I22" s="33">
        <f t="shared" si="74"/>
        <v>72</v>
      </c>
      <c r="J22" s="112"/>
      <c r="K22" s="32" t="s">
        <v>48</v>
      </c>
      <c r="L22" s="35">
        <f t="shared" ref="L22:R22" si="75">SUM(L16:L21)</f>
        <v>0</v>
      </c>
      <c r="M22" s="35">
        <f t="shared" si="75"/>
        <v>0</v>
      </c>
      <c r="N22" s="35">
        <f t="shared" si="75"/>
        <v>0</v>
      </c>
      <c r="O22" s="35">
        <f t="shared" si="75"/>
        <v>0</v>
      </c>
      <c r="P22" s="35">
        <f t="shared" si="75"/>
        <v>0</v>
      </c>
      <c r="Q22" s="35">
        <f t="shared" si="75"/>
        <v>0</v>
      </c>
      <c r="R22" s="35">
        <f t="shared" si="75"/>
        <v>0</v>
      </c>
      <c r="S22" s="43"/>
      <c r="Z22" s="29" t="s">
        <v>124</v>
      </c>
      <c r="AA22" s="2" t="str">
        <f>SUM(U16:Z21)</f>
        <v>#NAME?</v>
      </c>
      <c r="AW22" s="43"/>
      <c r="AX22" s="32" t="s">
        <v>48</v>
      </c>
      <c r="AY22" s="33">
        <f t="shared" ref="AY22:BE22" si="76">SUM(AY16:AY21)</f>
        <v>43764</v>
      </c>
      <c r="AZ22" s="33">
        <f t="shared" si="76"/>
        <v>41748</v>
      </c>
      <c r="BA22" s="33">
        <f t="shared" si="76"/>
        <v>48552</v>
      </c>
      <c r="BB22" s="33">
        <f t="shared" si="76"/>
        <v>11788</v>
      </c>
      <c r="BC22" s="33">
        <f t="shared" si="76"/>
        <v>61908</v>
      </c>
      <c r="BD22" s="33">
        <f t="shared" si="76"/>
        <v>11284</v>
      </c>
      <c r="BE22" s="33">
        <f t="shared" si="76"/>
        <v>219044</v>
      </c>
      <c r="BG22" s="32" t="s">
        <v>48</v>
      </c>
      <c r="BH22" s="33">
        <f t="shared" ref="BH22:BN22" si="77">SUM(BH16:BH21)</f>
        <v>1356</v>
      </c>
      <c r="BI22" s="33">
        <f t="shared" si="77"/>
        <v>0</v>
      </c>
      <c r="BJ22" s="33">
        <f t="shared" si="77"/>
        <v>0</v>
      </c>
      <c r="BK22" s="33">
        <f t="shared" si="77"/>
        <v>4</v>
      </c>
      <c r="BL22" s="33">
        <f t="shared" si="77"/>
        <v>1296</v>
      </c>
      <c r="BM22" s="33">
        <f t="shared" si="77"/>
        <v>4598</v>
      </c>
      <c r="BN22" s="33">
        <f t="shared" si="77"/>
        <v>7254</v>
      </c>
    </row>
    <row r="23" ht="15.75" customHeight="1">
      <c r="J23" s="112"/>
      <c r="S23" s="43"/>
      <c r="AW23" s="43"/>
    </row>
    <row r="24" ht="15.75" customHeight="1">
      <c r="A24" s="48"/>
      <c r="B24" s="19" t="s">
        <v>52</v>
      </c>
      <c r="C24" s="20"/>
      <c r="D24" s="20"/>
      <c r="E24" s="20"/>
      <c r="F24" s="20"/>
      <c r="G24" s="20"/>
      <c r="H24" s="20"/>
      <c r="I24" s="21"/>
      <c r="J24" s="112"/>
      <c r="K24" s="19" t="s">
        <v>52</v>
      </c>
      <c r="L24" s="20"/>
      <c r="M24" s="20"/>
      <c r="N24" s="20"/>
      <c r="O24" s="20"/>
      <c r="P24" s="20"/>
      <c r="Q24" s="20"/>
      <c r="R24" s="21"/>
      <c r="S24" s="43"/>
      <c r="T24" s="116" t="s">
        <v>53</v>
      </c>
      <c r="U24" s="21"/>
      <c r="W24" s="116" t="s">
        <v>245</v>
      </c>
      <c r="X24" s="20"/>
      <c r="Y24" s="20"/>
      <c r="Z24" s="20"/>
      <c r="AA24" s="20"/>
      <c r="AB24" s="20"/>
      <c r="AC24" s="20"/>
      <c r="AD24" s="21"/>
      <c r="AF24" s="114" t="s">
        <v>246</v>
      </c>
      <c r="AG24" s="20"/>
      <c r="AH24" s="20"/>
      <c r="AI24" s="20"/>
      <c r="AJ24" s="20"/>
      <c r="AK24" s="20"/>
      <c r="AL24" s="20"/>
      <c r="AM24" s="21"/>
      <c r="AO24" s="116" t="s">
        <v>247</v>
      </c>
      <c r="AP24" s="20"/>
      <c r="AQ24" s="20"/>
      <c r="AR24" s="20"/>
      <c r="AS24" s="20"/>
      <c r="AT24" s="20"/>
      <c r="AU24" s="20"/>
      <c r="AV24" s="21"/>
      <c r="AW24" s="43"/>
      <c r="AX24" s="42" t="s">
        <v>248</v>
      </c>
      <c r="AY24" s="20"/>
      <c r="AZ24" s="20"/>
      <c r="BA24" s="20"/>
      <c r="BB24" s="20"/>
      <c r="BC24" s="20"/>
      <c r="BD24" s="20"/>
      <c r="BE24" s="21"/>
      <c r="BG24" s="42" t="s">
        <v>249</v>
      </c>
      <c r="BH24" s="20"/>
      <c r="BI24" s="20"/>
      <c r="BJ24" s="20"/>
      <c r="BK24" s="20"/>
      <c r="BL24" s="20"/>
      <c r="BM24" s="20"/>
      <c r="BN24" s="21"/>
    </row>
    <row r="25" ht="15.75" customHeight="1">
      <c r="A25" s="48"/>
      <c r="B25" s="4" t="s">
        <v>42</v>
      </c>
      <c r="C25" s="4" t="s">
        <v>25</v>
      </c>
      <c r="D25" s="4" t="s">
        <v>28</v>
      </c>
      <c r="E25" s="4" t="s">
        <v>9</v>
      </c>
      <c r="F25" s="49" t="s">
        <v>33</v>
      </c>
      <c r="G25" s="4" t="s">
        <v>8</v>
      </c>
      <c r="H25" s="4" t="s">
        <v>31</v>
      </c>
      <c r="I25" s="4" t="s">
        <v>43</v>
      </c>
      <c r="J25" s="112"/>
      <c r="K25" s="4" t="s">
        <v>42</v>
      </c>
      <c r="L25" s="4" t="s">
        <v>25</v>
      </c>
      <c r="M25" s="4" t="s">
        <v>28</v>
      </c>
      <c r="N25" s="4" t="s">
        <v>9</v>
      </c>
      <c r="O25" s="49" t="s">
        <v>33</v>
      </c>
      <c r="P25" s="4" t="s">
        <v>8</v>
      </c>
      <c r="Q25" s="4" t="s">
        <v>31</v>
      </c>
      <c r="R25" s="4" t="s">
        <v>43</v>
      </c>
      <c r="S25" s="43"/>
      <c r="T25" s="4" t="s">
        <v>44</v>
      </c>
      <c r="U25" s="4" t="s">
        <v>47</v>
      </c>
      <c r="W25" s="49" t="s">
        <v>42</v>
      </c>
      <c r="X25" s="49" t="s">
        <v>25</v>
      </c>
      <c r="Y25" s="49" t="s">
        <v>28</v>
      </c>
      <c r="Z25" s="49" t="s">
        <v>9</v>
      </c>
      <c r="AA25" s="49" t="s">
        <v>33</v>
      </c>
      <c r="AB25" s="49" t="s">
        <v>8</v>
      </c>
      <c r="AC25" s="49" t="s">
        <v>31</v>
      </c>
      <c r="AD25" s="49" t="s">
        <v>43</v>
      </c>
      <c r="AF25" s="4" t="s">
        <v>42</v>
      </c>
      <c r="AG25" s="4" t="s">
        <v>25</v>
      </c>
      <c r="AH25" s="49" t="s">
        <v>28</v>
      </c>
      <c r="AI25" s="4" t="s">
        <v>9</v>
      </c>
      <c r="AJ25" s="49" t="s">
        <v>33</v>
      </c>
      <c r="AK25" s="49" t="s">
        <v>8</v>
      </c>
      <c r="AL25" s="4" t="s">
        <v>31</v>
      </c>
      <c r="AM25" s="4" t="s">
        <v>43</v>
      </c>
      <c r="AO25" s="49" t="s">
        <v>42</v>
      </c>
      <c r="AP25" s="49" t="s">
        <v>25</v>
      </c>
      <c r="AQ25" s="49" t="s">
        <v>28</v>
      </c>
      <c r="AR25" s="49" t="s">
        <v>9</v>
      </c>
      <c r="AS25" s="49" t="s">
        <v>33</v>
      </c>
      <c r="AT25" s="49" t="s">
        <v>8</v>
      </c>
      <c r="AU25" s="49" t="s">
        <v>31</v>
      </c>
      <c r="AV25" s="49" t="s">
        <v>43</v>
      </c>
      <c r="AW25" s="43"/>
      <c r="AX25" s="4" t="s">
        <v>42</v>
      </c>
      <c r="AY25" s="4" t="s">
        <v>25</v>
      </c>
      <c r="AZ25" s="4" t="s">
        <v>28</v>
      </c>
      <c r="BA25" s="4" t="s">
        <v>9</v>
      </c>
      <c r="BB25" s="49" t="s">
        <v>33</v>
      </c>
      <c r="BC25" s="4" t="s">
        <v>8</v>
      </c>
      <c r="BD25" s="4" t="s">
        <v>31</v>
      </c>
      <c r="BE25" s="4" t="s">
        <v>43</v>
      </c>
      <c r="BG25" s="4" t="s">
        <v>42</v>
      </c>
      <c r="BH25" s="4" t="s">
        <v>25</v>
      </c>
      <c r="BI25" s="4" t="s">
        <v>28</v>
      </c>
      <c r="BJ25" s="4" t="s">
        <v>9</v>
      </c>
      <c r="BK25" s="49" t="s">
        <v>33</v>
      </c>
      <c r="BL25" s="4" t="s">
        <v>8</v>
      </c>
      <c r="BM25" s="4" t="s">
        <v>31</v>
      </c>
      <c r="BN25" s="4" t="s">
        <v>43</v>
      </c>
    </row>
    <row r="26" ht="15.75" customHeight="1">
      <c r="A26" s="50"/>
      <c r="B26" s="26" t="s">
        <v>25</v>
      </c>
      <c r="C26" s="27"/>
      <c r="D26" s="27">
        <v>6066.0</v>
      </c>
      <c r="E26" s="27">
        <v>8232.0</v>
      </c>
      <c r="F26" s="51">
        <v>3166.0</v>
      </c>
      <c r="G26" s="27">
        <v>54983.0</v>
      </c>
      <c r="H26" s="27">
        <v>5501.0</v>
      </c>
      <c r="I26" s="27">
        <f t="shared" ref="I26:I31" si="83">SUM(C26:H26)</f>
        <v>77948</v>
      </c>
      <c r="J26" s="118"/>
      <c r="K26" s="26" t="s">
        <v>25</v>
      </c>
      <c r="L26" s="27">
        <f t="shared" ref="L26:Q26" si="78">INT(C26/52)</f>
        <v>0</v>
      </c>
      <c r="M26" s="27">
        <f t="shared" si="78"/>
        <v>116</v>
      </c>
      <c r="N26" s="27">
        <f t="shared" si="78"/>
        <v>158</v>
      </c>
      <c r="O26" s="27">
        <f t="shared" si="78"/>
        <v>60</v>
      </c>
      <c r="P26" s="27">
        <f t="shared" si="78"/>
        <v>1057</v>
      </c>
      <c r="Q26" s="27">
        <f t="shared" si="78"/>
        <v>105</v>
      </c>
      <c r="R26" s="27">
        <f t="shared" ref="R26:R31" si="85">SUM(L26:Q26)</f>
        <v>1496</v>
      </c>
      <c r="S26" s="43"/>
      <c r="T26" s="26" t="s">
        <v>25</v>
      </c>
      <c r="U26" s="52">
        <f>L32-R26</f>
        <v>-339</v>
      </c>
      <c r="W26" s="26" t="s">
        <v>25</v>
      </c>
      <c r="X26" s="27"/>
      <c r="Y26" s="27"/>
      <c r="Z26" s="27"/>
      <c r="AA26" s="27"/>
      <c r="AB26" s="27"/>
      <c r="AC26" s="27"/>
      <c r="AD26" s="27">
        <f t="shared" ref="AD26:AD31" si="86">SUM(X26:AC26)</f>
        <v>0</v>
      </c>
      <c r="AF26" s="26" t="s">
        <v>25</v>
      </c>
      <c r="AG26" s="27">
        <f t="shared" ref="AG26:AL26" si="79">L26*28</f>
        <v>0</v>
      </c>
      <c r="AH26" s="27">
        <f t="shared" si="79"/>
        <v>3248</v>
      </c>
      <c r="AI26" s="27">
        <f t="shared" si="79"/>
        <v>4424</v>
      </c>
      <c r="AJ26" s="27">
        <f t="shared" si="79"/>
        <v>1680</v>
      </c>
      <c r="AK26" s="27">
        <f t="shared" si="79"/>
        <v>29596</v>
      </c>
      <c r="AL26" s="27">
        <f t="shared" si="79"/>
        <v>2940</v>
      </c>
      <c r="AM26" s="27">
        <f t="shared" ref="AM26:AM31" si="88">SUM(AG26:AL26)</f>
        <v>41888</v>
      </c>
      <c r="AO26" s="26" t="s">
        <v>25</v>
      </c>
      <c r="AP26" s="27">
        <f t="shared" ref="AP26:AU26" si="80">X26*4</f>
        <v>0</v>
      </c>
      <c r="AQ26" s="27">
        <f t="shared" si="80"/>
        <v>0</v>
      </c>
      <c r="AR26" s="27">
        <f t="shared" si="80"/>
        <v>0</v>
      </c>
      <c r="AS26" s="27">
        <f t="shared" si="80"/>
        <v>0</v>
      </c>
      <c r="AT26" s="27">
        <f t="shared" si="80"/>
        <v>0</v>
      </c>
      <c r="AU26" s="27">
        <f t="shared" si="80"/>
        <v>0</v>
      </c>
      <c r="AV26" s="27">
        <f t="shared" ref="AV26:AV31" si="91">SUM(AP26:AU26)</f>
        <v>0</v>
      </c>
      <c r="AW26" s="43"/>
      <c r="AX26" s="26" t="s">
        <v>25</v>
      </c>
      <c r="AY26" s="27">
        <f t="shared" ref="AY26:BD26" si="81">SUM(L6,2*L26,2*L46)</f>
        <v>0</v>
      </c>
      <c r="AZ26" s="27">
        <f t="shared" si="81"/>
        <v>265</v>
      </c>
      <c r="BA26" s="27">
        <f t="shared" si="81"/>
        <v>322</v>
      </c>
      <c r="BB26" s="27">
        <f t="shared" si="81"/>
        <v>126</v>
      </c>
      <c r="BC26" s="27">
        <f t="shared" si="81"/>
        <v>2164</v>
      </c>
      <c r="BD26" s="27">
        <f t="shared" si="81"/>
        <v>219</v>
      </c>
      <c r="BE26" s="27">
        <f t="shared" ref="BE26:BE31" si="93">SUM(AY26:BD26)</f>
        <v>3096</v>
      </c>
      <c r="BG26" s="26" t="s">
        <v>25</v>
      </c>
      <c r="BH26" s="27">
        <f t="shared" ref="BH26:BM26" si="82">SUM(X6,2*X26,2*X46)</f>
        <v>0</v>
      </c>
      <c r="BI26" s="27">
        <f t="shared" si="82"/>
        <v>0</v>
      </c>
      <c r="BJ26" s="27">
        <f t="shared" si="82"/>
        <v>0</v>
      </c>
      <c r="BK26" s="27">
        <f t="shared" si="82"/>
        <v>0</v>
      </c>
      <c r="BL26" s="27">
        <f t="shared" si="82"/>
        <v>56</v>
      </c>
      <c r="BM26" s="27">
        <f t="shared" si="82"/>
        <v>443</v>
      </c>
      <c r="BN26" s="27">
        <f t="shared" ref="BN26:BN31" si="95">SUM(BH26:BM26)</f>
        <v>499</v>
      </c>
    </row>
    <row r="27" ht="15.75" customHeight="1">
      <c r="A27" s="50"/>
      <c r="B27" s="26" t="s">
        <v>28</v>
      </c>
      <c r="C27" s="27">
        <v>10303.0</v>
      </c>
      <c r="D27" s="27"/>
      <c r="E27" s="27">
        <v>2481.0</v>
      </c>
      <c r="F27" s="53">
        <v>101.0</v>
      </c>
      <c r="G27" s="27">
        <v>7856.0</v>
      </c>
      <c r="H27" s="27">
        <v>3188.0</v>
      </c>
      <c r="I27" s="27">
        <f t="shared" si="83"/>
        <v>23929</v>
      </c>
      <c r="J27" s="112"/>
      <c r="K27" s="26" t="s">
        <v>28</v>
      </c>
      <c r="L27" s="27">
        <f t="shared" ref="L27:Q27" si="84">INT(C27/52)</f>
        <v>198</v>
      </c>
      <c r="M27" s="27">
        <f t="shared" si="84"/>
        <v>0</v>
      </c>
      <c r="N27" s="27">
        <f t="shared" si="84"/>
        <v>47</v>
      </c>
      <c r="O27" s="27">
        <f t="shared" si="84"/>
        <v>1</v>
      </c>
      <c r="P27" s="27">
        <f t="shared" si="84"/>
        <v>151</v>
      </c>
      <c r="Q27" s="27">
        <f t="shared" si="84"/>
        <v>61</v>
      </c>
      <c r="R27" s="27">
        <f t="shared" si="85"/>
        <v>458</v>
      </c>
      <c r="S27" s="43"/>
      <c r="T27" s="26" t="s">
        <v>28</v>
      </c>
      <c r="U27" s="52">
        <f>M32-R27</f>
        <v>486</v>
      </c>
      <c r="W27" s="26" t="s">
        <v>28</v>
      </c>
      <c r="X27" s="27">
        <v>339.0</v>
      </c>
      <c r="Y27" s="27"/>
      <c r="Z27" s="27"/>
      <c r="AA27" s="27"/>
      <c r="AB27" s="27"/>
      <c r="AC27" s="27">
        <f>U27-X27</f>
        <v>147</v>
      </c>
      <c r="AD27" s="27">
        <f t="shared" si="86"/>
        <v>486</v>
      </c>
      <c r="AF27" s="26" t="s">
        <v>28</v>
      </c>
      <c r="AG27" s="27">
        <f t="shared" ref="AG27:AL27" si="87">L27*28</f>
        <v>5544</v>
      </c>
      <c r="AH27" s="27">
        <f t="shared" si="87"/>
        <v>0</v>
      </c>
      <c r="AI27" s="27">
        <f t="shared" si="87"/>
        <v>1316</v>
      </c>
      <c r="AJ27" s="27">
        <f t="shared" si="87"/>
        <v>28</v>
      </c>
      <c r="AK27" s="27">
        <f t="shared" si="87"/>
        <v>4228</v>
      </c>
      <c r="AL27" s="27">
        <f t="shared" si="87"/>
        <v>1708</v>
      </c>
      <c r="AM27" s="27">
        <f t="shared" si="88"/>
        <v>12824</v>
      </c>
      <c r="AO27" s="26" t="s">
        <v>28</v>
      </c>
      <c r="AP27" s="27">
        <f t="shared" ref="AP27:AP31" si="98">X27*4</f>
        <v>1356</v>
      </c>
      <c r="AQ27" s="27">
        <f t="shared" ref="AQ27:AS27" si="89">Y27*2</f>
        <v>0</v>
      </c>
      <c r="AR27" s="27">
        <f t="shared" si="89"/>
        <v>0</v>
      </c>
      <c r="AS27" s="27">
        <f t="shared" si="89"/>
        <v>0</v>
      </c>
      <c r="AT27" s="27">
        <f t="shared" ref="AT27:AU27" si="90">AB27*4</f>
        <v>0</v>
      </c>
      <c r="AU27" s="27">
        <f t="shared" si="90"/>
        <v>588</v>
      </c>
      <c r="AV27" s="27">
        <f t="shared" si="91"/>
        <v>1944</v>
      </c>
      <c r="AW27" s="43"/>
      <c r="AX27" s="26" t="s">
        <v>28</v>
      </c>
      <c r="AY27" s="27">
        <f t="shared" ref="AY27:BD27" si="92">SUM(L7,2*L27,2*L47)</f>
        <v>456</v>
      </c>
      <c r="AZ27" s="27">
        <f t="shared" si="92"/>
        <v>0</v>
      </c>
      <c r="BA27" s="27">
        <f t="shared" si="92"/>
        <v>99</v>
      </c>
      <c r="BB27" s="27">
        <f t="shared" si="92"/>
        <v>11</v>
      </c>
      <c r="BC27" s="27">
        <f t="shared" si="92"/>
        <v>485</v>
      </c>
      <c r="BD27" s="27">
        <f t="shared" si="92"/>
        <v>201</v>
      </c>
      <c r="BE27" s="27">
        <f t="shared" si="93"/>
        <v>1252</v>
      </c>
      <c r="BG27" s="26" t="s">
        <v>28</v>
      </c>
      <c r="BH27" s="27">
        <f t="shared" ref="BH27:BM27" si="94">SUM(X7,2*X27,2*X47)</f>
        <v>678</v>
      </c>
      <c r="BI27" s="27">
        <f t="shared" si="94"/>
        <v>0</v>
      </c>
      <c r="BJ27" s="27">
        <f t="shared" si="94"/>
        <v>0</v>
      </c>
      <c r="BK27" s="27">
        <f t="shared" si="94"/>
        <v>0</v>
      </c>
      <c r="BL27" s="27">
        <f t="shared" si="94"/>
        <v>22</v>
      </c>
      <c r="BM27" s="27">
        <f t="shared" si="94"/>
        <v>606</v>
      </c>
      <c r="BN27" s="27">
        <f t="shared" si="95"/>
        <v>1306</v>
      </c>
    </row>
    <row r="28" ht="15.75" customHeight="1">
      <c r="A28" s="50"/>
      <c r="B28" s="26" t="s">
        <v>9</v>
      </c>
      <c r="C28" s="27">
        <v>17515.0</v>
      </c>
      <c r="D28" s="27">
        <v>5046.0</v>
      </c>
      <c r="E28" s="27"/>
      <c r="F28" s="53">
        <v>652.0</v>
      </c>
      <c r="G28" s="27">
        <v>9764.0</v>
      </c>
      <c r="H28" s="27">
        <v>4287.0</v>
      </c>
      <c r="I28" s="27">
        <f t="shared" si="83"/>
        <v>37264</v>
      </c>
      <c r="J28" s="112"/>
      <c r="K28" s="26" t="s">
        <v>9</v>
      </c>
      <c r="L28" s="27">
        <f t="shared" ref="L28:Q28" si="96">INT(C28/52)</f>
        <v>336</v>
      </c>
      <c r="M28" s="27">
        <f t="shared" si="96"/>
        <v>97</v>
      </c>
      <c r="N28" s="27">
        <f t="shared" si="96"/>
        <v>0</v>
      </c>
      <c r="O28" s="27">
        <f t="shared" si="96"/>
        <v>12</v>
      </c>
      <c r="P28" s="27">
        <f t="shared" si="96"/>
        <v>187</v>
      </c>
      <c r="Q28" s="27">
        <f t="shared" si="96"/>
        <v>82</v>
      </c>
      <c r="R28" s="27">
        <f t="shared" si="85"/>
        <v>714</v>
      </c>
      <c r="S28" s="43"/>
      <c r="T28" s="54" t="s">
        <v>9</v>
      </c>
      <c r="U28" s="52">
        <f>N32-R28</f>
        <v>464</v>
      </c>
      <c r="W28" s="26" t="s">
        <v>9</v>
      </c>
      <c r="X28" s="27"/>
      <c r="Y28" s="27"/>
      <c r="Z28" s="27"/>
      <c r="AA28" s="27"/>
      <c r="AB28" s="27">
        <f>U28-AC28</f>
        <v>176</v>
      </c>
      <c r="AC28" s="27">
        <f>U29+U28</f>
        <v>288</v>
      </c>
      <c r="AD28" s="27">
        <f t="shared" si="86"/>
        <v>464</v>
      </c>
      <c r="AF28" s="26" t="s">
        <v>9</v>
      </c>
      <c r="AG28" s="27">
        <f t="shared" ref="AG28:AL28" si="97">L28*28</f>
        <v>9408</v>
      </c>
      <c r="AH28" s="27">
        <f t="shared" si="97"/>
        <v>2716</v>
      </c>
      <c r="AI28" s="27">
        <f t="shared" si="97"/>
        <v>0</v>
      </c>
      <c r="AJ28" s="27">
        <f t="shared" si="97"/>
        <v>336</v>
      </c>
      <c r="AK28" s="27">
        <f t="shared" si="97"/>
        <v>5236</v>
      </c>
      <c r="AL28" s="27">
        <f t="shared" si="97"/>
        <v>2296</v>
      </c>
      <c r="AM28" s="27">
        <f t="shared" si="88"/>
        <v>19992</v>
      </c>
      <c r="AO28" s="26" t="s">
        <v>9</v>
      </c>
      <c r="AP28" s="27">
        <f t="shared" si="98"/>
        <v>0</v>
      </c>
      <c r="AQ28" s="27">
        <f t="shared" ref="AQ28:AS28" si="99">Y28*2</f>
        <v>0</v>
      </c>
      <c r="AR28" s="27">
        <f t="shared" si="99"/>
        <v>0</v>
      </c>
      <c r="AS28" s="27">
        <f t="shared" si="99"/>
        <v>0</v>
      </c>
      <c r="AT28" s="27">
        <f t="shared" ref="AT28:AU28" si="100">AB28*4</f>
        <v>704</v>
      </c>
      <c r="AU28" s="27">
        <f t="shared" si="100"/>
        <v>1152</v>
      </c>
      <c r="AV28" s="27">
        <f t="shared" si="91"/>
        <v>1856</v>
      </c>
      <c r="AW28" s="43"/>
      <c r="AX28" s="26" t="s">
        <v>9</v>
      </c>
      <c r="AY28" s="27">
        <f t="shared" ref="AY28:BD28" si="101">SUM(L8,2*L28,2*L48)</f>
        <v>771</v>
      </c>
      <c r="AZ28" s="27">
        <f t="shared" si="101"/>
        <v>236</v>
      </c>
      <c r="BA28" s="27">
        <f t="shared" si="101"/>
        <v>0</v>
      </c>
      <c r="BB28" s="27">
        <f t="shared" si="101"/>
        <v>81</v>
      </c>
      <c r="BC28" s="27">
        <f t="shared" si="101"/>
        <v>537</v>
      </c>
      <c r="BD28" s="27">
        <f t="shared" si="101"/>
        <v>179</v>
      </c>
      <c r="BE28" s="27">
        <f t="shared" si="93"/>
        <v>1804</v>
      </c>
      <c r="BG28" s="26" t="s">
        <v>9</v>
      </c>
      <c r="BH28" s="27">
        <f t="shared" ref="BH28:BM28" si="102">SUM(X8,2*X28,2*X48)</f>
        <v>0</v>
      </c>
      <c r="BI28" s="27">
        <f t="shared" si="102"/>
        <v>0</v>
      </c>
      <c r="BJ28" s="27">
        <f t="shared" si="102"/>
        <v>0</v>
      </c>
      <c r="BK28" s="27">
        <f t="shared" si="102"/>
        <v>2</v>
      </c>
      <c r="BL28" s="27">
        <f t="shared" si="102"/>
        <v>570</v>
      </c>
      <c r="BM28" s="27">
        <f t="shared" si="102"/>
        <v>684</v>
      </c>
      <c r="BN28" s="27">
        <f t="shared" si="95"/>
        <v>1256</v>
      </c>
    </row>
    <row r="29" ht="15.75" customHeight="1">
      <c r="A29" s="50"/>
      <c r="B29" s="26" t="s">
        <v>33</v>
      </c>
      <c r="C29" s="51">
        <v>3252.0</v>
      </c>
      <c r="D29" s="55">
        <v>2029.0</v>
      </c>
      <c r="E29" s="55">
        <v>1364.0</v>
      </c>
      <c r="F29" s="31"/>
      <c r="G29" s="51">
        <v>10648.0</v>
      </c>
      <c r="H29" s="55">
        <v>2531.0</v>
      </c>
      <c r="I29" s="27">
        <f t="shared" si="83"/>
        <v>19824</v>
      </c>
      <c r="J29" s="112"/>
      <c r="K29" s="26" t="s">
        <v>33</v>
      </c>
      <c r="L29" s="27">
        <f t="shared" ref="L29:Q29" si="103">INT(C29/52)</f>
        <v>62</v>
      </c>
      <c r="M29" s="27">
        <f t="shared" si="103"/>
        <v>39</v>
      </c>
      <c r="N29" s="27">
        <f t="shared" si="103"/>
        <v>26</v>
      </c>
      <c r="O29" s="27">
        <f t="shared" si="103"/>
        <v>0</v>
      </c>
      <c r="P29" s="27">
        <f t="shared" si="103"/>
        <v>204</v>
      </c>
      <c r="Q29" s="27">
        <f t="shared" si="103"/>
        <v>48</v>
      </c>
      <c r="R29" s="27">
        <f t="shared" si="85"/>
        <v>379</v>
      </c>
      <c r="S29" s="43"/>
      <c r="T29" s="54" t="s">
        <v>33</v>
      </c>
      <c r="U29" s="52">
        <f>O32-R29</f>
        <v>-176</v>
      </c>
      <c r="W29" s="26" t="s">
        <v>33</v>
      </c>
      <c r="X29" s="27"/>
      <c r="Y29" s="27"/>
      <c r="Z29" s="27"/>
      <c r="AA29" s="27"/>
      <c r="AB29" s="27"/>
      <c r="AC29" s="27"/>
      <c r="AD29" s="27">
        <f t="shared" si="86"/>
        <v>0</v>
      </c>
      <c r="AF29" s="26" t="s">
        <v>33</v>
      </c>
      <c r="AG29" s="27">
        <f t="shared" ref="AG29:AL29" si="104">L29*28</f>
        <v>1736</v>
      </c>
      <c r="AH29" s="27">
        <f t="shared" si="104"/>
        <v>1092</v>
      </c>
      <c r="AI29" s="27">
        <f t="shared" si="104"/>
        <v>728</v>
      </c>
      <c r="AJ29" s="27">
        <f t="shared" si="104"/>
        <v>0</v>
      </c>
      <c r="AK29" s="27">
        <f t="shared" si="104"/>
        <v>5712</v>
      </c>
      <c r="AL29" s="27">
        <f t="shared" si="104"/>
        <v>1344</v>
      </c>
      <c r="AM29" s="27">
        <f t="shared" si="88"/>
        <v>10612</v>
      </c>
      <c r="AO29" s="26" t="s">
        <v>33</v>
      </c>
      <c r="AP29" s="27">
        <f t="shared" si="98"/>
        <v>0</v>
      </c>
      <c r="AQ29" s="27">
        <f t="shared" ref="AQ29:AS29" si="105">Y29*2</f>
        <v>0</v>
      </c>
      <c r="AR29" s="27">
        <f t="shared" si="105"/>
        <v>0</v>
      </c>
      <c r="AS29" s="27">
        <f t="shared" si="105"/>
        <v>0</v>
      </c>
      <c r="AT29" s="27">
        <f t="shared" ref="AT29:AU29" si="106">AB29*4</f>
        <v>0</v>
      </c>
      <c r="AU29" s="27">
        <f t="shared" si="106"/>
        <v>0</v>
      </c>
      <c r="AV29" s="27">
        <f t="shared" si="91"/>
        <v>0</v>
      </c>
      <c r="AW29" s="43"/>
      <c r="AX29" s="26" t="s">
        <v>33</v>
      </c>
      <c r="AY29" s="27">
        <f t="shared" ref="AY29:BD29" si="107">SUM(L9,2*L29,2*L49)</f>
        <v>139</v>
      </c>
      <c r="AZ29" s="27">
        <f t="shared" si="107"/>
        <v>104</v>
      </c>
      <c r="BA29" s="27">
        <f t="shared" si="107"/>
        <v>76</v>
      </c>
      <c r="BB29" s="27">
        <f t="shared" si="107"/>
        <v>0</v>
      </c>
      <c r="BC29" s="27">
        <f t="shared" si="107"/>
        <v>641</v>
      </c>
      <c r="BD29" s="27">
        <f t="shared" si="107"/>
        <v>101</v>
      </c>
      <c r="BE29" s="27">
        <f t="shared" si="93"/>
        <v>1061</v>
      </c>
      <c r="BG29" s="26" t="s">
        <v>33</v>
      </c>
      <c r="BH29" s="27">
        <f t="shared" ref="BH29:BM29" si="108">SUM(X9,2*X29,2*X49)</f>
        <v>0</v>
      </c>
      <c r="BI29" s="27">
        <f t="shared" si="108"/>
        <v>0</v>
      </c>
      <c r="BJ29" s="27">
        <f t="shared" si="108"/>
        <v>0</v>
      </c>
      <c r="BK29" s="27">
        <f t="shared" si="108"/>
        <v>0</v>
      </c>
      <c r="BL29" s="27">
        <f t="shared" si="108"/>
        <v>0</v>
      </c>
      <c r="BM29" s="27">
        <f t="shared" si="108"/>
        <v>0</v>
      </c>
      <c r="BN29" s="27">
        <f t="shared" si="95"/>
        <v>0</v>
      </c>
    </row>
    <row r="30" ht="15.75" customHeight="1">
      <c r="A30" s="50"/>
      <c r="B30" s="26" t="s">
        <v>8</v>
      </c>
      <c r="C30" s="27">
        <v>18041.0</v>
      </c>
      <c r="D30" s="27">
        <v>22859.0</v>
      </c>
      <c r="E30" s="27">
        <v>29225.0</v>
      </c>
      <c r="F30" s="51">
        <v>4383.0</v>
      </c>
      <c r="G30" s="31"/>
      <c r="H30" s="31"/>
      <c r="I30" s="27">
        <f t="shared" si="83"/>
        <v>74508</v>
      </c>
      <c r="J30" s="112"/>
      <c r="K30" s="26" t="s">
        <v>8</v>
      </c>
      <c r="L30" s="27">
        <f t="shared" ref="L30:Q30" si="109">INT(C30/52)</f>
        <v>346</v>
      </c>
      <c r="M30" s="27">
        <f t="shared" si="109"/>
        <v>439</v>
      </c>
      <c r="N30" s="27">
        <f t="shared" si="109"/>
        <v>562</v>
      </c>
      <c r="O30" s="27">
        <f t="shared" si="109"/>
        <v>84</v>
      </c>
      <c r="P30" s="27">
        <f t="shared" si="109"/>
        <v>0</v>
      </c>
      <c r="Q30" s="27">
        <f t="shared" si="109"/>
        <v>0</v>
      </c>
      <c r="R30" s="27">
        <f t="shared" si="85"/>
        <v>1431</v>
      </c>
      <c r="S30" s="43"/>
      <c r="T30" s="54" t="s">
        <v>8</v>
      </c>
      <c r="U30" s="52">
        <f>P32-R30</f>
        <v>168</v>
      </c>
      <c r="W30" s="26" t="s">
        <v>8</v>
      </c>
      <c r="X30" s="27"/>
      <c r="Y30" s="27"/>
      <c r="Z30" s="27"/>
      <c r="AA30" s="27"/>
      <c r="AB30" s="27"/>
      <c r="AC30" s="27">
        <f>U30</f>
        <v>168</v>
      </c>
      <c r="AD30" s="27">
        <f t="shared" si="86"/>
        <v>168</v>
      </c>
      <c r="AF30" s="26" t="s">
        <v>8</v>
      </c>
      <c r="AG30" s="27">
        <f t="shared" ref="AG30:AL30" si="110">L30*28</f>
        <v>9688</v>
      </c>
      <c r="AH30" s="27">
        <f t="shared" si="110"/>
        <v>12292</v>
      </c>
      <c r="AI30" s="27">
        <f t="shared" si="110"/>
        <v>15736</v>
      </c>
      <c r="AJ30" s="27">
        <f t="shared" si="110"/>
        <v>2352</v>
      </c>
      <c r="AK30" s="27">
        <f t="shared" si="110"/>
        <v>0</v>
      </c>
      <c r="AL30" s="27">
        <f t="shared" si="110"/>
        <v>0</v>
      </c>
      <c r="AM30" s="27">
        <f t="shared" si="88"/>
        <v>40068</v>
      </c>
      <c r="AO30" s="26" t="s">
        <v>8</v>
      </c>
      <c r="AP30" s="27">
        <f t="shared" si="98"/>
        <v>0</v>
      </c>
      <c r="AQ30" s="27">
        <f t="shared" ref="AQ30:AS30" si="111">Y30*2</f>
        <v>0</v>
      </c>
      <c r="AR30" s="27">
        <f t="shared" si="111"/>
        <v>0</v>
      </c>
      <c r="AS30" s="27">
        <f t="shared" si="111"/>
        <v>0</v>
      </c>
      <c r="AT30" s="27">
        <f t="shared" ref="AT30:AU30" si="112">AB30*4</f>
        <v>0</v>
      </c>
      <c r="AU30" s="27">
        <f t="shared" si="112"/>
        <v>672</v>
      </c>
      <c r="AV30" s="27">
        <f t="shared" si="91"/>
        <v>672</v>
      </c>
      <c r="AW30" s="43"/>
      <c r="AX30" s="26" t="s">
        <v>8</v>
      </c>
      <c r="AY30" s="27">
        <f t="shared" ref="AY30:BD30" si="113">SUM(L10,2*L30,2*L50)</f>
        <v>858</v>
      </c>
      <c r="AZ30" s="27">
        <f t="shared" si="113"/>
        <v>1088</v>
      </c>
      <c r="BA30" s="27">
        <f t="shared" si="113"/>
        <v>1336</v>
      </c>
      <c r="BB30" s="27">
        <f t="shared" si="113"/>
        <v>219</v>
      </c>
      <c r="BC30" s="27">
        <f t="shared" si="113"/>
        <v>0</v>
      </c>
      <c r="BD30" s="27">
        <f t="shared" si="113"/>
        <v>0</v>
      </c>
      <c r="BE30" s="27">
        <f t="shared" si="93"/>
        <v>3501</v>
      </c>
      <c r="BG30" s="26" t="s">
        <v>8</v>
      </c>
      <c r="BH30" s="27">
        <f t="shared" ref="BH30:BM30" si="114">SUM(X10,2*X30,2*X50)</f>
        <v>0</v>
      </c>
      <c r="BI30" s="27">
        <f t="shared" si="114"/>
        <v>0</v>
      </c>
      <c r="BJ30" s="27">
        <f t="shared" si="114"/>
        <v>0</v>
      </c>
      <c r="BK30" s="27">
        <f t="shared" si="114"/>
        <v>0</v>
      </c>
      <c r="BL30" s="27">
        <f t="shared" si="114"/>
        <v>0</v>
      </c>
      <c r="BM30" s="27">
        <f t="shared" si="114"/>
        <v>566</v>
      </c>
      <c r="BN30" s="27">
        <f t="shared" si="95"/>
        <v>566</v>
      </c>
    </row>
    <row r="31" ht="15.75" customHeight="1">
      <c r="A31" s="50"/>
      <c r="B31" s="26" t="s">
        <v>31</v>
      </c>
      <c r="C31" s="27">
        <v>11210.0</v>
      </c>
      <c r="D31" s="27">
        <v>13198.0</v>
      </c>
      <c r="E31" s="27">
        <v>20046.0</v>
      </c>
      <c r="F31" s="53">
        <v>2406.0</v>
      </c>
      <c r="G31" s="31"/>
      <c r="H31" s="31"/>
      <c r="I31" s="27">
        <f t="shared" si="83"/>
        <v>46860</v>
      </c>
      <c r="J31" s="112"/>
      <c r="K31" s="26" t="s">
        <v>31</v>
      </c>
      <c r="L31" s="27">
        <f t="shared" ref="L31:Q31" si="115">INT(C31/52)</f>
        <v>215</v>
      </c>
      <c r="M31" s="27">
        <f t="shared" si="115"/>
        <v>253</v>
      </c>
      <c r="N31" s="27">
        <f t="shared" si="115"/>
        <v>385</v>
      </c>
      <c r="O31" s="27">
        <f t="shared" si="115"/>
        <v>46</v>
      </c>
      <c r="P31" s="27">
        <f t="shared" si="115"/>
        <v>0</v>
      </c>
      <c r="Q31" s="27">
        <f t="shared" si="115"/>
        <v>0</v>
      </c>
      <c r="R31" s="27">
        <f t="shared" si="85"/>
        <v>899</v>
      </c>
      <c r="S31" s="43"/>
      <c r="T31" s="54" t="s">
        <v>31</v>
      </c>
      <c r="U31" s="52">
        <f>Q32-R31</f>
        <v>-603</v>
      </c>
      <c r="W31" s="26" t="s">
        <v>31</v>
      </c>
      <c r="X31" s="27"/>
      <c r="Y31" s="27"/>
      <c r="Z31" s="27"/>
      <c r="AA31" s="27"/>
      <c r="AB31" s="27"/>
      <c r="AC31" s="27"/>
      <c r="AD31" s="27">
        <f t="shared" si="86"/>
        <v>0</v>
      </c>
      <c r="AF31" s="26" t="s">
        <v>31</v>
      </c>
      <c r="AG31" s="27">
        <f t="shared" ref="AG31:AL31" si="116">L31*28</f>
        <v>6020</v>
      </c>
      <c r="AH31" s="27">
        <f t="shared" si="116"/>
        <v>7084</v>
      </c>
      <c r="AI31" s="27">
        <f t="shared" si="116"/>
        <v>10780</v>
      </c>
      <c r="AJ31" s="27">
        <f t="shared" si="116"/>
        <v>1288</v>
      </c>
      <c r="AK31" s="27">
        <f t="shared" si="116"/>
        <v>0</v>
      </c>
      <c r="AL31" s="27">
        <f t="shared" si="116"/>
        <v>0</v>
      </c>
      <c r="AM31" s="27">
        <f t="shared" si="88"/>
        <v>25172</v>
      </c>
      <c r="AO31" s="26" t="s">
        <v>31</v>
      </c>
      <c r="AP31" s="27">
        <f t="shared" si="98"/>
        <v>0</v>
      </c>
      <c r="AQ31" s="27">
        <f t="shared" ref="AQ31:AS31" si="117">Y31*2</f>
        <v>0</v>
      </c>
      <c r="AR31" s="27">
        <f t="shared" si="117"/>
        <v>0</v>
      </c>
      <c r="AS31" s="27">
        <f t="shared" si="117"/>
        <v>0</v>
      </c>
      <c r="AT31" s="27">
        <f t="shared" ref="AT31:AU31" si="118">AB31*4</f>
        <v>0</v>
      </c>
      <c r="AU31" s="27">
        <f t="shared" si="118"/>
        <v>0</v>
      </c>
      <c r="AV31" s="27">
        <f t="shared" si="91"/>
        <v>0</v>
      </c>
      <c r="AW31" s="43"/>
      <c r="AX31" s="26" t="s">
        <v>31</v>
      </c>
      <c r="AY31" s="27">
        <f t="shared" ref="AY31:BD31" si="119">SUM(L11,2*L31,2*L51)</f>
        <v>695</v>
      </c>
      <c r="AZ31" s="27">
        <f t="shared" si="119"/>
        <v>865</v>
      </c>
      <c r="BA31" s="27">
        <f t="shared" si="119"/>
        <v>1225</v>
      </c>
      <c r="BB31" s="27">
        <f t="shared" si="119"/>
        <v>214</v>
      </c>
      <c r="BC31" s="27">
        <f t="shared" si="119"/>
        <v>0</v>
      </c>
      <c r="BD31" s="27">
        <f t="shared" si="119"/>
        <v>0</v>
      </c>
      <c r="BE31" s="27">
        <f t="shared" si="93"/>
        <v>2999</v>
      </c>
      <c r="BG31" s="26" t="s">
        <v>31</v>
      </c>
      <c r="BH31" s="27">
        <f t="shared" ref="BH31:BM31" si="120">SUM(X11,2*X31,2*X51)</f>
        <v>0</v>
      </c>
      <c r="BI31" s="27">
        <f t="shared" si="120"/>
        <v>0</v>
      </c>
      <c r="BJ31" s="27">
        <f t="shared" si="120"/>
        <v>0</v>
      </c>
      <c r="BK31" s="27">
        <f t="shared" si="120"/>
        <v>0</v>
      </c>
      <c r="BL31" s="27">
        <f t="shared" si="120"/>
        <v>0</v>
      </c>
      <c r="BM31" s="27">
        <f t="shared" si="120"/>
        <v>0</v>
      </c>
      <c r="BN31" s="27">
        <f t="shared" si="95"/>
        <v>0</v>
      </c>
    </row>
    <row r="32" ht="15.75" customHeight="1">
      <c r="A32" s="50"/>
      <c r="B32" s="32" t="s">
        <v>48</v>
      </c>
      <c r="C32" s="33">
        <f t="shared" ref="C32:I32" si="121">SUM(C26:C31)</f>
        <v>60321</v>
      </c>
      <c r="D32" s="33">
        <f t="shared" si="121"/>
        <v>49198</v>
      </c>
      <c r="E32" s="33">
        <f t="shared" si="121"/>
        <v>61348</v>
      </c>
      <c r="F32" s="33">
        <f t="shared" si="121"/>
        <v>10708</v>
      </c>
      <c r="G32" s="33">
        <f t="shared" si="121"/>
        <v>83251</v>
      </c>
      <c r="H32" s="33">
        <f t="shared" si="121"/>
        <v>15507</v>
      </c>
      <c r="I32" s="33">
        <f t="shared" si="121"/>
        <v>280333</v>
      </c>
      <c r="J32" s="112"/>
      <c r="K32" s="32" t="s">
        <v>48</v>
      </c>
      <c r="L32" s="33">
        <f t="shared" ref="L32:R32" si="122">SUM(L26:L31)</f>
        <v>1157</v>
      </c>
      <c r="M32" s="33">
        <f t="shared" si="122"/>
        <v>944</v>
      </c>
      <c r="N32" s="33">
        <f t="shared" si="122"/>
        <v>1178</v>
      </c>
      <c r="O32" s="33">
        <f t="shared" si="122"/>
        <v>203</v>
      </c>
      <c r="P32" s="33">
        <f t="shared" si="122"/>
        <v>1599</v>
      </c>
      <c r="Q32" s="33">
        <f t="shared" si="122"/>
        <v>296</v>
      </c>
      <c r="R32" s="33">
        <f t="shared" si="122"/>
        <v>5377</v>
      </c>
      <c r="S32" s="43"/>
      <c r="T32" s="32" t="s">
        <v>49</v>
      </c>
      <c r="U32" s="33">
        <f>SUM(U26:U31)</f>
        <v>0</v>
      </c>
      <c r="W32" s="32" t="s">
        <v>48</v>
      </c>
      <c r="X32" s="33">
        <f t="shared" ref="X32:AD32" si="123">SUM(X26:X31)</f>
        <v>339</v>
      </c>
      <c r="Y32" s="33">
        <f t="shared" si="123"/>
        <v>0</v>
      </c>
      <c r="Z32" s="33">
        <f t="shared" si="123"/>
        <v>0</v>
      </c>
      <c r="AA32" s="33">
        <f t="shared" si="123"/>
        <v>0</v>
      </c>
      <c r="AB32" s="33">
        <f t="shared" si="123"/>
        <v>176</v>
      </c>
      <c r="AC32" s="33">
        <f t="shared" si="123"/>
        <v>603</v>
      </c>
      <c r="AD32" s="33">
        <f t="shared" si="123"/>
        <v>1118</v>
      </c>
      <c r="AF32" s="32" t="s">
        <v>48</v>
      </c>
      <c r="AG32" s="33">
        <f t="shared" ref="AG32:AL32" si="124">SUM(AG26:AG31)</f>
        <v>32396</v>
      </c>
      <c r="AH32" s="33">
        <f t="shared" si="124"/>
        <v>26432</v>
      </c>
      <c r="AI32" s="33">
        <f t="shared" si="124"/>
        <v>32984</v>
      </c>
      <c r="AJ32" s="33">
        <f t="shared" si="124"/>
        <v>5684</v>
      </c>
      <c r="AK32" s="33">
        <f t="shared" si="124"/>
        <v>44772</v>
      </c>
      <c r="AL32" s="33">
        <f t="shared" si="124"/>
        <v>8288</v>
      </c>
      <c r="AM32" s="33">
        <v>1933.0</v>
      </c>
      <c r="AO32" s="32" t="s">
        <v>48</v>
      </c>
      <c r="AP32" s="33">
        <f t="shared" ref="AP32:AV32" si="125">SUM(AP26:AP31)</f>
        <v>1356</v>
      </c>
      <c r="AQ32" s="33">
        <f t="shared" si="125"/>
        <v>0</v>
      </c>
      <c r="AR32" s="33">
        <f t="shared" si="125"/>
        <v>0</v>
      </c>
      <c r="AS32" s="33">
        <f t="shared" si="125"/>
        <v>0</v>
      </c>
      <c r="AT32" s="33">
        <f t="shared" si="125"/>
        <v>704</v>
      </c>
      <c r="AU32" s="33">
        <f t="shared" si="125"/>
        <v>2412</v>
      </c>
      <c r="AV32" s="33">
        <f t="shared" si="125"/>
        <v>4472</v>
      </c>
      <c r="AW32" s="43"/>
      <c r="AX32" s="32" t="s">
        <v>48</v>
      </c>
      <c r="AY32" s="33">
        <f t="shared" ref="AY32:BE32" si="126">SUM(AY26:AY31)</f>
        <v>2919</v>
      </c>
      <c r="AZ32" s="33">
        <f t="shared" si="126"/>
        <v>2558</v>
      </c>
      <c r="BA32" s="33">
        <f t="shared" si="126"/>
        <v>3058</v>
      </c>
      <c r="BB32" s="33">
        <f t="shared" si="126"/>
        <v>651</v>
      </c>
      <c r="BC32" s="33">
        <f t="shared" si="126"/>
        <v>3827</v>
      </c>
      <c r="BD32" s="33">
        <f t="shared" si="126"/>
        <v>700</v>
      </c>
      <c r="BE32" s="33">
        <f t="shared" si="126"/>
        <v>13713</v>
      </c>
      <c r="BG32" s="32" t="s">
        <v>48</v>
      </c>
      <c r="BH32" s="33">
        <f t="shared" ref="BH32:BN32" si="127">SUM(BH26:BH31)</f>
        <v>678</v>
      </c>
      <c r="BI32" s="33">
        <f t="shared" si="127"/>
        <v>0</v>
      </c>
      <c r="BJ32" s="33">
        <f t="shared" si="127"/>
        <v>0</v>
      </c>
      <c r="BK32" s="33">
        <f t="shared" si="127"/>
        <v>2</v>
      </c>
      <c r="BL32" s="33">
        <f t="shared" si="127"/>
        <v>648</v>
      </c>
      <c r="BM32" s="33">
        <f t="shared" si="127"/>
        <v>2299</v>
      </c>
      <c r="BN32" s="33">
        <f t="shared" si="127"/>
        <v>3627</v>
      </c>
    </row>
    <row r="33" ht="15.75" customHeight="1">
      <c r="J33" s="112"/>
      <c r="S33" s="43"/>
      <c r="AW33" s="43"/>
      <c r="AX33" s="113"/>
      <c r="AY33" s="113"/>
      <c r="AZ33" s="113"/>
      <c r="BA33" s="113"/>
      <c r="BB33" s="113"/>
      <c r="BC33" s="113"/>
      <c r="BD33" s="113"/>
      <c r="BE33" s="113"/>
    </row>
    <row r="34" ht="15.75" customHeight="1">
      <c r="A34" s="48"/>
      <c r="B34" s="19" t="s">
        <v>54</v>
      </c>
      <c r="C34" s="20"/>
      <c r="D34" s="20"/>
      <c r="E34" s="20"/>
      <c r="F34" s="20"/>
      <c r="G34" s="20"/>
      <c r="H34" s="20"/>
      <c r="I34" s="21"/>
      <c r="J34" s="112"/>
      <c r="K34" s="42" t="s">
        <v>250</v>
      </c>
      <c r="L34" s="20"/>
      <c r="M34" s="20"/>
      <c r="N34" s="20"/>
      <c r="O34" s="20"/>
      <c r="P34" s="20"/>
      <c r="Q34" s="20"/>
      <c r="R34" s="21"/>
      <c r="S34" s="43"/>
      <c r="T34" s="42" t="s">
        <v>242</v>
      </c>
      <c r="U34" s="20"/>
      <c r="V34" s="20"/>
      <c r="W34" s="20"/>
      <c r="X34" s="20"/>
      <c r="Y34" s="20"/>
      <c r="Z34" s="58"/>
      <c r="AB34" s="50"/>
      <c r="AC34" s="50"/>
      <c r="AD34" s="50"/>
      <c r="AE34" s="50"/>
      <c r="AF34" s="50"/>
      <c r="AG34" s="50"/>
      <c r="AW34" s="43"/>
      <c r="AX34" s="113"/>
      <c r="AY34" s="113"/>
      <c r="AZ34" s="113"/>
      <c r="BA34" s="113"/>
      <c r="BB34" s="113"/>
      <c r="BC34" s="113"/>
      <c r="BD34" s="113"/>
      <c r="BE34" s="113"/>
    </row>
    <row r="35" ht="15.75" customHeight="1">
      <c r="A35" s="48"/>
      <c r="B35" s="4" t="s">
        <v>42</v>
      </c>
      <c r="C35" s="4" t="s">
        <v>25</v>
      </c>
      <c r="D35" s="4" t="s">
        <v>28</v>
      </c>
      <c r="E35" s="4" t="s">
        <v>9</v>
      </c>
      <c r="F35" s="49" t="s">
        <v>33</v>
      </c>
      <c r="G35" s="4" t="s">
        <v>8</v>
      </c>
      <c r="H35" s="4" t="s">
        <v>31</v>
      </c>
      <c r="I35" s="4" t="s">
        <v>43</v>
      </c>
      <c r="J35" s="112"/>
      <c r="K35" s="4" t="s">
        <v>42</v>
      </c>
      <c r="L35" s="4" t="s">
        <v>25</v>
      </c>
      <c r="M35" s="4" t="s">
        <v>28</v>
      </c>
      <c r="N35" s="4" t="s">
        <v>9</v>
      </c>
      <c r="O35" s="49" t="s">
        <v>33</v>
      </c>
      <c r="P35" s="4" t="s">
        <v>8</v>
      </c>
      <c r="Q35" s="4" t="s">
        <v>31</v>
      </c>
      <c r="R35" s="4" t="s">
        <v>43</v>
      </c>
      <c r="S35" s="43"/>
      <c r="T35" s="4" t="s">
        <v>42</v>
      </c>
      <c r="U35" s="4" t="s">
        <v>25</v>
      </c>
      <c r="V35" s="4" t="s">
        <v>28</v>
      </c>
      <c r="W35" s="4" t="s">
        <v>9</v>
      </c>
      <c r="X35" s="49" t="s">
        <v>33</v>
      </c>
      <c r="Y35" s="4" t="s">
        <v>8</v>
      </c>
      <c r="Z35" s="4" t="s">
        <v>31</v>
      </c>
      <c r="AB35" s="50"/>
      <c r="AC35" s="50"/>
      <c r="AD35" s="50"/>
      <c r="AE35" s="50"/>
      <c r="AF35" s="50"/>
      <c r="AG35" s="50"/>
      <c r="AW35" s="43"/>
    </row>
    <row r="36" ht="15.75" customHeight="1">
      <c r="A36" s="50"/>
      <c r="B36" s="26" t="s">
        <v>25</v>
      </c>
      <c r="C36" s="27"/>
      <c r="D36" s="27">
        <v>12.0</v>
      </c>
      <c r="E36" s="27">
        <v>6.0</v>
      </c>
      <c r="F36" s="51">
        <v>1.0</v>
      </c>
      <c r="G36" s="27">
        <v>58.0</v>
      </c>
      <c r="H36" s="27">
        <v>46.0</v>
      </c>
      <c r="I36" s="27">
        <f t="shared" ref="I36:I41" si="129">SUM(C36:H36)</f>
        <v>123</v>
      </c>
      <c r="J36" s="112"/>
      <c r="K36" s="26" t="s">
        <v>25</v>
      </c>
      <c r="L36" s="27"/>
      <c r="M36" s="27"/>
      <c r="N36" s="27"/>
      <c r="O36" s="27"/>
      <c r="P36" s="27"/>
      <c r="Q36" s="27"/>
      <c r="R36" s="27">
        <f t="shared" ref="R36:R41" si="130">SUM(L36:Q36)</f>
        <v>0</v>
      </c>
      <c r="S36" s="43"/>
      <c r="T36" s="26" t="s">
        <v>25</v>
      </c>
      <c r="U36" s="56">
        <f t="shared" ref="U36:Z36" si="128">L26*C76</f>
        <v>0</v>
      </c>
      <c r="V36" s="56" t="str">
        <f t="shared" si="128"/>
        <v>#NAME?</v>
      </c>
      <c r="W36" s="56" t="str">
        <f t="shared" si="128"/>
        <v>#NAME?</v>
      </c>
      <c r="X36" s="56" t="str">
        <f t="shared" si="128"/>
        <v>#NAME?</v>
      </c>
      <c r="Y36" s="56" t="str">
        <f t="shared" si="128"/>
        <v>#NAME?</v>
      </c>
      <c r="Z36" s="56" t="str">
        <f t="shared" si="128"/>
        <v>#NAME?</v>
      </c>
      <c r="AB36" s="50"/>
      <c r="AC36" s="50"/>
      <c r="AD36" s="50"/>
      <c r="AE36" s="50"/>
      <c r="AF36" s="50"/>
      <c r="AG36" s="50"/>
      <c r="AW36" s="43"/>
    </row>
    <row r="37" ht="15.75" customHeight="1">
      <c r="A37" s="50"/>
      <c r="B37" s="26" t="s">
        <v>28</v>
      </c>
      <c r="C37" s="27">
        <v>155.0</v>
      </c>
      <c r="D37" s="27"/>
      <c r="E37" s="27">
        <v>17.0</v>
      </c>
      <c r="F37" s="53">
        <v>2.0</v>
      </c>
      <c r="G37" s="27">
        <v>215.0</v>
      </c>
      <c r="H37" s="27">
        <v>78.0</v>
      </c>
      <c r="I37" s="27">
        <f t="shared" si="129"/>
        <v>467</v>
      </c>
      <c r="J37" s="112"/>
      <c r="K37" s="26" t="s">
        <v>28</v>
      </c>
      <c r="L37" s="27"/>
      <c r="M37" s="27"/>
      <c r="N37" s="27"/>
      <c r="O37" s="27"/>
      <c r="P37" s="27"/>
      <c r="Q37" s="27"/>
      <c r="R37" s="27">
        <f t="shared" si="130"/>
        <v>0</v>
      </c>
      <c r="S37" s="43"/>
      <c r="T37" s="26" t="s">
        <v>28</v>
      </c>
      <c r="U37" s="56" t="str">
        <f t="shared" ref="U37:Z37" si="131">L27*C77</f>
        <v>#NAME?</v>
      </c>
      <c r="V37" s="56">
        <f t="shared" si="131"/>
        <v>0</v>
      </c>
      <c r="W37" s="56" t="str">
        <f t="shared" si="131"/>
        <v>#NAME?</v>
      </c>
      <c r="X37" s="56" t="str">
        <f t="shared" si="131"/>
        <v>#NAME?</v>
      </c>
      <c r="Y37" s="56" t="str">
        <f t="shared" si="131"/>
        <v>#NAME?</v>
      </c>
      <c r="Z37" s="56" t="str">
        <f t="shared" si="131"/>
        <v>#NAME?</v>
      </c>
      <c r="AB37" s="50"/>
      <c r="AC37" s="50"/>
      <c r="AD37" s="50"/>
      <c r="AE37" s="50"/>
      <c r="AF37" s="50"/>
      <c r="AG37" s="50"/>
      <c r="AW37" s="43"/>
    </row>
    <row r="38" ht="15.75" customHeight="1">
      <c r="A38" s="50"/>
      <c r="B38" s="26" t="s">
        <v>9</v>
      </c>
      <c r="C38" s="27">
        <v>1593.0</v>
      </c>
      <c r="D38" s="27">
        <v>407.0</v>
      </c>
      <c r="E38" s="27"/>
      <c r="F38" s="53">
        <v>1.0</v>
      </c>
      <c r="G38" s="27">
        <v>40.0</v>
      </c>
      <c r="H38" s="27">
        <v>9.0</v>
      </c>
      <c r="I38" s="27">
        <f t="shared" si="129"/>
        <v>2050</v>
      </c>
      <c r="J38" s="112"/>
      <c r="K38" s="26" t="s">
        <v>9</v>
      </c>
      <c r="L38" s="27"/>
      <c r="M38" s="27"/>
      <c r="N38" s="27"/>
      <c r="O38" s="27"/>
      <c r="P38" s="27"/>
      <c r="Q38" s="27"/>
      <c r="R38" s="27">
        <f t="shared" si="130"/>
        <v>0</v>
      </c>
      <c r="S38" s="43"/>
      <c r="T38" s="26" t="s">
        <v>9</v>
      </c>
      <c r="U38" s="56" t="str">
        <f t="shared" ref="U38:Z38" si="132">L28*C78</f>
        <v>#NAME?</v>
      </c>
      <c r="V38" s="56" t="str">
        <f t="shared" si="132"/>
        <v>#NAME?</v>
      </c>
      <c r="W38" s="56">
        <f t="shared" si="132"/>
        <v>0</v>
      </c>
      <c r="X38" s="56" t="str">
        <f t="shared" si="132"/>
        <v>#NAME?</v>
      </c>
      <c r="Y38" s="56" t="str">
        <f t="shared" si="132"/>
        <v>#NAME?</v>
      </c>
      <c r="Z38" s="56" t="str">
        <f t="shared" si="132"/>
        <v>#NAME?</v>
      </c>
      <c r="AB38" s="50"/>
      <c r="AC38" s="50"/>
      <c r="AD38" s="50"/>
      <c r="AE38" s="50"/>
      <c r="AF38" s="50"/>
      <c r="AG38" s="50"/>
      <c r="AW38" s="43"/>
    </row>
    <row r="39" ht="15.75" customHeight="1">
      <c r="A39" s="50"/>
      <c r="B39" s="26" t="s">
        <v>33</v>
      </c>
      <c r="C39" s="51">
        <v>214.0</v>
      </c>
      <c r="D39" s="55">
        <v>327.0</v>
      </c>
      <c r="E39" s="55">
        <v>339.0</v>
      </c>
      <c r="F39" s="31"/>
      <c r="G39" s="51">
        <v>644.0</v>
      </c>
      <c r="H39" s="55">
        <v>24.0</v>
      </c>
      <c r="I39" s="27">
        <f t="shared" si="129"/>
        <v>1548</v>
      </c>
      <c r="J39" s="112"/>
      <c r="K39" s="26" t="s">
        <v>33</v>
      </c>
      <c r="L39" s="27"/>
      <c r="M39" s="27"/>
      <c r="N39" s="27"/>
      <c r="O39" s="27"/>
      <c r="P39" s="27"/>
      <c r="Q39" s="27"/>
      <c r="R39" s="27">
        <f t="shared" si="130"/>
        <v>0</v>
      </c>
      <c r="S39" s="43"/>
      <c r="T39" s="26" t="s">
        <v>33</v>
      </c>
      <c r="U39" s="56" t="str">
        <f t="shared" ref="U39:Z39" si="133">L29*C79</f>
        <v>#NAME?</v>
      </c>
      <c r="V39" s="56" t="str">
        <f t="shared" si="133"/>
        <v>#NAME?</v>
      </c>
      <c r="W39" s="56" t="str">
        <f t="shared" si="133"/>
        <v>#NAME?</v>
      </c>
      <c r="X39" s="56">
        <f t="shared" si="133"/>
        <v>0</v>
      </c>
      <c r="Y39" s="56">
        <f t="shared" si="133"/>
        <v>0</v>
      </c>
      <c r="Z39" s="56" t="str">
        <f t="shared" si="133"/>
        <v>#NAME?</v>
      </c>
      <c r="AB39" s="50"/>
      <c r="AC39" s="50"/>
      <c r="AD39" s="50"/>
      <c r="AW39" s="43"/>
    </row>
    <row r="40" ht="15.75" customHeight="1">
      <c r="A40" s="50"/>
      <c r="B40" s="26" t="s">
        <v>8</v>
      </c>
      <c r="C40" s="27">
        <v>2308.0</v>
      </c>
      <c r="D40" s="27">
        <v>2321.0</v>
      </c>
      <c r="E40" s="27">
        <v>2268.0</v>
      </c>
      <c r="F40" s="51">
        <v>331.0</v>
      </c>
      <c r="G40" s="31"/>
      <c r="H40" s="31"/>
      <c r="I40" s="27">
        <f t="shared" si="129"/>
        <v>7228</v>
      </c>
      <c r="J40" s="112"/>
      <c r="K40" s="26" t="s">
        <v>8</v>
      </c>
      <c r="L40" s="27"/>
      <c r="M40" s="27"/>
      <c r="N40" s="27"/>
      <c r="O40" s="27"/>
      <c r="P40" s="27"/>
      <c r="Q40" s="27"/>
      <c r="R40" s="27">
        <f t="shared" si="130"/>
        <v>0</v>
      </c>
      <c r="S40" s="43"/>
      <c r="T40" s="26" t="s">
        <v>8</v>
      </c>
      <c r="U40" s="56" t="str">
        <f t="shared" ref="U40:Z40" si="134">L30*C80</f>
        <v>#NAME?</v>
      </c>
      <c r="V40" s="56" t="str">
        <f t="shared" si="134"/>
        <v>#NAME?</v>
      </c>
      <c r="W40" s="56" t="str">
        <f t="shared" si="134"/>
        <v>#NAME?</v>
      </c>
      <c r="X40" s="56" t="str">
        <f t="shared" si="134"/>
        <v>#NAME?</v>
      </c>
      <c r="Y40" s="56">
        <f t="shared" si="134"/>
        <v>0</v>
      </c>
      <c r="Z40" s="56">
        <f t="shared" si="134"/>
        <v>0</v>
      </c>
      <c r="AB40" s="50"/>
      <c r="AC40" s="50"/>
      <c r="AD40" s="50"/>
      <c r="AW40" s="43"/>
    </row>
    <row r="41" ht="15.75" customHeight="1">
      <c r="A41" s="50"/>
      <c r="B41" s="26" t="s">
        <v>31</v>
      </c>
      <c r="C41" s="27">
        <v>6226.0</v>
      </c>
      <c r="D41" s="27">
        <v>3479.0</v>
      </c>
      <c r="E41" s="27">
        <v>5045.0</v>
      </c>
      <c r="F41" s="53">
        <v>1134.0</v>
      </c>
      <c r="G41" s="31"/>
      <c r="H41" s="31"/>
      <c r="I41" s="27">
        <f t="shared" si="129"/>
        <v>15884</v>
      </c>
      <c r="J41" s="112"/>
      <c r="K41" s="26" t="s">
        <v>31</v>
      </c>
      <c r="L41" s="27"/>
      <c r="M41" s="27"/>
      <c r="N41" s="27"/>
      <c r="O41" s="27"/>
      <c r="P41" s="27"/>
      <c r="Q41" s="27"/>
      <c r="R41" s="27">
        <f t="shared" si="130"/>
        <v>0</v>
      </c>
      <c r="S41" s="43"/>
      <c r="T41" s="26" t="s">
        <v>31</v>
      </c>
      <c r="U41" s="56" t="str">
        <f t="shared" ref="U41:Z41" si="135">L31*C81</f>
        <v>#NAME?</v>
      </c>
      <c r="V41" s="56" t="str">
        <f t="shared" si="135"/>
        <v>#NAME?</v>
      </c>
      <c r="W41" s="56" t="str">
        <f t="shared" si="135"/>
        <v>#NAME?</v>
      </c>
      <c r="X41" s="56" t="str">
        <f t="shared" si="135"/>
        <v>#NAME?</v>
      </c>
      <c r="Y41" s="56">
        <f t="shared" si="135"/>
        <v>0</v>
      </c>
      <c r="Z41" s="56">
        <f t="shared" si="135"/>
        <v>0</v>
      </c>
      <c r="AB41" s="50"/>
      <c r="AC41" s="50"/>
      <c r="AD41" s="50"/>
      <c r="AW41" s="43"/>
    </row>
    <row r="42" ht="15.75" customHeight="1">
      <c r="A42" s="50"/>
      <c r="B42" s="32" t="s">
        <v>48</v>
      </c>
      <c r="C42" s="33">
        <f t="shared" ref="C42:I42" si="136">SUM(C36:C41)</f>
        <v>10496</v>
      </c>
      <c r="D42" s="33">
        <f t="shared" si="136"/>
        <v>6546</v>
      </c>
      <c r="E42" s="33">
        <f t="shared" si="136"/>
        <v>7675</v>
      </c>
      <c r="F42" s="33">
        <f t="shared" si="136"/>
        <v>1469</v>
      </c>
      <c r="G42" s="33">
        <f t="shared" si="136"/>
        <v>957</v>
      </c>
      <c r="H42" s="33">
        <f t="shared" si="136"/>
        <v>157</v>
      </c>
      <c r="I42" s="33">
        <f t="shared" si="136"/>
        <v>27300</v>
      </c>
      <c r="J42" s="112"/>
      <c r="K42" s="32" t="s">
        <v>48</v>
      </c>
      <c r="L42" s="35">
        <f t="shared" ref="L42:R42" si="137">SUM(L36:L41)</f>
        <v>0</v>
      </c>
      <c r="M42" s="35">
        <f t="shared" si="137"/>
        <v>0</v>
      </c>
      <c r="N42" s="35">
        <f t="shared" si="137"/>
        <v>0</v>
      </c>
      <c r="O42" s="35">
        <f t="shared" si="137"/>
        <v>0</v>
      </c>
      <c r="P42" s="35">
        <f t="shared" si="137"/>
        <v>0</v>
      </c>
      <c r="Q42" s="35">
        <f t="shared" si="137"/>
        <v>0</v>
      </c>
      <c r="R42" s="35">
        <f t="shared" si="137"/>
        <v>0</v>
      </c>
      <c r="S42" s="43"/>
      <c r="Z42" s="29" t="s">
        <v>124</v>
      </c>
      <c r="AA42" s="2" t="str">
        <f>SUM(U36:Z41)</f>
        <v>#NAME?</v>
      </c>
      <c r="AB42" s="50"/>
      <c r="AC42" s="50"/>
      <c r="AD42" s="50"/>
      <c r="AW42" s="43"/>
    </row>
    <row r="43" ht="15.75" customHeight="1">
      <c r="J43" s="112"/>
      <c r="S43" s="43"/>
      <c r="T43" s="50"/>
      <c r="U43" s="50"/>
      <c r="V43" s="50"/>
      <c r="W43" s="50"/>
      <c r="X43" s="50"/>
      <c r="Y43" s="50"/>
      <c r="Z43" s="50"/>
      <c r="AA43" s="50"/>
      <c r="AD43" s="50"/>
      <c r="AW43" s="43"/>
      <c r="AX43" s="119"/>
      <c r="AY43" s="119"/>
      <c r="AZ43" s="119"/>
      <c r="BA43" s="119"/>
      <c r="BB43" s="119"/>
      <c r="BC43" s="119"/>
      <c r="BD43" s="119"/>
      <c r="BE43" s="119"/>
      <c r="BF43" s="29"/>
      <c r="BG43" s="119"/>
      <c r="BH43" s="119"/>
      <c r="BI43" s="119"/>
      <c r="BJ43" s="119"/>
      <c r="BK43" s="119"/>
      <c r="BL43" s="119"/>
      <c r="BM43" s="119"/>
      <c r="BN43" s="119"/>
      <c r="BO43" s="29"/>
      <c r="BP43" s="119"/>
      <c r="BQ43" s="119"/>
      <c r="BR43" s="119"/>
      <c r="BS43" s="119"/>
      <c r="BT43" s="119"/>
      <c r="BU43" s="119"/>
      <c r="BV43" s="119"/>
      <c r="BW43" s="119"/>
      <c r="BX43" s="29"/>
      <c r="BY43" s="29"/>
      <c r="BZ43" s="29"/>
    </row>
    <row r="44" ht="15.75" customHeight="1">
      <c r="A44" s="48"/>
      <c r="B44" s="19" t="s">
        <v>56</v>
      </c>
      <c r="C44" s="20"/>
      <c r="D44" s="20"/>
      <c r="E44" s="20"/>
      <c r="F44" s="20"/>
      <c r="G44" s="20"/>
      <c r="H44" s="20"/>
      <c r="I44" s="21"/>
      <c r="J44" s="112"/>
      <c r="K44" s="19" t="s">
        <v>54</v>
      </c>
      <c r="L44" s="20"/>
      <c r="M44" s="20"/>
      <c r="N44" s="20"/>
      <c r="O44" s="20"/>
      <c r="P44" s="20"/>
      <c r="Q44" s="20"/>
      <c r="R44" s="21"/>
      <c r="S44" s="43"/>
      <c r="T44" s="116" t="s">
        <v>55</v>
      </c>
      <c r="U44" s="21"/>
      <c r="W44" s="116" t="s">
        <v>251</v>
      </c>
      <c r="X44" s="20"/>
      <c r="Y44" s="20"/>
      <c r="Z44" s="20"/>
      <c r="AA44" s="20"/>
      <c r="AB44" s="20"/>
      <c r="AC44" s="20"/>
      <c r="AD44" s="21"/>
      <c r="AF44" s="114" t="s">
        <v>252</v>
      </c>
      <c r="AG44" s="20"/>
      <c r="AH44" s="20"/>
      <c r="AI44" s="20"/>
      <c r="AJ44" s="20"/>
      <c r="AK44" s="20"/>
      <c r="AL44" s="20"/>
      <c r="AM44" s="21"/>
      <c r="AO44" s="116" t="s">
        <v>253</v>
      </c>
      <c r="AP44" s="20"/>
      <c r="AQ44" s="20"/>
      <c r="AR44" s="20"/>
      <c r="AS44" s="20"/>
      <c r="AT44" s="20"/>
      <c r="AU44" s="20"/>
      <c r="AV44" s="21"/>
      <c r="AW44" s="43"/>
      <c r="AX44" s="120" t="s">
        <v>254</v>
      </c>
      <c r="AY44" s="121"/>
      <c r="AZ44" s="121"/>
      <c r="BA44" s="121"/>
      <c r="BB44" s="121"/>
      <c r="BC44" s="121"/>
      <c r="BD44" s="121"/>
      <c r="BE44" s="122"/>
      <c r="BF44" s="123"/>
      <c r="BG44" s="124" t="s">
        <v>255</v>
      </c>
      <c r="BH44" s="121"/>
      <c r="BI44" s="121"/>
      <c r="BJ44" s="121"/>
      <c r="BK44" s="121"/>
      <c r="BL44" s="121"/>
      <c r="BM44" s="121"/>
      <c r="BN44" s="122"/>
      <c r="BO44" s="123"/>
      <c r="BP44" s="125" t="s">
        <v>254</v>
      </c>
      <c r="BQ44" s="121"/>
      <c r="BR44" s="121"/>
      <c r="BS44" s="121"/>
      <c r="BT44" s="121"/>
      <c r="BU44" s="121"/>
      <c r="BV44" s="121"/>
      <c r="BW44" s="122"/>
      <c r="BX44" s="29"/>
      <c r="BY44" s="29"/>
      <c r="BZ44" s="29"/>
    </row>
    <row r="45" ht="15.75" customHeight="1">
      <c r="A45" s="48"/>
      <c r="B45" s="4" t="s">
        <v>42</v>
      </c>
      <c r="C45" s="4" t="s">
        <v>25</v>
      </c>
      <c r="D45" s="4" t="s">
        <v>28</v>
      </c>
      <c r="E45" s="4" t="s">
        <v>9</v>
      </c>
      <c r="F45" s="49" t="s">
        <v>33</v>
      </c>
      <c r="G45" s="4" t="s">
        <v>8</v>
      </c>
      <c r="H45" s="4" t="s">
        <v>31</v>
      </c>
      <c r="I45" s="4" t="s">
        <v>43</v>
      </c>
      <c r="J45" s="112"/>
      <c r="K45" s="4" t="s">
        <v>42</v>
      </c>
      <c r="L45" s="4" t="s">
        <v>25</v>
      </c>
      <c r="M45" s="4" t="s">
        <v>28</v>
      </c>
      <c r="N45" s="4" t="s">
        <v>9</v>
      </c>
      <c r="O45" s="49" t="s">
        <v>33</v>
      </c>
      <c r="P45" s="4" t="s">
        <v>8</v>
      </c>
      <c r="Q45" s="4" t="s">
        <v>31</v>
      </c>
      <c r="R45" s="4" t="s">
        <v>43</v>
      </c>
      <c r="S45" s="43"/>
      <c r="T45" s="4" t="s">
        <v>44</v>
      </c>
      <c r="U45" s="4" t="s">
        <v>47</v>
      </c>
      <c r="W45" s="49" t="s">
        <v>42</v>
      </c>
      <c r="X45" s="49" t="s">
        <v>25</v>
      </c>
      <c r="Y45" s="49" t="s">
        <v>28</v>
      </c>
      <c r="Z45" s="49" t="s">
        <v>9</v>
      </c>
      <c r="AA45" s="49" t="s">
        <v>33</v>
      </c>
      <c r="AB45" s="49" t="s">
        <v>8</v>
      </c>
      <c r="AC45" s="49" t="s">
        <v>31</v>
      </c>
      <c r="AD45" s="49" t="s">
        <v>43</v>
      </c>
      <c r="AF45" s="4" t="s">
        <v>42</v>
      </c>
      <c r="AG45" s="4" t="s">
        <v>25</v>
      </c>
      <c r="AH45" s="49" t="s">
        <v>28</v>
      </c>
      <c r="AI45" s="4" t="s">
        <v>9</v>
      </c>
      <c r="AJ45" s="49" t="s">
        <v>33</v>
      </c>
      <c r="AK45" s="49" t="s">
        <v>8</v>
      </c>
      <c r="AL45" s="4" t="s">
        <v>31</v>
      </c>
      <c r="AM45" s="4" t="s">
        <v>43</v>
      </c>
      <c r="AO45" s="49" t="s">
        <v>42</v>
      </c>
      <c r="AP45" s="49" t="s">
        <v>25</v>
      </c>
      <c r="AQ45" s="49" t="s">
        <v>28</v>
      </c>
      <c r="AR45" s="49" t="s">
        <v>9</v>
      </c>
      <c r="AS45" s="49" t="s">
        <v>33</v>
      </c>
      <c r="AT45" s="49" t="s">
        <v>8</v>
      </c>
      <c r="AU45" s="49" t="s">
        <v>31</v>
      </c>
      <c r="AV45" s="49" t="s">
        <v>43</v>
      </c>
      <c r="AW45" s="43"/>
      <c r="AX45" s="72" t="s">
        <v>42</v>
      </c>
      <c r="AY45" s="73" t="s">
        <v>25</v>
      </c>
      <c r="AZ45" s="73" t="s">
        <v>28</v>
      </c>
      <c r="BA45" s="73" t="s">
        <v>9</v>
      </c>
      <c r="BB45" s="73" t="s">
        <v>33</v>
      </c>
      <c r="BC45" s="73" t="s">
        <v>8</v>
      </c>
      <c r="BD45" s="73" t="s">
        <v>31</v>
      </c>
      <c r="BE45" s="73" t="s">
        <v>43</v>
      </c>
      <c r="BF45" s="123"/>
      <c r="BG45" s="73" t="s">
        <v>42</v>
      </c>
      <c r="BH45" s="73" t="s">
        <v>25</v>
      </c>
      <c r="BI45" s="73" t="s">
        <v>28</v>
      </c>
      <c r="BJ45" s="73" t="s">
        <v>9</v>
      </c>
      <c r="BK45" s="73" t="s">
        <v>33</v>
      </c>
      <c r="BL45" s="73" t="s">
        <v>8</v>
      </c>
      <c r="BM45" s="73" t="s">
        <v>31</v>
      </c>
      <c r="BN45" s="73" t="s">
        <v>43</v>
      </c>
      <c r="BO45" s="123"/>
      <c r="BP45" s="73" t="s">
        <v>42</v>
      </c>
      <c r="BQ45" s="73" t="s">
        <v>25</v>
      </c>
      <c r="BR45" s="73" t="s">
        <v>28</v>
      </c>
      <c r="BS45" s="73" t="s">
        <v>9</v>
      </c>
      <c r="BT45" s="73" t="s">
        <v>33</v>
      </c>
      <c r="BU45" s="73" t="s">
        <v>8</v>
      </c>
      <c r="BV45" s="73" t="s">
        <v>31</v>
      </c>
      <c r="BW45" s="73" t="s">
        <v>43</v>
      </c>
      <c r="BX45" s="29"/>
      <c r="BY45" s="29"/>
      <c r="BZ45" s="29"/>
    </row>
    <row r="46" ht="15.75" customHeight="1">
      <c r="A46" s="50"/>
      <c r="B46" s="26" t="s">
        <v>25</v>
      </c>
      <c r="C46" s="27">
        <f t="shared" ref="C46:H46" si="138">C6+C16+C26+C36</f>
        <v>0</v>
      </c>
      <c r="D46" s="27">
        <f t="shared" si="138"/>
        <v>7825</v>
      </c>
      <c r="E46" s="27">
        <f t="shared" si="138"/>
        <v>8552</v>
      </c>
      <c r="F46" s="27">
        <f t="shared" si="138"/>
        <v>3498</v>
      </c>
      <c r="G46" s="27">
        <f t="shared" si="138"/>
        <v>57554</v>
      </c>
      <c r="H46" s="27">
        <f t="shared" si="138"/>
        <v>6022</v>
      </c>
      <c r="I46" s="27">
        <f t="shared" ref="I46:I51" si="145">SUM(C46:H46)</f>
        <v>83451</v>
      </c>
      <c r="J46" s="112"/>
      <c r="K46" s="26" t="s">
        <v>25</v>
      </c>
      <c r="L46" s="27">
        <f t="shared" ref="L46:Q46" si="139">INT(C36/52)</f>
        <v>0</v>
      </c>
      <c r="M46" s="27">
        <f t="shared" si="139"/>
        <v>0</v>
      </c>
      <c r="N46" s="27">
        <f t="shared" si="139"/>
        <v>0</v>
      </c>
      <c r="O46" s="27">
        <f t="shared" si="139"/>
        <v>0</v>
      </c>
      <c r="P46" s="27">
        <f t="shared" si="139"/>
        <v>1</v>
      </c>
      <c r="Q46" s="27">
        <f t="shared" si="139"/>
        <v>0</v>
      </c>
      <c r="R46" s="27">
        <f t="shared" ref="R46:R51" si="147">SUM(L46:Q46)</f>
        <v>1</v>
      </c>
      <c r="S46" s="43"/>
      <c r="T46" s="26" t="s">
        <v>25</v>
      </c>
      <c r="U46" s="52">
        <f>L52-R46</f>
        <v>198</v>
      </c>
      <c r="W46" s="26" t="s">
        <v>25</v>
      </c>
      <c r="X46" s="27"/>
      <c r="Y46" s="27"/>
      <c r="Z46" s="27"/>
      <c r="AA46" s="27"/>
      <c r="AB46" s="27"/>
      <c r="AC46" s="27">
        <f>U46-1</f>
        <v>197</v>
      </c>
      <c r="AD46" s="27">
        <f t="shared" ref="AD46:AD51" si="148">SUM(X46:AC46)</f>
        <v>197</v>
      </c>
      <c r="AF46" s="26" t="s">
        <v>25</v>
      </c>
      <c r="AG46" s="27">
        <f t="shared" ref="AG46:AL46" si="140">L46*28</f>
        <v>0</v>
      </c>
      <c r="AH46" s="27">
        <f t="shared" si="140"/>
        <v>0</v>
      </c>
      <c r="AI46" s="27">
        <f t="shared" si="140"/>
        <v>0</v>
      </c>
      <c r="AJ46" s="27">
        <f t="shared" si="140"/>
        <v>0</v>
      </c>
      <c r="AK46" s="27">
        <f t="shared" si="140"/>
        <v>28</v>
      </c>
      <c r="AL46" s="27">
        <f t="shared" si="140"/>
        <v>0</v>
      </c>
      <c r="AM46" s="27">
        <f t="shared" ref="AM46:AM51" si="150">SUM(AG46:AL46)</f>
        <v>28</v>
      </c>
      <c r="AO46" s="26" t="s">
        <v>25</v>
      </c>
      <c r="AP46" s="27">
        <f t="shared" ref="AP46:AU46" si="141">X46*4</f>
        <v>0</v>
      </c>
      <c r="AQ46" s="27">
        <f t="shared" si="141"/>
        <v>0</v>
      </c>
      <c r="AR46" s="27">
        <f t="shared" si="141"/>
        <v>0</v>
      </c>
      <c r="AS46" s="27">
        <f t="shared" si="141"/>
        <v>0</v>
      </c>
      <c r="AT46" s="27">
        <f t="shared" si="141"/>
        <v>0</v>
      </c>
      <c r="AU46" s="27">
        <f t="shared" si="141"/>
        <v>788</v>
      </c>
      <c r="AV46" s="27">
        <f t="shared" ref="AV46:AV51" si="152">SUM(AP46:AU46)</f>
        <v>788</v>
      </c>
      <c r="AW46" s="43"/>
      <c r="AX46" s="54" t="s">
        <v>25</v>
      </c>
      <c r="AY46" s="126"/>
      <c r="AZ46" s="126"/>
      <c r="BA46" s="126"/>
      <c r="BB46" s="126"/>
      <c r="BC46" s="126"/>
      <c r="BD46" s="127">
        <f t="shared" ref="BD46:BD47" si="153">(AC46-1)*2</f>
        <v>392</v>
      </c>
      <c r="BE46" s="127">
        <f t="shared" ref="BE46:BE51" si="154">SUM(AY46:BD46)</f>
        <v>392</v>
      </c>
      <c r="BF46" s="123"/>
      <c r="BG46" s="128" t="s">
        <v>25</v>
      </c>
      <c r="BH46" s="127">
        <f t="shared" ref="BH46:BM46" si="142">L46*28*2</f>
        <v>0</v>
      </c>
      <c r="BI46" s="127">
        <f t="shared" si="142"/>
        <v>0</v>
      </c>
      <c r="BJ46" s="127">
        <f t="shared" si="142"/>
        <v>0</v>
      </c>
      <c r="BK46" s="127">
        <f t="shared" si="142"/>
        <v>0</v>
      </c>
      <c r="BL46" s="127">
        <f t="shared" si="142"/>
        <v>56</v>
      </c>
      <c r="BM46" s="127">
        <f t="shared" si="142"/>
        <v>0</v>
      </c>
      <c r="BN46" s="127">
        <f t="shared" ref="BN46:BN51" si="156">SUM(BH46:BM46)</f>
        <v>56</v>
      </c>
      <c r="BO46" s="123"/>
      <c r="BP46" s="128" t="s">
        <v>25</v>
      </c>
      <c r="BQ46" s="127">
        <f t="shared" ref="BQ46:BV46" si="143">AY46*4</f>
        <v>0</v>
      </c>
      <c r="BR46" s="127">
        <f t="shared" si="143"/>
        <v>0</v>
      </c>
      <c r="BS46" s="127">
        <f t="shared" si="143"/>
        <v>0</v>
      </c>
      <c r="BT46" s="127">
        <f t="shared" si="143"/>
        <v>0</v>
      </c>
      <c r="BU46" s="127">
        <f t="shared" si="143"/>
        <v>0</v>
      </c>
      <c r="BV46" s="127">
        <f t="shared" si="143"/>
        <v>1568</v>
      </c>
      <c r="BW46" s="127">
        <f t="shared" ref="BW46:BW51" si="158">SUM(BQ46:BV46)</f>
        <v>1568</v>
      </c>
      <c r="BX46" s="29"/>
      <c r="BY46" s="29"/>
      <c r="BZ46" s="29"/>
    </row>
    <row r="47" ht="15.75" customHeight="1">
      <c r="A47" s="50"/>
      <c r="B47" s="26" t="s">
        <v>28</v>
      </c>
      <c r="C47" s="27">
        <f t="shared" ref="C47:H47" si="144">C7+C17+C27+C37</f>
        <v>13384</v>
      </c>
      <c r="D47" s="27">
        <f t="shared" si="144"/>
        <v>0</v>
      </c>
      <c r="E47" s="27">
        <f t="shared" si="144"/>
        <v>2780</v>
      </c>
      <c r="F47" s="27">
        <f t="shared" si="144"/>
        <v>594</v>
      </c>
      <c r="G47" s="27">
        <f t="shared" si="144"/>
        <v>17206</v>
      </c>
      <c r="H47" s="27">
        <f t="shared" si="144"/>
        <v>7321</v>
      </c>
      <c r="I47" s="27">
        <f t="shared" si="145"/>
        <v>41285</v>
      </c>
      <c r="J47" s="43"/>
      <c r="K47" s="26" t="s">
        <v>28</v>
      </c>
      <c r="L47" s="27">
        <f t="shared" ref="L47:Q47" si="146">INT(C37/52)</f>
        <v>2</v>
      </c>
      <c r="M47" s="27">
        <f t="shared" si="146"/>
        <v>0</v>
      </c>
      <c r="N47" s="27">
        <f t="shared" si="146"/>
        <v>0</v>
      </c>
      <c r="O47" s="27">
        <f t="shared" si="146"/>
        <v>0</v>
      </c>
      <c r="P47" s="27">
        <f t="shared" si="146"/>
        <v>4</v>
      </c>
      <c r="Q47" s="27">
        <f t="shared" si="146"/>
        <v>1</v>
      </c>
      <c r="R47" s="27">
        <f t="shared" si="147"/>
        <v>7</v>
      </c>
      <c r="S47" s="43"/>
      <c r="T47" s="26" t="s">
        <v>28</v>
      </c>
      <c r="U47" s="52">
        <f>M52-R47</f>
        <v>116</v>
      </c>
      <c r="W47" s="26" t="s">
        <v>28</v>
      </c>
      <c r="X47" s="27"/>
      <c r="Y47" s="27"/>
      <c r="Z47" s="27"/>
      <c r="AA47" s="27"/>
      <c r="AB47" s="27">
        <v>11.0</v>
      </c>
      <c r="AC47" s="27">
        <f>U47-AB47</f>
        <v>105</v>
      </c>
      <c r="AD47" s="27">
        <f t="shared" si="148"/>
        <v>116</v>
      </c>
      <c r="AF47" s="26" t="s">
        <v>28</v>
      </c>
      <c r="AG47" s="27">
        <f t="shared" ref="AG47:AL47" si="149">L47*28</f>
        <v>56</v>
      </c>
      <c r="AH47" s="27">
        <f t="shared" si="149"/>
        <v>0</v>
      </c>
      <c r="AI47" s="27">
        <f t="shared" si="149"/>
        <v>0</v>
      </c>
      <c r="AJ47" s="27">
        <f t="shared" si="149"/>
        <v>0</v>
      </c>
      <c r="AK47" s="27">
        <f t="shared" si="149"/>
        <v>112</v>
      </c>
      <c r="AL47" s="27">
        <f t="shared" si="149"/>
        <v>28</v>
      </c>
      <c r="AM47" s="27">
        <f t="shared" si="150"/>
        <v>196</v>
      </c>
      <c r="AO47" s="26" t="s">
        <v>28</v>
      </c>
      <c r="AP47" s="27">
        <f t="shared" ref="AP47:AU47" si="151">X47*4</f>
        <v>0</v>
      </c>
      <c r="AQ47" s="27">
        <f t="shared" si="151"/>
        <v>0</v>
      </c>
      <c r="AR47" s="27">
        <f t="shared" si="151"/>
        <v>0</v>
      </c>
      <c r="AS47" s="27">
        <f t="shared" si="151"/>
        <v>0</v>
      </c>
      <c r="AT47" s="27">
        <f t="shared" si="151"/>
        <v>44</v>
      </c>
      <c r="AU47" s="27">
        <f t="shared" si="151"/>
        <v>420</v>
      </c>
      <c r="AV47" s="27">
        <f t="shared" si="152"/>
        <v>464</v>
      </c>
      <c r="AW47" s="43"/>
      <c r="AX47" s="54" t="s">
        <v>28</v>
      </c>
      <c r="AY47" s="126"/>
      <c r="AZ47" s="126"/>
      <c r="BA47" s="126"/>
      <c r="BB47" s="126"/>
      <c r="BC47" s="127">
        <f>11*2</f>
        <v>22</v>
      </c>
      <c r="BD47" s="127">
        <f t="shared" si="153"/>
        <v>208</v>
      </c>
      <c r="BE47" s="127">
        <f t="shared" si="154"/>
        <v>230</v>
      </c>
      <c r="BF47" s="123"/>
      <c r="BG47" s="128" t="s">
        <v>28</v>
      </c>
      <c r="BH47" s="127">
        <f t="shared" ref="BH47:BM47" si="155">L47*28*2</f>
        <v>112</v>
      </c>
      <c r="BI47" s="127">
        <f t="shared" si="155"/>
        <v>0</v>
      </c>
      <c r="BJ47" s="127">
        <f t="shared" si="155"/>
        <v>0</v>
      </c>
      <c r="BK47" s="127">
        <f t="shared" si="155"/>
        <v>0</v>
      </c>
      <c r="BL47" s="127">
        <f t="shared" si="155"/>
        <v>224</v>
      </c>
      <c r="BM47" s="127">
        <f t="shared" si="155"/>
        <v>56</v>
      </c>
      <c r="BN47" s="127">
        <f t="shared" si="156"/>
        <v>392</v>
      </c>
      <c r="BO47" s="123"/>
      <c r="BP47" s="128" t="s">
        <v>28</v>
      </c>
      <c r="BQ47" s="127">
        <f t="shared" ref="BQ47:BV47" si="157">AY47*4</f>
        <v>0</v>
      </c>
      <c r="BR47" s="127">
        <f t="shared" si="157"/>
        <v>0</v>
      </c>
      <c r="BS47" s="127">
        <f t="shared" si="157"/>
        <v>0</v>
      </c>
      <c r="BT47" s="127">
        <f t="shared" si="157"/>
        <v>0</v>
      </c>
      <c r="BU47" s="127">
        <f t="shared" si="157"/>
        <v>88</v>
      </c>
      <c r="BV47" s="127">
        <f t="shared" si="157"/>
        <v>832</v>
      </c>
      <c r="BW47" s="127">
        <f t="shared" si="158"/>
        <v>920</v>
      </c>
      <c r="BX47" s="29"/>
      <c r="BY47" s="29"/>
      <c r="BZ47" s="29"/>
    </row>
    <row r="48" ht="15.75" customHeight="1">
      <c r="A48" s="50"/>
      <c r="B48" s="26" t="s">
        <v>9</v>
      </c>
      <c r="C48" s="27">
        <f t="shared" ref="C48:H48" si="159">C8+C18+C28+C38</f>
        <v>21147</v>
      </c>
      <c r="D48" s="27">
        <f t="shared" si="159"/>
        <v>6937</v>
      </c>
      <c r="E48" s="27">
        <f t="shared" si="159"/>
        <v>0</v>
      </c>
      <c r="F48" s="27">
        <f t="shared" si="159"/>
        <v>3620</v>
      </c>
      <c r="G48" s="27">
        <f t="shared" si="159"/>
        <v>18324</v>
      </c>
      <c r="H48" s="27">
        <f t="shared" si="159"/>
        <v>5127</v>
      </c>
      <c r="I48" s="27">
        <f t="shared" si="145"/>
        <v>55155</v>
      </c>
      <c r="J48" s="43"/>
      <c r="K48" s="26" t="s">
        <v>9</v>
      </c>
      <c r="L48" s="27">
        <f t="shared" ref="L48:Q48" si="160">INT(C38/52)</f>
        <v>30</v>
      </c>
      <c r="M48" s="27">
        <f t="shared" si="160"/>
        <v>7</v>
      </c>
      <c r="N48" s="27">
        <f t="shared" si="160"/>
        <v>0</v>
      </c>
      <c r="O48" s="27">
        <f t="shared" si="160"/>
        <v>0</v>
      </c>
      <c r="P48" s="27">
        <f t="shared" si="160"/>
        <v>0</v>
      </c>
      <c r="Q48" s="27">
        <f t="shared" si="160"/>
        <v>0</v>
      </c>
      <c r="R48" s="27">
        <f t="shared" si="147"/>
        <v>37</v>
      </c>
      <c r="S48" s="43"/>
      <c r="T48" s="54" t="s">
        <v>9</v>
      </c>
      <c r="U48" s="52">
        <f>N52-R48</f>
        <v>109</v>
      </c>
      <c r="W48" s="26" t="s">
        <v>9</v>
      </c>
      <c r="X48" s="27"/>
      <c r="Y48" s="27"/>
      <c r="Z48" s="27"/>
      <c r="AA48" s="27">
        <v>1.0</v>
      </c>
      <c r="AB48" s="27">
        <v>109.0</v>
      </c>
      <c r="AC48" s="27"/>
      <c r="AD48" s="27">
        <f t="shared" si="148"/>
        <v>110</v>
      </c>
      <c r="AF48" s="26" t="s">
        <v>9</v>
      </c>
      <c r="AG48" s="27">
        <f t="shared" ref="AG48:AL48" si="161">L48*28</f>
        <v>840</v>
      </c>
      <c r="AH48" s="27">
        <f t="shared" si="161"/>
        <v>196</v>
      </c>
      <c r="AI48" s="27">
        <f t="shared" si="161"/>
        <v>0</v>
      </c>
      <c r="AJ48" s="27">
        <f t="shared" si="161"/>
        <v>0</v>
      </c>
      <c r="AK48" s="27">
        <f t="shared" si="161"/>
        <v>0</v>
      </c>
      <c r="AL48" s="27">
        <f t="shared" si="161"/>
        <v>0</v>
      </c>
      <c r="AM48" s="27">
        <f t="shared" si="150"/>
        <v>1036</v>
      </c>
      <c r="AO48" s="26" t="s">
        <v>9</v>
      </c>
      <c r="AP48" s="27">
        <f t="shared" ref="AP48:AU48" si="162">X48*4</f>
        <v>0</v>
      </c>
      <c r="AQ48" s="27">
        <f t="shared" si="162"/>
        <v>0</v>
      </c>
      <c r="AR48" s="27">
        <f t="shared" si="162"/>
        <v>0</v>
      </c>
      <c r="AS48" s="27">
        <f t="shared" si="162"/>
        <v>4</v>
      </c>
      <c r="AT48" s="27">
        <f t="shared" si="162"/>
        <v>436</v>
      </c>
      <c r="AU48" s="27">
        <f t="shared" si="162"/>
        <v>0</v>
      </c>
      <c r="AV48" s="27">
        <f t="shared" si="152"/>
        <v>440</v>
      </c>
      <c r="AW48" s="43"/>
      <c r="AX48" s="54" t="s">
        <v>9</v>
      </c>
      <c r="AY48" s="126"/>
      <c r="AZ48" s="126"/>
      <c r="BA48" s="126"/>
      <c r="BB48" s="127">
        <f>1*2</f>
        <v>2</v>
      </c>
      <c r="BC48" s="127">
        <f>109*2</f>
        <v>218</v>
      </c>
      <c r="BD48" s="127"/>
      <c r="BE48" s="127">
        <f t="shared" si="154"/>
        <v>220</v>
      </c>
      <c r="BF48" s="123"/>
      <c r="BG48" s="128" t="s">
        <v>9</v>
      </c>
      <c r="BH48" s="127">
        <f t="shared" ref="BH48:BM48" si="163">L48*28*2</f>
        <v>1680</v>
      </c>
      <c r="BI48" s="127">
        <f t="shared" si="163"/>
        <v>392</v>
      </c>
      <c r="BJ48" s="127">
        <f t="shared" si="163"/>
        <v>0</v>
      </c>
      <c r="BK48" s="127">
        <f t="shared" si="163"/>
        <v>0</v>
      </c>
      <c r="BL48" s="127">
        <f t="shared" si="163"/>
        <v>0</v>
      </c>
      <c r="BM48" s="127">
        <f t="shared" si="163"/>
        <v>0</v>
      </c>
      <c r="BN48" s="127">
        <f t="shared" si="156"/>
        <v>2072</v>
      </c>
      <c r="BO48" s="123"/>
      <c r="BP48" s="128" t="s">
        <v>9</v>
      </c>
      <c r="BQ48" s="127">
        <f t="shared" ref="BQ48:BV48" si="164">AY48*4</f>
        <v>0</v>
      </c>
      <c r="BR48" s="127">
        <f t="shared" si="164"/>
        <v>0</v>
      </c>
      <c r="BS48" s="127">
        <f t="shared" si="164"/>
        <v>0</v>
      </c>
      <c r="BT48" s="127">
        <f t="shared" si="164"/>
        <v>8</v>
      </c>
      <c r="BU48" s="127">
        <f t="shared" si="164"/>
        <v>872</v>
      </c>
      <c r="BV48" s="127">
        <f t="shared" si="164"/>
        <v>0</v>
      </c>
      <c r="BW48" s="127">
        <f t="shared" si="158"/>
        <v>880</v>
      </c>
      <c r="BX48" s="29"/>
      <c r="BY48" s="29"/>
      <c r="BZ48" s="29"/>
    </row>
    <row r="49" ht="15.75" customHeight="1">
      <c r="A49" s="50"/>
      <c r="B49" s="26" t="s">
        <v>33</v>
      </c>
      <c r="C49" s="27">
        <f t="shared" ref="C49:H49" si="165">C9+C19+C29+C39</f>
        <v>3873</v>
      </c>
      <c r="D49" s="27">
        <f t="shared" si="165"/>
        <v>3139</v>
      </c>
      <c r="E49" s="27">
        <f t="shared" si="165"/>
        <v>2375</v>
      </c>
      <c r="F49" s="27">
        <f t="shared" si="165"/>
        <v>0</v>
      </c>
      <c r="G49" s="27">
        <f t="shared" si="165"/>
        <v>22201</v>
      </c>
      <c r="H49" s="27">
        <f t="shared" si="165"/>
        <v>2846</v>
      </c>
      <c r="I49" s="27">
        <f t="shared" si="145"/>
        <v>34434</v>
      </c>
      <c r="J49" s="43"/>
      <c r="K49" s="26" t="s">
        <v>33</v>
      </c>
      <c r="L49" s="27">
        <f t="shared" ref="L49:Q49" si="166">INT(C39/52)</f>
        <v>4</v>
      </c>
      <c r="M49" s="27">
        <f t="shared" si="166"/>
        <v>6</v>
      </c>
      <c r="N49" s="27">
        <f t="shared" si="166"/>
        <v>6</v>
      </c>
      <c r="O49" s="27">
        <f t="shared" si="166"/>
        <v>0</v>
      </c>
      <c r="P49" s="27">
        <f t="shared" si="166"/>
        <v>12</v>
      </c>
      <c r="Q49" s="27">
        <f t="shared" si="166"/>
        <v>0</v>
      </c>
      <c r="R49" s="27">
        <f t="shared" si="147"/>
        <v>28</v>
      </c>
      <c r="S49" s="43"/>
      <c r="T49" s="54" t="s">
        <v>33</v>
      </c>
      <c r="U49" s="52">
        <f>O52-R49</f>
        <v>-1</v>
      </c>
      <c r="W49" s="26" t="s">
        <v>33</v>
      </c>
      <c r="X49" s="27"/>
      <c r="Y49" s="27"/>
      <c r="Z49" s="27"/>
      <c r="AA49" s="27"/>
      <c r="AB49" s="27"/>
      <c r="AC49" s="27"/>
      <c r="AD49" s="27">
        <f t="shared" si="148"/>
        <v>0</v>
      </c>
      <c r="AF49" s="26" t="s">
        <v>33</v>
      </c>
      <c r="AG49" s="27">
        <f t="shared" ref="AG49:AL49" si="167">L49*28</f>
        <v>112</v>
      </c>
      <c r="AH49" s="27">
        <f t="shared" si="167"/>
        <v>168</v>
      </c>
      <c r="AI49" s="27">
        <f t="shared" si="167"/>
        <v>168</v>
      </c>
      <c r="AJ49" s="27">
        <f t="shared" si="167"/>
        <v>0</v>
      </c>
      <c r="AK49" s="27">
        <f t="shared" si="167"/>
        <v>336</v>
      </c>
      <c r="AL49" s="27">
        <f t="shared" si="167"/>
        <v>0</v>
      </c>
      <c r="AM49" s="27">
        <f t="shared" si="150"/>
        <v>784</v>
      </c>
      <c r="AO49" s="26" t="s">
        <v>33</v>
      </c>
      <c r="AP49" s="27">
        <f t="shared" ref="AP49:AU49" si="168">X49*4</f>
        <v>0</v>
      </c>
      <c r="AQ49" s="27">
        <f t="shared" si="168"/>
        <v>0</v>
      </c>
      <c r="AR49" s="27">
        <f t="shared" si="168"/>
        <v>0</v>
      </c>
      <c r="AS49" s="27">
        <f t="shared" si="168"/>
        <v>0</v>
      </c>
      <c r="AT49" s="27">
        <f t="shared" si="168"/>
        <v>0</v>
      </c>
      <c r="AU49" s="27">
        <f t="shared" si="168"/>
        <v>0</v>
      </c>
      <c r="AV49" s="27">
        <f t="shared" si="152"/>
        <v>0</v>
      </c>
      <c r="AW49" s="43"/>
      <c r="AX49" s="54" t="s">
        <v>33</v>
      </c>
      <c r="AY49" s="126"/>
      <c r="AZ49" s="126"/>
      <c r="BA49" s="126"/>
      <c r="BB49" s="126"/>
      <c r="BC49" s="126"/>
      <c r="BD49" s="126"/>
      <c r="BE49" s="127">
        <f t="shared" si="154"/>
        <v>0</v>
      </c>
      <c r="BF49" s="123"/>
      <c r="BG49" s="128" t="s">
        <v>33</v>
      </c>
      <c r="BH49" s="127">
        <f t="shared" ref="BH49:BM49" si="169">L49*28*2</f>
        <v>224</v>
      </c>
      <c r="BI49" s="127">
        <f t="shared" si="169"/>
        <v>336</v>
      </c>
      <c r="BJ49" s="127">
        <f t="shared" si="169"/>
        <v>336</v>
      </c>
      <c r="BK49" s="127">
        <f t="shared" si="169"/>
        <v>0</v>
      </c>
      <c r="BL49" s="127">
        <f t="shared" si="169"/>
        <v>672</v>
      </c>
      <c r="BM49" s="127">
        <f t="shared" si="169"/>
        <v>0</v>
      </c>
      <c r="BN49" s="127">
        <f t="shared" si="156"/>
        <v>1568</v>
      </c>
      <c r="BO49" s="123"/>
      <c r="BP49" s="128" t="s">
        <v>33</v>
      </c>
      <c r="BQ49" s="127">
        <f t="shared" ref="BQ49:BV49" si="170">AY49*4</f>
        <v>0</v>
      </c>
      <c r="BR49" s="127">
        <f t="shared" si="170"/>
        <v>0</v>
      </c>
      <c r="BS49" s="127">
        <f t="shared" si="170"/>
        <v>0</v>
      </c>
      <c r="BT49" s="127">
        <f t="shared" si="170"/>
        <v>0</v>
      </c>
      <c r="BU49" s="127">
        <f t="shared" si="170"/>
        <v>0</v>
      </c>
      <c r="BV49" s="127">
        <f t="shared" si="170"/>
        <v>0</v>
      </c>
      <c r="BW49" s="127">
        <f t="shared" si="158"/>
        <v>0</v>
      </c>
      <c r="BX49" s="29"/>
      <c r="BY49" s="29"/>
      <c r="BZ49" s="29"/>
    </row>
    <row r="50" ht="15.75" customHeight="1">
      <c r="A50" s="50"/>
      <c r="B50" s="26" t="s">
        <v>8</v>
      </c>
      <c r="C50" s="27">
        <f t="shared" ref="C50:H50" si="171">C10+C20+C30+C40</f>
        <v>24407</v>
      </c>
      <c r="D50" s="27">
        <f t="shared" si="171"/>
        <v>31566</v>
      </c>
      <c r="E50" s="27">
        <f t="shared" si="171"/>
        <v>38079</v>
      </c>
      <c r="F50" s="27">
        <f t="shared" si="171"/>
        <v>6793</v>
      </c>
      <c r="G50" s="27">
        <f t="shared" si="171"/>
        <v>0</v>
      </c>
      <c r="H50" s="27">
        <f t="shared" si="171"/>
        <v>0</v>
      </c>
      <c r="I50" s="27">
        <f t="shared" si="145"/>
        <v>100845</v>
      </c>
      <c r="J50" s="43"/>
      <c r="K50" s="26" t="s">
        <v>8</v>
      </c>
      <c r="L50" s="27">
        <f t="shared" ref="L50:Q50" si="172">INT(C40/52)</f>
        <v>44</v>
      </c>
      <c r="M50" s="27">
        <f t="shared" si="172"/>
        <v>44</v>
      </c>
      <c r="N50" s="27">
        <f t="shared" si="172"/>
        <v>43</v>
      </c>
      <c r="O50" s="27">
        <f t="shared" si="172"/>
        <v>6</v>
      </c>
      <c r="P50" s="27">
        <f t="shared" si="172"/>
        <v>0</v>
      </c>
      <c r="Q50" s="27">
        <f t="shared" si="172"/>
        <v>0</v>
      </c>
      <c r="R50" s="27">
        <f t="shared" si="147"/>
        <v>137</v>
      </c>
      <c r="S50" s="43"/>
      <c r="T50" s="54" t="s">
        <v>8</v>
      </c>
      <c r="U50" s="52">
        <f>P52-R50</f>
        <v>-120</v>
      </c>
      <c r="W50" s="26" t="s">
        <v>8</v>
      </c>
      <c r="X50" s="27"/>
      <c r="Y50" s="27"/>
      <c r="Z50" s="27"/>
      <c r="AA50" s="27"/>
      <c r="AB50" s="27"/>
      <c r="AC50" s="27"/>
      <c r="AD50" s="27">
        <f t="shared" si="148"/>
        <v>0</v>
      </c>
      <c r="AF50" s="26" t="s">
        <v>8</v>
      </c>
      <c r="AG50" s="27">
        <f t="shared" ref="AG50:AL50" si="173">L50*28</f>
        <v>1232</v>
      </c>
      <c r="AH50" s="27">
        <f t="shared" si="173"/>
        <v>1232</v>
      </c>
      <c r="AI50" s="27">
        <f t="shared" si="173"/>
        <v>1204</v>
      </c>
      <c r="AJ50" s="27">
        <f t="shared" si="173"/>
        <v>168</v>
      </c>
      <c r="AK50" s="27">
        <f t="shared" si="173"/>
        <v>0</v>
      </c>
      <c r="AL50" s="27">
        <f t="shared" si="173"/>
        <v>0</v>
      </c>
      <c r="AM50" s="27">
        <f t="shared" si="150"/>
        <v>3836</v>
      </c>
      <c r="AO50" s="26" t="s">
        <v>8</v>
      </c>
      <c r="AP50" s="27">
        <f t="shared" ref="AP50:AU50" si="174">X50*4</f>
        <v>0</v>
      </c>
      <c r="AQ50" s="27">
        <f t="shared" si="174"/>
        <v>0</v>
      </c>
      <c r="AR50" s="27">
        <f t="shared" si="174"/>
        <v>0</v>
      </c>
      <c r="AS50" s="27">
        <f t="shared" si="174"/>
        <v>0</v>
      </c>
      <c r="AT50" s="27">
        <f t="shared" si="174"/>
        <v>0</v>
      </c>
      <c r="AU50" s="27">
        <f t="shared" si="174"/>
        <v>0</v>
      </c>
      <c r="AV50" s="27">
        <f t="shared" si="152"/>
        <v>0</v>
      </c>
      <c r="AW50" s="43"/>
      <c r="AX50" s="54" t="s">
        <v>8</v>
      </c>
      <c r="AY50" s="126"/>
      <c r="AZ50" s="126"/>
      <c r="BA50" s="126"/>
      <c r="BB50" s="126"/>
      <c r="BC50" s="126"/>
      <c r="BD50" s="126"/>
      <c r="BE50" s="127">
        <f t="shared" si="154"/>
        <v>0</v>
      </c>
      <c r="BF50" s="123"/>
      <c r="BG50" s="128" t="s">
        <v>8</v>
      </c>
      <c r="BH50" s="127">
        <f t="shared" ref="BH50:BM50" si="175">L50*28*2</f>
        <v>2464</v>
      </c>
      <c r="BI50" s="127">
        <f t="shared" si="175"/>
        <v>2464</v>
      </c>
      <c r="BJ50" s="127">
        <f t="shared" si="175"/>
        <v>2408</v>
      </c>
      <c r="BK50" s="127">
        <f t="shared" si="175"/>
        <v>336</v>
      </c>
      <c r="BL50" s="127">
        <f t="shared" si="175"/>
        <v>0</v>
      </c>
      <c r="BM50" s="127">
        <f t="shared" si="175"/>
        <v>0</v>
      </c>
      <c r="BN50" s="127">
        <f t="shared" si="156"/>
        <v>7672</v>
      </c>
      <c r="BO50" s="123"/>
      <c r="BP50" s="128" t="s">
        <v>8</v>
      </c>
      <c r="BQ50" s="127">
        <f t="shared" ref="BQ50:BV50" si="176">AY50*4</f>
        <v>0</v>
      </c>
      <c r="BR50" s="127">
        <f t="shared" si="176"/>
        <v>0</v>
      </c>
      <c r="BS50" s="127">
        <f t="shared" si="176"/>
        <v>0</v>
      </c>
      <c r="BT50" s="127">
        <f t="shared" si="176"/>
        <v>0</v>
      </c>
      <c r="BU50" s="127">
        <f t="shared" si="176"/>
        <v>0</v>
      </c>
      <c r="BV50" s="127">
        <f t="shared" si="176"/>
        <v>0</v>
      </c>
      <c r="BW50" s="127">
        <f t="shared" si="158"/>
        <v>0</v>
      </c>
      <c r="BX50" s="29"/>
      <c r="BY50" s="29"/>
      <c r="BZ50" s="29"/>
    </row>
    <row r="51" ht="15.75" customHeight="1">
      <c r="A51" s="50"/>
      <c r="B51" s="26" t="s">
        <v>31</v>
      </c>
      <c r="C51" s="27">
        <f t="shared" ref="C51:H51" si="177">C11+C21+C31+C41</f>
        <v>18888</v>
      </c>
      <c r="D51" s="27">
        <f t="shared" si="177"/>
        <v>28520</v>
      </c>
      <c r="E51" s="27">
        <f t="shared" si="177"/>
        <v>38701</v>
      </c>
      <c r="F51" s="27">
        <f t="shared" si="177"/>
        <v>7743</v>
      </c>
      <c r="G51" s="27">
        <f t="shared" si="177"/>
        <v>0</v>
      </c>
      <c r="H51" s="27">
        <f t="shared" si="177"/>
        <v>0</v>
      </c>
      <c r="I51" s="27">
        <f t="shared" si="145"/>
        <v>93852</v>
      </c>
      <c r="J51" s="43"/>
      <c r="K51" s="26" t="s">
        <v>31</v>
      </c>
      <c r="L51" s="27">
        <f t="shared" ref="L51:Q51" si="178">INT(C41/52)</f>
        <v>119</v>
      </c>
      <c r="M51" s="27">
        <f t="shared" si="178"/>
        <v>66</v>
      </c>
      <c r="N51" s="27">
        <f t="shared" si="178"/>
        <v>97</v>
      </c>
      <c r="O51" s="27">
        <f t="shared" si="178"/>
        <v>21</v>
      </c>
      <c r="P51" s="27">
        <f t="shared" si="178"/>
        <v>0</v>
      </c>
      <c r="Q51" s="27">
        <f t="shared" si="178"/>
        <v>0</v>
      </c>
      <c r="R51" s="27">
        <f t="shared" si="147"/>
        <v>303</v>
      </c>
      <c r="S51" s="43"/>
      <c r="T51" s="54" t="s">
        <v>31</v>
      </c>
      <c r="U51" s="52">
        <f>Q52-R51</f>
        <v>-302</v>
      </c>
      <c r="W51" s="26" t="s">
        <v>31</v>
      </c>
      <c r="X51" s="27"/>
      <c r="Y51" s="27"/>
      <c r="Z51" s="27"/>
      <c r="AA51" s="27"/>
      <c r="AB51" s="27"/>
      <c r="AC51" s="27"/>
      <c r="AD51" s="27">
        <f t="shared" si="148"/>
        <v>0</v>
      </c>
      <c r="AF51" s="26" t="s">
        <v>31</v>
      </c>
      <c r="AG51" s="27">
        <f t="shared" ref="AG51:AL51" si="179">L51*28</f>
        <v>3332</v>
      </c>
      <c r="AH51" s="27">
        <f t="shared" si="179"/>
        <v>1848</v>
      </c>
      <c r="AI51" s="27">
        <f t="shared" si="179"/>
        <v>2716</v>
      </c>
      <c r="AJ51" s="27">
        <f t="shared" si="179"/>
        <v>588</v>
      </c>
      <c r="AK51" s="27">
        <f t="shared" si="179"/>
        <v>0</v>
      </c>
      <c r="AL51" s="27">
        <f t="shared" si="179"/>
        <v>0</v>
      </c>
      <c r="AM51" s="27">
        <f t="shared" si="150"/>
        <v>8484</v>
      </c>
      <c r="AO51" s="26" t="s">
        <v>31</v>
      </c>
      <c r="AP51" s="27">
        <f t="shared" ref="AP51:AU51" si="180">X51*4</f>
        <v>0</v>
      </c>
      <c r="AQ51" s="27">
        <f t="shared" si="180"/>
        <v>0</v>
      </c>
      <c r="AR51" s="27">
        <f t="shared" si="180"/>
        <v>0</v>
      </c>
      <c r="AS51" s="27">
        <f t="shared" si="180"/>
        <v>0</v>
      </c>
      <c r="AT51" s="27">
        <f t="shared" si="180"/>
        <v>0</v>
      </c>
      <c r="AU51" s="27">
        <f t="shared" si="180"/>
        <v>0</v>
      </c>
      <c r="AV51" s="27">
        <f t="shared" si="152"/>
        <v>0</v>
      </c>
      <c r="AW51" s="43"/>
      <c r="AX51" s="54" t="s">
        <v>31</v>
      </c>
      <c r="AY51" s="126"/>
      <c r="AZ51" s="126"/>
      <c r="BA51" s="126"/>
      <c r="BB51" s="126"/>
      <c r="BC51" s="126"/>
      <c r="BD51" s="126"/>
      <c r="BE51" s="127">
        <f t="shared" si="154"/>
        <v>0</v>
      </c>
      <c r="BF51" s="123"/>
      <c r="BG51" s="128" t="s">
        <v>31</v>
      </c>
      <c r="BH51" s="127">
        <f t="shared" ref="BH51:BM51" si="181">L51*28*2</f>
        <v>6664</v>
      </c>
      <c r="BI51" s="127">
        <f t="shared" si="181"/>
        <v>3696</v>
      </c>
      <c r="BJ51" s="127">
        <f t="shared" si="181"/>
        <v>5432</v>
      </c>
      <c r="BK51" s="127">
        <f t="shared" si="181"/>
        <v>1176</v>
      </c>
      <c r="BL51" s="127">
        <f t="shared" si="181"/>
        <v>0</v>
      </c>
      <c r="BM51" s="127">
        <f t="shared" si="181"/>
        <v>0</v>
      </c>
      <c r="BN51" s="127">
        <f t="shared" si="156"/>
        <v>16968</v>
      </c>
      <c r="BO51" s="123"/>
      <c r="BP51" s="128" t="s">
        <v>31</v>
      </c>
      <c r="BQ51" s="127">
        <f t="shared" ref="BQ51:BV51" si="182">AY51*4</f>
        <v>0</v>
      </c>
      <c r="BR51" s="127">
        <f t="shared" si="182"/>
        <v>0</v>
      </c>
      <c r="BS51" s="127">
        <f t="shared" si="182"/>
        <v>0</v>
      </c>
      <c r="BT51" s="127">
        <f t="shared" si="182"/>
        <v>0</v>
      </c>
      <c r="BU51" s="127">
        <f t="shared" si="182"/>
        <v>0</v>
      </c>
      <c r="BV51" s="127">
        <f t="shared" si="182"/>
        <v>0</v>
      </c>
      <c r="BW51" s="127">
        <f t="shared" si="158"/>
        <v>0</v>
      </c>
      <c r="BX51" s="29"/>
      <c r="BY51" s="29"/>
      <c r="BZ51" s="29"/>
    </row>
    <row r="52" ht="15.75" customHeight="1">
      <c r="A52" s="50"/>
      <c r="B52" s="32" t="s">
        <v>48</v>
      </c>
      <c r="C52" s="33">
        <f t="shared" ref="C52:I52" si="183">SUM(C46:C51)</f>
        <v>81699</v>
      </c>
      <c r="D52" s="33">
        <f t="shared" si="183"/>
        <v>77987</v>
      </c>
      <c r="E52" s="33">
        <f t="shared" si="183"/>
        <v>90487</v>
      </c>
      <c r="F52" s="33">
        <f t="shared" si="183"/>
        <v>22248</v>
      </c>
      <c r="G52" s="33">
        <f t="shared" si="183"/>
        <v>115285</v>
      </c>
      <c r="H52" s="33">
        <f t="shared" si="183"/>
        <v>21316</v>
      </c>
      <c r="I52" s="33">
        <f t="shared" si="183"/>
        <v>409022</v>
      </c>
      <c r="J52" s="43"/>
      <c r="K52" s="32" t="s">
        <v>48</v>
      </c>
      <c r="L52" s="33">
        <f t="shared" ref="L52:R52" si="184">SUM(L46:L51)</f>
        <v>199</v>
      </c>
      <c r="M52" s="33">
        <f t="shared" si="184"/>
        <v>123</v>
      </c>
      <c r="N52" s="33">
        <f t="shared" si="184"/>
        <v>146</v>
      </c>
      <c r="O52" s="33">
        <f t="shared" si="184"/>
        <v>27</v>
      </c>
      <c r="P52" s="33">
        <f t="shared" si="184"/>
        <v>17</v>
      </c>
      <c r="Q52" s="33">
        <f t="shared" si="184"/>
        <v>1</v>
      </c>
      <c r="R52" s="33">
        <f t="shared" si="184"/>
        <v>513</v>
      </c>
      <c r="S52" s="43"/>
      <c r="T52" s="32" t="s">
        <v>49</v>
      </c>
      <c r="U52" s="33">
        <f>SUM(U46:U51)</f>
        <v>0</v>
      </c>
      <c r="W52" s="32" t="s">
        <v>48</v>
      </c>
      <c r="X52" s="33">
        <f t="shared" ref="X52:AD52" si="185">SUM(X46:X51)</f>
        <v>0</v>
      </c>
      <c r="Y52" s="33">
        <f t="shared" si="185"/>
        <v>0</v>
      </c>
      <c r="Z52" s="33">
        <f t="shared" si="185"/>
        <v>0</v>
      </c>
      <c r="AA52" s="33">
        <f t="shared" si="185"/>
        <v>1</v>
      </c>
      <c r="AB52" s="33">
        <f t="shared" si="185"/>
        <v>120</v>
      </c>
      <c r="AC52" s="33">
        <f t="shared" si="185"/>
        <v>302</v>
      </c>
      <c r="AD52" s="33">
        <f t="shared" si="185"/>
        <v>423</v>
      </c>
      <c r="AF52" s="32" t="s">
        <v>48</v>
      </c>
      <c r="AG52" s="33">
        <f t="shared" ref="AG52:AL52" si="186">SUM(AG46:AG51)</f>
        <v>5572</v>
      </c>
      <c r="AH52" s="33">
        <f t="shared" si="186"/>
        <v>3444</v>
      </c>
      <c r="AI52" s="33">
        <f t="shared" si="186"/>
        <v>4088</v>
      </c>
      <c r="AJ52" s="33">
        <f t="shared" si="186"/>
        <v>756</v>
      </c>
      <c r="AK52" s="33">
        <f t="shared" si="186"/>
        <v>476</v>
      </c>
      <c r="AL52" s="33">
        <f t="shared" si="186"/>
        <v>28</v>
      </c>
      <c r="AM52" s="33">
        <v>1933.0</v>
      </c>
      <c r="AO52" s="32" t="s">
        <v>48</v>
      </c>
      <c r="AP52" s="33">
        <f t="shared" ref="AP52:AV52" si="187">SUM(AP46:AP51)</f>
        <v>0</v>
      </c>
      <c r="AQ52" s="33">
        <f t="shared" si="187"/>
        <v>0</v>
      </c>
      <c r="AR52" s="33">
        <f t="shared" si="187"/>
        <v>0</v>
      </c>
      <c r="AS52" s="33">
        <f t="shared" si="187"/>
        <v>4</v>
      </c>
      <c r="AT52" s="33">
        <f t="shared" si="187"/>
        <v>480</v>
      </c>
      <c r="AU52" s="33">
        <f t="shared" si="187"/>
        <v>1208</v>
      </c>
      <c r="AV52" s="33">
        <f t="shared" si="187"/>
        <v>1692</v>
      </c>
      <c r="AW52" s="43"/>
      <c r="AX52" s="129" t="s">
        <v>48</v>
      </c>
      <c r="AY52" s="130">
        <f t="shared" ref="AY52:BE52" si="188">SUM(AY46:AY51)</f>
        <v>0</v>
      </c>
      <c r="AZ52" s="130">
        <f t="shared" si="188"/>
        <v>0</v>
      </c>
      <c r="BA52" s="130">
        <f t="shared" si="188"/>
        <v>0</v>
      </c>
      <c r="BB52" s="130">
        <f t="shared" si="188"/>
        <v>2</v>
      </c>
      <c r="BC52" s="130">
        <f t="shared" si="188"/>
        <v>240</v>
      </c>
      <c r="BD52" s="130">
        <f t="shared" si="188"/>
        <v>600</v>
      </c>
      <c r="BE52" s="130">
        <f t="shared" si="188"/>
        <v>842</v>
      </c>
      <c r="BF52" s="123"/>
      <c r="BG52" s="131" t="s">
        <v>48</v>
      </c>
      <c r="BH52" s="130">
        <f t="shared" ref="BH52:BM52" si="189">SUM(BH46:BH51)</f>
        <v>11144</v>
      </c>
      <c r="BI52" s="130">
        <f t="shared" si="189"/>
        <v>6888</v>
      </c>
      <c r="BJ52" s="130">
        <f t="shared" si="189"/>
        <v>8176</v>
      </c>
      <c r="BK52" s="130">
        <f t="shared" si="189"/>
        <v>1512</v>
      </c>
      <c r="BL52" s="130">
        <f t="shared" si="189"/>
        <v>952</v>
      </c>
      <c r="BM52" s="130">
        <f t="shared" si="189"/>
        <v>56</v>
      </c>
      <c r="BN52" s="130">
        <v>1933.0</v>
      </c>
      <c r="BO52" s="123"/>
      <c r="BP52" s="131" t="s">
        <v>48</v>
      </c>
      <c r="BQ52" s="130">
        <f t="shared" ref="BQ52:BW52" si="190">SUM(BQ46:BQ51)</f>
        <v>0</v>
      </c>
      <c r="BR52" s="130">
        <f t="shared" si="190"/>
        <v>0</v>
      </c>
      <c r="BS52" s="130">
        <f t="shared" si="190"/>
        <v>0</v>
      </c>
      <c r="BT52" s="130">
        <f t="shared" si="190"/>
        <v>8</v>
      </c>
      <c r="BU52" s="130">
        <f t="shared" si="190"/>
        <v>960</v>
      </c>
      <c r="BV52" s="130">
        <f t="shared" si="190"/>
        <v>2400</v>
      </c>
      <c r="BW52" s="130">
        <f t="shared" si="190"/>
        <v>3368</v>
      </c>
      <c r="BX52" s="29"/>
      <c r="BY52" s="29"/>
      <c r="BZ52" s="29"/>
    </row>
    <row r="53" ht="15.75" customHeight="1">
      <c r="J53" s="43"/>
      <c r="S53" s="43"/>
      <c r="AW53" s="43"/>
    </row>
    <row r="54" ht="15.75" customHeight="1">
      <c r="A54" s="48"/>
      <c r="B54" s="19" t="s">
        <v>58</v>
      </c>
      <c r="C54" s="20"/>
      <c r="D54" s="20"/>
      <c r="E54" s="20"/>
      <c r="F54" s="20"/>
      <c r="G54" s="20"/>
      <c r="H54" s="20"/>
      <c r="I54" s="21"/>
      <c r="J54" s="43"/>
      <c r="S54" s="43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W54" s="43"/>
      <c r="AX54" s="113"/>
      <c r="AY54" s="113"/>
      <c r="AZ54" s="113"/>
      <c r="BA54" s="113"/>
      <c r="BB54" s="113"/>
      <c r="BC54" s="113"/>
      <c r="BD54" s="113"/>
      <c r="BE54" s="113"/>
      <c r="BF54" s="113"/>
    </row>
    <row r="55" ht="15.75" customHeight="1">
      <c r="A55" s="48"/>
      <c r="B55" s="4" t="s">
        <v>42</v>
      </c>
      <c r="C55" s="4" t="s">
        <v>25</v>
      </c>
      <c r="D55" s="4" t="s">
        <v>28</v>
      </c>
      <c r="E55" s="4" t="s">
        <v>9</v>
      </c>
      <c r="F55" s="49" t="s">
        <v>33</v>
      </c>
      <c r="G55" s="4" t="s">
        <v>8</v>
      </c>
      <c r="H55" s="4" t="s">
        <v>31</v>
      </c>
      <c r="I55" s="4" t="s">
        <v>43</v>
      </c>
      <c r="J55" s="43"/>
      <c r="S55" s="43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W55" s="43"/>
      <c r="AX55" s="132"/>
      <c r="AY55" s="46"/>
      <c r="AZ55" s="46"/>
      <c r="BA55" s="46"/>
      <c r="BB55" s="46"/>
      <c r="BC55" s="46"/>
      <c r="BD55" s="46"/>
      <c r="BE55" s="47"/>
      <c r="BF55" s="113"/>
    </row>
    <row r="56" ht="15.75" customHeight="1">
      <c r="A56" s="50"/>
      <c r="B56" s="26" t="s">
        <v>25</v>
      </c>
      <c r="C56" s="27">
        <f t="shared" ref="C56:H56" si="191">C46+C26+C36</f>
        <v>0</v>
      </c>
      <c r="D56" s="27">
        <f t="shared" si="191"/>
        <v>13903</v>
      </c>
      <c r="E56" s="27">
        <f t="shared" si="191"/>
        <v>16790</v>
      </c>
      <c r="F56" s="27">
        <f t="shared" si="191"/>
        <v>6665</v>
      </c>
      <c r="G56" s="27">
        <f t="shared" si="191"/>
        <v>112595</v>
      </c>
      <c r="H56" s="27">
        <f t="shared" si="191"/>
        <v>11569</v>
      </c>
      <c r="I56" s="27">
        <f t="shared" ref="I56:I61" si="193">SUM(C56:H56)</f>
        <v>161522</v>
      </c>
      <c r="J56" s="43"/>
      <c r="S56" s="43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W56" s="43"/>
      <c r="AX56" s="133"/>
      <c r="AY56" s="133"/>
      <c r="AZ56" s="133"/>
      <c r="BA56" s="133"/>
      <c r="BB56" s="133"/>
      <c r="BC56" s="133"/>
      <c r="BD56" s="133"/>
      <c r="BE56" s="133"/>
      <c r="BF56" s="113"/>
    </row>
    <row r="57" ht="15.75" customHeight="1">
      <c r="A57" s="50"/>
      <c r="B57" s="26" t="s">
        <v>28</v>
      </c>
      <c r="C57" s="27">
        <f t="shared" ref="C57:H57" si="192">C47+C27+C37</f>
        <v>23842</v>
      </c>
      <c r="D57" s="27">
        <f t="shared" si="192"/>
        <v>0</v>
      </c>
      <c r="E57" s="27">
        <f t="shared" si="192"/>
        <v>5278</v>
      </c>
      <c r="F57" s="27">
        <f t="shared" si="192"/>
        <v>697</v>
      </c>
      <c r="G57" s="27">
        <f t="shared" si="192"/>
        <v>25277</v>
      </c>
      <c r="H57" s="27">
        <f t="shared" si="192"/>
        <v>10587</v>
      </c>
      <c r="I57" s="27">
        <f t="shared" si="193"/>
        <v>65681</v>
      </c>
      <c r="J57" s="43"/>
      <c r="S57" s="43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W57" s="43"/>
      <c r="AX57" s="134"/>
      <c r="AY57" s="135"/>
      <c r="AZ57" s="135"/>
      <c r="BA57" s="135"/>
      <c r="BB57" s="135"/>
      <c r="BC57" s="135"/>
      <c r="BD57" s="135"/>
      <c r="BE57" s="135"/>
      <c r="BF57" s="113"/>
    </row>
    <row r="58" ht="15.75" customHeight="1">
      <c r="A58" s="50"/>
      <c r="B58" s="26" t="s">
        <v>9</v>
      </c>
      <c r="C58" s="27">
        <f t="shared" ref="C58:H58" si="194">C48+C28+C38</f>
        <v>40255</v>
      </c>
      <c r="D58" s="27">
        <f t="shared" si="194"/>
        <v>12390</v>
      </c>
      <c r="E58" s="27">
        <f t="shared" si="194"/>
        <v>0</v>
      </c>
      <c r="F58" s="27">
        <f t="shared" si="194"/>
        <v>4273</v>
      </c>
      <c r="G58" s="27">
        <f t="shared" si="194"/>
        <v>28128</v>
      </c>
      <c r="H58" s="27">
        <f t="shared" si="194"/>
        <v>9423</v>
      </c>
      <c r="I58" s="27">
        <f t="shared" si="193"/>
        <v>94469</v>
      </c>
      <c r="J58" s="43"/>
      <c r="S58" s="43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W58" s="43"/>
      <c r="AX58" s="134"/>
      <c r="AY58" s="135"/>
      <c r="AZ58" s="135"/>
      <c r="BA58" s="135"/>
      <c r="BB58" s="135"/>
      <c r="BC58" s="135"/>
      <c r="BD58" s="135"/>
      <c r="BE58" s="135"/>
      <c r="BF58" s="113"/>
    </row>
    <row r="59" ht="15.75" customHeight="1">
      <c r="A59" s="50"/>
      <c r="B59" s="26" t="s">
        <v>33</v>
      </c>
      <c r="C59" s="27">
        <f t="shared" ref="C59:H59" si="195">C49+C29+C39</f>
        <v>7339</v>
      </c>
      <c r="D59" s="27">
        <f t="shared" si="195"/>
        <v>5495</v>
      </c>
      <c r="E59" s="27">
        <f t="shared" si="195"/>
        <v>4078</v>
      </c>
      <c r="F59" s="27">
        <f t="shared" si="195"/>
        <v>0</v>
      </c>
      <c r="G59" s="27">
        <f t="shared" si="195"/>
        <v>33493</v>
      </c>
      <c r="H59" s="27">
        <f t="shared" si="195"/>
        <v>5401</v>
      </c>
      <c r="I59" s="27">
        <f t="shared" si="193"/>
        <v>55806</v>
      </c>
      <c r="J59" s="43"/>
      <c r="S59" s="43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W59" s="43"/>
      <c r="AX59" s="134"/>
      <c r="AY59" s="135"/>
      <c r="AZ59" s="135"/>
      <c r="BA59" s="135"/>
      <c r="BB59" s="135"/>
      <c r="BC59" s="135"/>
      <c r="BD59" s="135"/>
      <c r="BE59" s="135"/>
      <c r="BF59" s="113"/>
    </row>
    <row r="60" ht="15.75" customHeight="1">
      <c r="A60" s="50"/>
      <c r="B60" s="26" t="s">
        <v>8</v>
      </c>
      <c r="C60" s="27">
        <f t="shared" ref="C60:H60" si="196">C50+C30+C40</f>
        <v>44756</v>
      </c>
      <c r="D60" s="27">
        <f t="shared" si="196"/>
        <v>56746</v>
      </c>
      <c r="E60" s="27">
        <f t="shared" si="196"/>
        <v>69572</v>
      </c>
      <c r="F60" s="27">
        <f t="shared" si="196"/>
        <v>11507</v>
      </c>
      <c r="G60" s="27">
        <f t="shared" si="196"/>
        <v>0</v>
      </c>
      <c r="H60" s="27">
        <f t="shared" si="196"/>
        <v>0</v>
      </c>
      <c r="I60" s="27">
        <f t="shared" si="193"/>
        <v>182581</v>
      </c>
      <c r="J60" s="43"/>
      <c r="S60" s="43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W60" s="43"/>
      <c r="AX60" s="134"/>
      <c r="AY60" s="135"/>
      <c r="AZ60" s="135"/>
      <c r="BA60" s="135"/>
      <c r="BB60" s="135"/>
      <c r="BC60" s="135"/>
      <c r="BD60" s="135"/>
      <c r="BE60" s="135"/>
      <c r="BF60" s="113"/>
    </row>
    <row r="61" ht="15.75" customHeight="1">
      <c r="A61" s="50"/>
      <c r="B61" s="26" t="s">
        <v>31</v>
      </c>
      <c r="C61" s="27">
        <f t="shared" ref="C61:H61" si="197">C51+C31+C41</f>
        <v>36324</v>
      </c>
      <c r="D61" s="27">
        <f t="shared" si="197"/>
        <v>45197</v>
      </c>
      <c r="E61" s="27">
        <f t="shared" si="197"/>
        <v>63792</v>
      </c>
      <c r="F61" s="27">
        <f t="shared" si="197"/>
        <v>11283</v>
      </c>
      <c r="G61" s="27">
        <f t="shared" si="197"/>
        <v>0</v>
      </c>
      <c r="H61" s="27">
        <f t="shared" si="197"/>
        <v>0</v>
      </c>
      <c r="I61" s="27">
        <f t="shared" si="193"/>
        <v>156596</v>
      </c>
      <c r="J61" s="43"/>
      <c r="S61" s="43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W61" s="43"/>
      <c r="AX61" s="134"/>
      <c r="AY61" s="135"/>
      <c r="AZ61" s="135"/>
      <c r="BA61" s="135"/>
      <c r="BB61" s="135"/>
      <c r="BC61" s="135"/>
      <c r="BD61" s="135"/>
      <c r="BE61" s="135"/>
      <c r="BF61" s="113"/>
    </row>
    <row r="62" ht="15.75" customHeight="1">
      <c r="A62" s="50"/>
      <c r="B62" s="32" t="s">
        <v>48</v>
      </c>
      <c r="C62" s="33">
        <f t="shared" ref="C62:I62" si="198">SUM(C56:C61)</f>
        <v>152516</v>
      </c>
      <c r="D62" s="33">
        <f t="shared" si="198"/>
        <v>133731</v>
      </c>
      <c r="E62" s="33">
        <f t="shared" si="198"/>
        <v>159510</v>
      </c>
      <c r="F62" s="33">
        <f t="shared" si="198"/>
        <v>34425</v>
      </c>
      <c r="G62" s="33">
        <f t="shared" si="198"/>
        <v>199493</v>
      </c>
      <c r="H62" s="33">
        <f t="shared" si="198"/>
        <v>36980</v>
      </c>
      <c r="I62" s="33">
        <f t="shared" si="198"/>
        <v>716655</v>
      </c>
      <c r="J62" s="43"/>
      <c r="S62" s="43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W62" s="43"/>
      <c r="AX62" s="134"/>
      <c r="AY62" s="135"/>
      <c r="AZ62" s="135"/>
      <c r="BA62" s="135"/>
      <c r="BB62" s="135"/>
      <c r="BC62" s="135"/>
      <c r="BD62" s="135"/>
      <c r="BE62" s="135"/>
      <c r="BF62" s="113"/>
    </row>
    <row r="63" ht="15.75" customHeight="1">
      <c r="J63" s="43"/>
      <c r="S63" s="43"/>
      <c r="AH63" s="29" t="s">
        <v>256</v>
      </c>
      <c r="AI63" s="29" t="s">
        <v>257</v>
      </c>
      <c r="AK63" s="29" t="s">
        <v>258</v>
      </c>
      <c r="AN63" s="29" t="s">
        <v>256</v>
      </c>
      <c r="AO63" s="29" t="s">
        <v>259</v>
      </c>
      <c r="AQ63" s="29" t="s">
        <v>258</v>
      </c>
      <c r="AW63" s="43"/>
      <c r="AX63" s="134"/>
      <c r="AY63" s="135"/>
      <c r="AZ63" s="135"/>
      <c r="BA63" s="135"/>
      <c r="BB63" s="135"/>
      <c r="BC63" s="135"/>
      <c r="BD63" s="135"/>
      <c r="BE63" s="135"/>
      <c r="BF63" s="113"/>
    </row>
    <row r="64" ht="15.75" customHeight="1">
      <c r="A64" s="57"/>
      <c r="B64" s="42" t="s">
        <v>70</v>
      </c>
      <c r="C64" s="20"/>
      <c r="D64" s="20"/>
      <c r="E64" s="20"/>
      <c r="F64" s="20"/>
      <c r="G64" s="20"/>
      <c r="H64" s="58"/>
      <c r="J64" s="43"/>
      <c r="S64" s="43"/>
      <c r="T64" s="57"/>
      <c r="U64" s="57"/>
      <c r="V64" s="57"/>
      <c r="W64" s="57"/>
      <c r="X64" s="57"/>
      <c r="Y64" s="57"/>
      <c r="Z64" s="57"/>
      <c r="AA64" s="64" t="s">
        <v>82</v>
      </c>
      <c r="AB64" s="20"/>
      <c r="AC64" s="20"/>
      <c r="AD64" s="20"/>
      <c r="AE64" s="20"/>
      <c r="AF64" s="21"/>
      <c r="AH64" s="66" t="s">
        <v>83</v>
      </c>
      <c r="AI64" s="29" t="str">
        <f>SUM(AB82:AB86)+AE91+AD86+AE90+AF85+AG84+AF86+AG85+AG86</f>
        <v>#VALUE!</v>
      </c>
      <c r="AK64" s="29">
        <v>39200.0</v>
      </c>
      <c r="AN64" s="66" t="s">
        <v>83</v>
      </c>
      <c r="AQ64" s="29">
        <v>2800.0</v>
      </c>
      <c r="AW64" s="43"/>
      <c r="AX64" s="113"/>
      <c r="AY64" s="113"/>
      <c r="AZ64" s="113"/>
      <c r="BA64" s="113"/>
      <c r="BB64" s="113"/>
      <c r="BC64" s="113"/>
      <c r="BD64" s="113"/>
      <c r="BE64" s="113"/>
      <c r="BF64" s="113"/>
    </row>
    <row r="65" ht="15.75" customHeight="1">
      <c r="A65" s="48"/>
      <c r="B65" s="4" t="s">
        <v>42</v>
      </c>
      <c r="C65" s="49" t="s">
        <v>71</v>
      </c>
      <c r="D65" s="49" t="s">
        <v>72</v>
      </c>
      <c r="E65" s="49" t="s">
        <v>73</v>
      </c>
      <c r="F65" s="49" t="s">
        <v>74</v>
      </c>
      <c r="G65" s="49" t="s">
        <v>75</v>
      </c>
      <c r="H65" s="49" t="s">
        <v>76</v>
      </c>
      <c r="J65" s="43"/>
      <c r="S65" s="43"/>
      <c r="T65" s="48"/>
      <c r="U65" s="48"/>
      <c r="V65" s="48"/>
      <c r="W65" s="48"/>
      <c r="X65" s="48"/>
      <c r="Y65" s="48"/>
      <c r="Z65" s="48"/>
      <c r="AA65" s="66" t="s">
        <v>83</v>
      </c>
      <c r="AB65" s="66" t="s">
        <v>84</v>
      </c>
      <c r="AC65" s="66" t="s">
        <v>85</v>
      </c>
      <c r="AD65" s="66" t="s">
        <v>86</v>
      </c>
      <c r="AE65" s="66" t="s">
        <v>87</v>
      </c>
      <c r="AF65" s="66" t="s">
        <v>88</v>
      </c>
      <c r="AH65" s="66" t="s">
        <v>84</v>
      </c>
      <c r="AK65" s="29">
        <v>39200.0</v>
      </c>
      <c r="AN65" s="66" t="s">
        <v>84</v>
      </c>
      <c r="AQ65" s="29">
        <v>2800.0</v>
      </c>
      <c r="AW65" s="43"/>
    </row>
    <row r="66" ht="15.75" customHeight="1">
      <c r="A66" s="50"/>
      <c r="B66" s="26" t="s">
        <v>71</v>
      </c>
      <c r="C66" s="56"/>
      <c r="D66" s="56" t="str">
        <f t="array" ref="D66">_xludf.XLOOKUP($B66,'Distancias Cidades'!$A$3:$A$28,_xludf.XLOOKUP(D$65,'Distancias Cidades'!$B$2:$AB$2,'Distancias Cidades'!$B$3:$AB$28))</f>
        <v>#NAME?</v>
      </c>
      <c r="E66" s="56" t="str">
        <f t="array" ref="E66">_xludf.XLOOKUP($B66,'Distancias Cidades'!$A$3:$A$28,_xludf.XLOOKUP(E$65,'Distancias Cidades'!$B$2:$AB$2,'Distancias Cidades'!$B$3:$AB$28))</f>
        <v>#NAME?</v>
      </c>
      <c r="F66" s="56" t="str">
        <f t="array" ref="F66">_xludf.XLOOKUP($B66,'Distancias Cidades'!$A$3:$A$28,_xludf.XLOOKUP(F$65,'Distancias Cidades'!$B$2:$AB$2,'Distancias Cidades'!$B$3:$AB$28))</f>
        <v>#NAME?</v>
      </c>
      <c r="G66" s="56" t="str">
        <f t="array" ref="G66">_xludf.XLOOKUP($B66,'Distancias Cidades'!$A$3:$A$28,_xludf.XLOOKUP(G$65,'Distancias Cidades'!$B$2:$AB$2,'Distancias Cidades'!$B$3:$AB$28))</f>
        <v>#NAME?</v>
      </c>
      <c r="H66" s="56" t="str">
        <f t="array" ref="H66">_xludf.XLOOKUP($B66,'Distancias Cidades'!$A$3:$A$28,_xludf.XLOOKUP(H$65,'Distancias Cidades'!$B$2:$AB$2,'Distancias Cidades'!$B$3:$AB$28))</f>
        <v>#NAME?</v>
      </c>
      <c r="J66" s="43"/>
      <c r="S66" s="43"/>
      <c r="T66" s="50"/>
      <c r="U66" s="50"/>
      <c r="V66" s="50"/>
      <c r="W66" s="50"/>
      <c r="X66" s="50"/>
      <c r="Y66" s="50"/>
      <c r="Z66" s="50"/>
      <c r="AA66" s="67" t="s">
        <v>89</v>
      </c>
      <c r="AB66" s="67" t="s">
        <v>90</v>
      </c>
      <c r="AC66" s="67" t="s">
        <v>91</v>
      </c>
      <c r="AD66" s="67" t="s">
        <v>92</v>
      </c>
      <c r="AE66" s="67" t="s">
        <v>93</v>
      </c>
      <c r="AF66" s="67" t="s">
        <v>94</v>
      </c>
      <c r="AH66" s="66" t="s">
        <v>85</v>
      </c>
      <c r="AK66" s="29">
        <v>39200.0</v>
      </c>
      <c r="AN66" s="66" t="s">
        <v>85</v>
      </c>
      <c r="AQ66" s="29">
        <v>2800.0</v>
      </c>
      <c r="AW66" s="43"/>
    </row>
    <row r="67" ht="15.75" customHeight="1">
      <c r="A67" s="50"/>
      <c r="B67" s="26" t="s">
        <v>72</v>
      </c>
      <c r="C67" s="56" t="str">
        <f t="array" ref="C67">(_xludf.XLOOKUP(B67,'Distancias Cidades'!$A$3:$A$28,_xludf.XLOOKUP("BELÉM",'Distancias Cidades'!$B$2:$AB$2,'Distancias Cidades'!$B$3:$AB$28)))+10</f>
        <v>#NAME?</v>
      </c>
      <c r="D67" s="56" t="str">
        <f t="array" ref="D67">_xludf.XLOOKUP($B67,'Distancias Cidades'!$A$3:$A$28,_xludf.XLOOKUP(D$65,'Distancias Cidades'!$B$2:$AB$2,'Distancias Cidades'!$B$3:$AB$28))</f>
        <v>#NAME?</v>
      </c>
      <c r="E67" s="56" t="str">
        <f t="array" ref="E67">_xludf.XLOOKUP($B67,'Distancias Cidades'!$A$3:$A$28,_xludf.XLOOKUP(E$65,'Distancias Cidades'!$B$2:$AB$2,'Distancias Cidades'!$B$3:$AB$28))</f>
        <v>#NAME?</v>
      </c>
      <c r="F67" s="56" t="str">
        <f t="array" ref="F67">_xludf.XLOOKUP($B67,'Distancias Cidades'!$A$3:$A$28,_xludf.XLOOKUP(F$65,'Distancias Cidades'!$B$2:$AB$2,'Distancias Cidades'!$B$3:$AB$28))</f>
        <v>#NAME?</v>
      </c>
      <c r="G67" s="56" t="str">
        <f t="array" ref="G67">_xludf.XLOOKUP($B67,'Distancias Cidades'!$A$3:$A$28,_xludf.XLOOKUP(G$65,'Distancias Cidades'!$B$2:$AB$2,'Distancias Cidades'!$B$3:$AB$28))</f>
        <v>#NAME?</v>
      </c>
      <c r="H67" s="56" t="str">
        <f t="array" ref="H67">_xludf.XLOOKUP($B67,'Distancias Cidades'!$A$3:$A$28,_xludf.XLOOKUP(H$65,'Distancias Cidades'!$B$2:$AB$2,'Distancias Cidades'!$B$3:$AB$28))</f>
        <v>#NAME?</v>
      </c>
      <c r="J67" s="43"/>
      <c r="K67" s="19" t="s">
        <v>56</v>
      </c>
      <c r="L67" s="20"/>
      <c r="M67" s="20"/>
      <c r="N67" s="20"/>
      <c r="O67" s="20"/>
      <c r="P67" s="20"/>
      <c r="Q67" s="20"/>
      <c r="R67" s="21"/>
      <c r="S67" s="43"/>
      <c r="T67" s="50"/>
      <c r="U67" s="50"/>
      <c r="V67" s="50"/>
      <c r="W67" s="50"/>
      <c r="X67" s="50"/>
      <c r="Y67" s="50"/>
      <c r="Z67" s="50"/>
      <c r="AA67" s="69" t="s">
        <v>95</v>
      </c>
      <c r="AB67" s="69" t="s">
        <v>96</v>
      </c>
      <c r="AC67" s="69" t="s">
        <v>97</v>
      </c>
      <c r="AD67" s="69" t="s">
        <v>98</v>
      </c>
      <c r="AE67" s="69" t="s">
        <v>99</v>
      </c>
      <c r="AF67" s="69" t="s">
        <v>100</v>
      </c>
      <c r="AH67" s="66" t="s">
        <v>86</v>
      </c>
      <c r="AK67" s="29">
        <v>39200.0</v>
      </c>
      <c r="AN67" s="66" t="s">
        <v>86</v>
      </c>
      <c r="AQ67" s="29">
        <v>2800.0</v>
      </c>
      <c r="AW67" s="43"/>
    </row>
    <row r="68" ht="15.75" customHeight="1">
      <c r="A68" s="50"/>
      <c r="B68" s="26" t="s">
        <v>73</v>
      </c>
      <c r="C68" s="56" t="str">
        <f t="array" ref="C68">(_xludf.XLOOKUP(B68,'Distancias Cidades'!$A$3:$A$28,_xludf.XLOOKUP("BELÉM",'Distancias Cidades'!$B$2:$AB$2,'Distancias Cidades'!$B$3:$AB$28)))+10</f>
        <v>#NAME?</v>
      </c>
      <c r="D68" s="56" t="str">
        <f t="array" ref="D68">_xludf.XLOOKUP($B68,'Distancias Cidades'!$A$3:$A$28,_xludf.XLOOKUP(D$65,'Distancias Cidades'!$B$2:$AB$2,'Distancias Cidades'!$B$3:$AB$28))</f>
        <v>#NAME?</v>
      </c>
      <c r="E68" s="56" t="str">
        <f t="array" ref="E68">_xludf.XLOOKUP($B68,'Distancias Cidades'!$A$3:$A$28,_xludf.XLOOKUP(E$65,'Distancias Cidades'!$B$2:$AB$2,'Distancias Cidades'!$B$3:$AB$28))</f>
        <v>#NAME?</v>
      </c>
      <c r="F68" s="56" t="str">
        <f t="array" ref="F68">_xludf.XLOOKUP($B68,'Distancias Cidades'!$A$3:$A$28,_xludf.XLOOKUP(F$65,'Distancias Cidades'!$B$2:$AB$2,'Distancias Cidades'!$B$3:$AB$28))</f>
        <v>#NAME?</v>
      </c>
      <c r="G68" s="56" t="str">
        <f t="array" ref="G68">_xludf.XLOOKUP($B68,'Distancias Cidades'!$A$3:$A$28,_xludf.XLOOKUP(G$65,'Distancias Cidades'!$B$2:$AB$2,'Distancias Cidades'!$B$3:$AB$28))</f>
        <v>#NAME?</v>
      </c>
      <c r="H68" s="56" t="str">
        <f t="array" ref="H68">_xludf.XLOOKUP($B68,'Distancias Cidades'!$A$3:$A$28,_xludf.XLOOKUP(H$65,'Distancias Cidades'!$B$2:$AB$2,'Distancias Cidades'!$B$3:$AB$28))</f>
        <v>#NAME?</v>
      </c>
      <c r="J68" s="43"/>
      <c r="K68" s="4" t="s">
        <v>42</v>
      </c>
      <c r="L68" s="4" t="s">
        <v>25</v>
      </c>
      <c r="M68" s="4" t="s">
        <v>28</v>
      </c>
      <c r="N68" s="4" t="s">
        <v>9</v>
      </c>
      <c r="O68" s="49" t="s">
        <v>33</v>
      </c>
      <c r="P68" s="4" t="s">
        <v>8</v>
      </c>
      <c r="Q68" s="4" t="s">
        <v>31</v>
      </c>
      <c r="R68" s="4" t="s">
        <v>43</v>
      </c>
      <c r="S68" s="43"/>
      <c r="T68" s="50"/>
      <c r="U68" s="50"/>
      <c r="V68" s="50"/>
      <c r="W68" s="50"/>
      <c r="X68" s="50"/>
      <c r="Y68" s="50"/>
      <c r="Z68" s="50"/>
      <c r="AA68" s="69" t="s">
        <v>101</v>
      </c>
      <c r="AB68" s="69" t="s">
        <v>102</v>
      </c>
      <c r="AC68" s="69" t="s">
        <v>103</v>
      </c>
      <c r="AD68" s="69" t="s">
        <v>104</v>
      </c>
      <c r="AE68" s="69" t="s">
        <v>105</v>
      </c>
      <c r="AF68" s="69" t="s">
        <v>106</v>
      </c>
      <c r="AH68" s="66" t="s">
        <v>87</v>
      </c>
      <c r="AK68" s="29">
        <v>39200.0</v>
      </c>
      <c r="AN68" s="66" t="s">
        <v>87</v>
      </c>
      <c r="AQ68" s="29">
        <v>2800.0</v>
      </c>
      <c r="AW68" s="43"/>
    </row>
    <row r="69" ht="15.75" customHeight="1">
      <c r="A69" s="50"/>
      <c r="B69" s="26" t="s">
        <v>74</v>
      </c>
      <c r="C69" s="56" t="str">
        <f t="array" ref="C69">(_xludf.XLOOKUP(B69,'Distancias Cidades'!$A$3:$A$28,_xludf.XLOOKUP("BELÉM",'Distancias Cidades'!$B$2:$AB$2,'Distancias Cidades'!$B$3:$AB$28)))+10</f>
        <v>#NAME?</v>
      </c>
      <c r="D69" s="56" t="str">
        <f t="array" ref="D69">_xludf.XLOOKUP($B69,'Distancias Cidades'!$A$3:$A$28,_xludf.XLOOKUP(D$65,'Distancias Cidades'!$B$2:$AB$2,'Distancias Cidades'!$B$3:$AB$28))</f>
        <v>#NAME?</v>
      </c>
      <c r="E69" s="56" t="str">
        <f t="array" ref="E69">_xludf.XLOOKUP($B69,'Distancias Cidades'!$A$3:$A$28,_xludf.XLOOKUP(E$65,'Distancias Cidades'!$B$2:$AB$2,'Distancias Cidades'!$B$3:$AB$28))</f>
        <v>#NAME?</v>
      </c>
      <c r="F69" s="56" t="str">
        <f t="array" ref="F69">_xludf.XLOOKUP($B69,'Distancias Cidades'!$A$3:$A$28,_xludf.XLOOKUP(F$65,'Distancias Cidades'!$B$2:$AB$2,'Distancias Cidades'!$B$3:$AB$28))</f>
        <v>#NAME?</v>
      </c>
      <c r="G69" s="56" t="str">
        <f t="array" ref="G69">_xludf.XLOOKUP($B69,'Distancias Cidades'!$A$3:$A$28,_xludf.XLOOKUP(G$65,'Distancias Cidades'!$B$2:$AB$2,'Distancias Cidades'!$B$3:$AB$28))</f>
        <v>#NAME?</v>
      </c>
      <c r="H69" s="56" t="str">
        <f t="array" ref="H69">_xludf.XLOOKUP($B69,'Distancias Cidades'!$A$3:$A$28,_xludf.XLOOKUP(H$65,'Distancias Cidades'!$B$2:$AB$2,'Distancias Cidades'!$B$3:$AB$28))</f>
        <v>#NAME?</v>
      </c>
      <c r="J69" s="43"/>
      <c r="K69" s="26" t="s">
        <v>25</v>
      </c>
      <c r="L69" s="27">
        <f t="shared" ref="L69:Q69" si="199">INT(C46/52)</f>
        <v>0</v>
      </c>
      <c r="M69" s="27">
        <f t="shared" si="199"/>
        <v>150</v>
      </c>
      <c r="N69" s="27">
        <f t="shared" si="199"/>
        <v>164</v>
      </c>
      <c r="O69" s="27">
        <f t="shared" si="199"/>
        <v>67</v>
      </c>
      <c r="P69" s="27">
        <f t="shared" si="199"/>
        <v>1106</v>
      </c>
      <c r="Q69" s="27">
        <f t="shared" si="199"/>
        <v>115</v>
      </c>
      <c r="R69" s="27">
        <f t="shared" ref="R69:R74" si="201">SUM(L69:Q69)</f>
        <v>1602</v>
      </c>
      <c r="S69" s="43"/>
      <c r="T69" s="50"/>
      <c r="U69" s="50"/>
      <c r="V69" s="50"/>
      <c r="W69" s="50"/>
      <c r="X69" s="50"/>
      <c r="Y69" s="50"/>
      <c r="Z69" s="50"/>
      <c r="AA69" s="69" t="s">
        <v>96</v>
      </c>
      <c r="AB69" s="69" t="s">
        <v>97</v>
      </c>
      <c r="AC69" s="69" t="s">
        <v>98</v>
      </c>
      <c r="AD69" s="69" t="s">
        <v>99</v>
      </c>
      <c r="AE69" s="69" t="s">
        <v>100</v>
      </c>
      <c r="AF69" s="69" t="s">
        <v>95</v>
      </c>
      <c r="AH69" s="66" t="s">
        <v>88</v>
      </c>
      <c r="AK69" s="29">
        <v>39200.0</v>
      </c>
      <c r="AN69" s="66" t="s">
        <v>88</v>
      </c>
      <c r="AQ69" s="29">
        <v>2800.0</v>
      </c>
      <c r="AW69" s="43"/>
    </row>
    <row r="70" ht="15.75" customHeight="1">
      <c r="A70" s="50"/>
      <c r="B70" s="26" t="s">
        <v>75</v>
      </c>
      <c r="C70" s="56" t="str">
        <f t="array" ref="C70">(_xludf.XLOOKUP(B70,'Distancias Cidades'!$A$3:$A$28,_xludf.XLOOKUP("BELÉM",'Distancias Cidades'!$B$2:$AB$2,'Distancias Cidades'!$B$3:$AB$28)))+10</f>
        <v>#NAME?</v>
      </c>
      <c r="D70" s="56" t="str">
        <f t="array" ref="D70">_xludf.XLOOKUP($B70,'Distancias Cidades'!$A$3:$A$28,_xludf.XLOOKUP(D$65,'Distancias Cidades'!$B$2:$AB$2,'Distancias Cidades'!$B$3:$AB$28))</f>
        <v>#NAME?</v>
      </c>
      <c r="E70" s="56" t="str">
        <f t="array" ref="E70">_xludf.XLOOKUP($B70,'Distancias Cidades'!$A$3:$A$28,_xludf.XLOOKUP(E$65,'Distancias Cidades'!$B$2:$AB$2,'Distancias Cidades'!$B$3:$AB$28))</f>
        <v>#NAME?</v>
      </c>
      <c r="F70" s="56" t="str">
        <f t="array" ref="F70">_xludf.XLOOKUP($B70,'Distancias Cidades'!$A$3:$A$28,_xludf.XLOOKUP(F$65,'Distancias Cidades'!$B$2:$AB$2,'Distancias Cidades'!$B$3:$AB$28))</f>
        <v>#NAME?</v>
      </c>
      <c r="G70" s="56" t="str">
        <f t="array" ref="G70">_xludf.XLOOKUP($B70,'Distancias Cidades'!$A$3:$A$28,_xludf.XLOOKUP(G$65,'Distancias Cidades'!$B$2:$AB$2,'Distancias Cidades'!$B$3:$AB$28))</f>
        <v>#NAME?</v>
      </c>
      <c r="H70" s="56" t="str">
        <f t="array" ref="H70">_xludf.XLOOKUP($B70,'Distancias Cidades'!$A$3:$A$28,_xludf.XLOOKUP(H$65,'Distancias Cidades'!$B$2:$AB$2,'Distancias Cidades'!$B$3:$AB$28))</f>
        <v>#NAME?</v>
      </c>
      <c r="J70" s="43"/>
      <c r="K70" s="26" t="s">
        <v>28</v>
      </c>
      <c r="L70" s="27">
        <f t="shared" ref="L70:Q70" si="200">INT(C47/52)</f>
        <v>257</v>
      </c>
      <c r="M70" s="27">
        <f t="shared" si="200"/>
        <v>0</v>
      </c>
      <c r="N70" s="27">
        <f t="shared" si="200"/>
        <v>53</v>
      </c>
      <c r="O70" s="27">
        <f t="shared" si="200"/>
        <v>11</v>
      </c>
      <c r="P70" s="27">
        <f t="shared" si="200"/>
        <v>330</v>
      </c>
      <c r="Q70" s="27">
        <f t="shared" si="200"/>
        <v>140</v>
      </c>
      <c r="R70" s="27">
        <f t="shared" si="201"/>
        <v>791</v>
      </c>
      <c r="S70" s="43"/>
      <c r="T70" s="50"/>
      <c r="U70" s="50"/>
      <c r="V70" s="50"/>
      <c r="W70" s="50"/>
      <c r="X70" s="50"/>
      <c r="Y70" s="50"/>
      <c r="Z70" s="50"/>
      <c r="AA70" s="69" t="s">
        <v>107</v>
      </c>
      <c r="AB70" s="69" t="s">
        <v>108</v>
      </c>
      <c r="AC70" s="69" t="s">
        <v>109</v>
      </c>
      <c r="AD70" s="69" t="s">
        <v>110</v>
      </c>
      <c r="AE70" s="69" t="s">
        <v>111</v>
      </c>
      <c r="AF70" s="69" t="s">
        <v>112</v>
      </c>
      <c r="AW70" s="43"/>
    </row>
    <row r="71" ht="15.75" customHeight="1">
      <c r="A71" s="50"/>
      <c r="B71" s="26" t="s">
        <v>76</v>
      </c>
      <c r="C71" s="56" t="str">
        <f t="array" ref="C71">(_xludf.XLOOKUP(B71,'Distancias Cidades'!$A$3:$A$28,_xludf.XLOOKUP("BELÉM",'Distancias Cidades'!$B$2:$AB$2,'Distancias Cidades'!$B$3:$AB$28)))+10</f>
        <v>#NAME?</v>
      </c>
      <c r="D71" s="56" t="str">
        <f t="array" ref="D71">_xludf.XLOOKUP($B71,'Distancias Cidades'!$A$3:$A$28,_xludf.XLOOKUP(D$65,'Distancias Cidades'!$B$2:$AB$2,'Distancias Cidades'!$B$3:$AB$28))</f>
        <v>#NAME?</v>
      </c>
      <c r="E71" s="56" t="str">
        <f t="array" ref="E71">_xludf.XLOOKUP($B71,'Distancias Cidades'!$A$3:$A$28,_xludf.XLOOKUP(E$65,'Distancias Cidades'!$B$2:$AB$2,'Distancias Cidades'!$B$3:$AB$28))</f>
        <v>#NAME?</v>
      </c>
      <c r="F71" s="56" t="str">
        <f t="array" ref="F71">_xludf.XLOOKUP($B71,'Distancias Cidades'!$A$3:$A$28,_xludf.XLOOKUP(F$65,'Distancias Cidades'!$B$2:$AB$2,'Distancias Cidades'!$B$3:$AB$28))</f>
        <v>#NAME?</v>
      </c>
      <c r="G71" s="56" t="str">
        <f t="array" ref="G71">_xludf.XLOOKUP($B71,'Distancias Cidades'!$A$3:$A$28,_xludf.XLOOKUP(G$65,'Distancias Cidades'!$B$2:$AB$2,'Distancias Cidades'!$B$3:$AB$28))</f>
        <v>#NAME?</v>
      </c>
      <c r="H71" s="56" t="str">
        <f t="array" ref="H71">_xludf.XLOOKUP($B71,'Distancias Cidades'!$A$3:$A$28,_xludf.XLOOKUP(H$65,'Distancias Cidades'!$B$2:$AB$2,'Distancias Cidades'!$B$3:$AB$28))</f>
        <v>#NAME?</v>
      </c>
      <c r="J71" s="43"/>
      <c r="K71" s="26" t="s">
        <v>9</v>
      </c>
      <c r="L71" s="27">
        <f t="shared" ref="L71:Q71" si="202">INT(C48/52)</f>
        <v>406</v>
      </c>
      <c r="M71" s="27">
        <f t="shared" si="202"/>
        <v>133</v>
      </c>
      <c r="N71" s="27">
        <f t="shared" si="202"/>
        <v>0</v>
      </c>
      <c r="O71" s="27">
        <f t="shared" si="202"/>
        <v>69</v>
      </c>
      <c r="P71" s="27">
        <f t="shared" si="202"/>
        <v>352</v>
      </c>
      <c r="Q71" s="27">
        <f t="shared" si="202"/>
        <v>98</v>
      </c>
      <c r="R71" s="27">
        <f t="shared" si="201"/>
        <v>1058</v>
      </c>
      <c r="S71" s="43"/>
      <c r="T71" s="50"/>
      <c r="U71" s="50"/>
      <c r="V71" s="50"/>
      <c r="W71" s="50"/>
      <c r="X71" s="50"/>
      <c r="Y71" s="50"/>
      <c r="Z71" s="50"/>
      <c r="AA71" s="69" t="s">
        <v>102</v>
      </c>
      <c r="AB71" s="69" t="s">
        <v>103</v>
      </c>
      <c r="AC71" s="69" t="s">
        <v>104</v>
      </c>
      <c r="AD71" s="69" t="s">
        <v>105</v>
      </c>
      <c r="AE71" s="69" t="s">
        <v>106</v>
      </c>
      <c r="AF71" s="69" t="s">
        <v>101</v>
      </c>
      <c r="AW71" s="43"/>
    </row>
    <row r="72" ht="15.75" customHeight="1">
      <c r="J72" s="43"/>
      <c r="K72" s="26" t="s">
        <v>33</v>
      </c>
      <c r="L72" s="27">
        <f t="shared" ref="L72:Q72" si="203">INT(C49/52)</f>
        <v>74</v>
      </c>
      <c r="M72" s="27">
        <f t="shared" si="203"/>
        <v>60</v>
      </c>
      <c r="N72" s="27">
        <f t="shared" si="203"/>
        <v>45</v>
      </c>
      <c r="O72" s="27">
        <f t="shared" si="203"/>
        <v>0</v>
      </c>
      <c r="P72" s="27">
        <f t="shared" si="203"/>
        <v>426</v>
      </c>
      <c r="Q72" s="27">
        <f t="shared" si="203"/>
        <v>54</v>
      </c>
      <c r="R72" s="27">
        <f t="shared" si="201"/>
        <v>659</v>
      </c>
      <c r="S72" s="43"/>
      <c r="AA72" s="69" t="s">
        <v>97</v>
      </c>
      <c r="AB72" s="69" t="s">
        <v>98</v>
      </c>
      <c r="AC72" s="69" t="s">
        <v>99</v>
      </c>
      <c r="AD72" s="69" t="s">
        <v>100</v>
      </c>
      <c r="AE72" s="69" t="s">
        <v>95</v>
      </c>
      <c r="AF72" s="69" t="s">
        <v>96</v>
      </c>
      <c r="AW72" s="43"/>
    </row>
    <row r="73" ht="15.75" customHeight="1">
      <c r="J73" s="43"/>
      <c r="K73" s="26" t="s">
        <v>8</v>
      </c>
      <c r="L73" s="27">
        <f t="shared" ref="L73:Q73" si="204">INT(C50/52)</f>
        <v>469</v>
      </c>
      <c r="M73" s="27">
        <f t="shared" si="204"/>
        <v>607</v>
      </c>
      <c r="N73" s="27">
        <f t="shared" si="204"/>
        <v>732</v>
      </c>
      <c r="O73" s="27">
        <f t="shared" si="204"/>
        <v>130</v>
      </c>
      <c r="P73" s="27">
        <f t="shared" si="204"/>
        <v>0</v>
      </c>
      <c r="Q73" s="27">
        <f t="shared" si="204"/>
        <v>0</v>
      </c>
      <c r="R73" s="27">
        <f t="shared" si="201"/>
        <v>1938</v>
      </c>
      <c r="S73" s="43"/>
      <c r="AA73" s="69" t="s">
        <v>113</v>
      </c>
      <c r="AB73" s="69" t="s">
        <v>114</v>
      </c>
      <c r="AC73" s="69" t="s">
        <v>115</v>
      </c>
      <c r="AD73" s="69" t="s">
        <v>116</v>
      </c>
      <c r="AE73" s="69" t="s">
        <v>117</v>
      </c>
      <c r="AF73" s="69" t="s">
        <v>118</v>
      </c>
      <c r="AW73" s="43"/>
    </row>
    <row r="74" ht="15.75" customHeight="1">
      <c r="A74" s="57"/>
      <c r="B74" s="42" t="s">
        <v>77</v>
      </c>
      <c r="C74" s="20"/>
      <c r="D74" s="20"/>
      <c r="E74" s="20"/>
      <c r="F74" s="20"/>
      <c r="G74" s="20"/>
      <c r="H74" s="58"/>
      <c r="J74" s="43"/>
      <c r="K74" s="26" t="s">
        <v>31</v>
      </c>
      <c r="L74" s="27">
        <f t="shared" ref="L74:Q74" si="205">INT(C51/52)</f>
        <v>363</v>
      </c>
      <c r="M74" s="27">
        <f t="shared" si="205"/>
        <v>548</v>
      </c>
      <c r="N74" s="27">
        <f t="shared" si="205"/>
        <v>744</v>
      </c>
      <c r="O74" s="27">
        <f t="shared" si="205"/>
        <v>148</v>
      </c>
      <c r="P74" s="27">
        <f t="shared" si="205"/>
        <v>0</v>
      </c>
      <c r="Q74" s="27">
        <f t="shared" si="205"/>
        <v>0</v>
      </c>
      <c r="R74" s="27">
        <f t="shared" si="201"/>
        <v>1803</v>
      </c>
      <c r="S74" s="43"/>
      <c r="T74" s="57"/>
      <c r="U74" s="57"/>
      <c r="V74" s="57"/>
      <c r="W74" s="57"/>
      <c r="X74" s="57"/>
      <c r="Y74" s="57"/>
      <c r="Z74" s="57"/>
      <c r="AA74" s="69" t="s">
        <v>108</v>
      </c>
      <c r="AB74" s="69" t="s">
        <v>109</v>
      </c>
      <c r="AC74" s="69" t="s">
        <v>110</v>
      </c>
      <c r="AD74" s="69" t="s">
        <v>111</v>
      </c>
      <c r="AE74" s="69" t="s">
        <v>112</v>
      </c>
      <c r="AF74" s="69" t="s">
        <v>107</v>
      </c>
      <c r="AW74" s="43"/>
    </row>
    <row r="75" ht="15.75" customHeight="1">
      <c r="A75" s="48"/>
      <c r="B75" s="4" t="s">
        <v>42</v>
      </c>
      <c r="C75" s="4" t="s">
        <v>25</v>
      </c>
      <c r="D75" s="4" t="s">
        <v>28</v>
      </c>
      <c r="E75" s="4" t="s">
        <v>9</v>
      </c>
      <c r="F75" s="49" t="s">
        <v>33</v>
      </c>
      <c r="G75" s="4" t="s">
        <v>8</v>
      </c>
      <c r="H75" s="4" t="s">
        <v>31</v>
      </c>
      <c r="J75" s="43"/>
      <c r="K75" s="32" t="s">
        <v>48</v>
      </c>
      <c r="L75" s="33">
        <f t="shared" ref="L75:R75" si="206">SUM(L69:L74)</f>
        <v>1569</v>
      </c>
      <c r="M75" s="33">
        <f t="shared" si="206"/>
        <v>1498</v>
      </c>
      <c r="N75" s="33">
        <f t="shared" si="206"/>
        <v>1738</v>
      </c>
      <c r="O75" s="33">
        <f t="shared" si="206"/>
        <v>425</v>
      </c>
      <c r="P75" s="33">
        <f t="shared" si="206"/>
        <v>2214</v>
      </c>
      <c r="Q75" s="33">
        <f t="shared" si="206"/>
        <v>407</v>
      </c>
      <c r="R75" s="33">
        <f t="shared" si="206"/>
        <v>7851</v>
      </c>
      <c r="S75" s="43"/>
      <c r="T75" s="48"/>
      <c r="U75" s="48"/>
      <c r="V75" s="48"/>
      <c r="W75" s="48"/>
      <c r="X75" s="48"/>
      <c r="Y75" s="48"/>
      <c r="Z75" s="48"/>
      <c r="AA75" s="69" t="s">
        <v>103</v>
      </c>
      <c r="AB75" s="69" t="s">
        <v>104</v>
      </c>
      <c r="AC75" s="69" t="s">
        <v>105</v>
      </c>
      <c r="AD75" s="69" t="s">
        <v>106</v>
      </c>
      <c r="AE75" s="69" t="s">
        <v>101</v>
      </c>
      <c r="AF75" s="69" t="s">
        <v>102</v>
      </c>
      <c r="AW75" s="43"/>
    </row>
    <row r="76" ht="15.75" customHeight="1">
      <c r="A76" s="50"/>
      <c r="B76" s="26" t="s">
        <v>25</v>
      </c>
      <c r="C76" s="59"/>
      <c r="D76" s="59" t="str">
        <f>C77</f>
        <v>#NAME?</v>
      </c>
      <c r="E76" s="59" t="str">
        <f>C78</f>
        <v>#NAME?</v>
      </c>
      <c r="F76" s="59" t="str">
        <f>C79</f>
        <v>#NAME?</v>
      </c>
      <c r="G76" s="59" t="str">
        <f>C80</f>
        <v>#NAME?</v>
      </c>
      <c r="H76" s="59" t="str">
        <f>C81</f>
        <v>#NAME?</v>
      </c>
      <c r="J76" s="43"/>
      <c r="S76" s="43"/>
      <c r="T76" s="50"/>
      <c r="U76" s="50"/>
      <c r="V76" s="50"/>
      <c r="W76" s="50"/>
      <c r="X76" s="50"/>
      <c r="Y76" s="50"/>
      <c r="Z76" s="50"/>
      <c r="AA76" s="69" t="s">
        <v>98</v>
      </c>
      <c r="AB76" s="69" t="s">
        <v>99</v>
      </c>
      <c r="AC76" s="69" t="s">
        <v>100</v>
      </c>
      <c r="AD76" s="69" t="s">
        <v>95</v>
      </c>
      <c r="AE76" s="69" t="s">
        <v>96</v>
      </c>
      <c r="AF76" s="69" t="s">
        <v>97</v>
      </c>
      <c r="AW76" s="43"/>
    </row>
    <row r="77" ht="15.75" customHeight="1">
      <c r="A77" s="50"/>
      <c r="B77" s="26" t="s">
        <v>28</v>
      </c>
      <c r="C77" s="59" t="str">
        <f t="shared" ref="C77:C81" si="207">(((C67*5.6748+496.5)*1.3)+7000)*0.7</f>
        <v>#NAME?</v>
      </c>
      <c r="D77" s="59"/>
      <c r="E77" s="59" t="str">
        <f>D78</f>
        <v>#NAME?</v>
      </c>
      <c r="F77" s="59" t="str">
        <f>D79</f>
        <v>#NAME?</v>
      </c>
      <c r="G77" s="59" t="str">
        <f>D80</f>
        <v>#NAME?</v>
      </c>
      <c r="H77" s="59" t="str">
        <f>D81</f>
        <v>#NAME?</v>
      </c>
      <c r="J77" s="43"/>
      <c r="K77" s="19" t="s">
        <v>58</v>
      </c>
      <c r="L77" s="20"/>
      <c r="M77" s="20"/>
      <c r="N77" s="20"/>
      <c r="O77" s="20"/>
      <c r="P77" s="20"/>
      <c r="Q77" s="20"/>
      <c r="R77" s="21"/>
      <c r="S77" s="43"/>
      <c r="T77" s="50"/>
      <c r="U77" s="50"/>
      <c r="V77" s="50"/>
      <c r="W77" s="50"/>
      <c r="AW77" s="43"/>
    </row>
    <row r="78" ht="15.75" customHeight="1">
      <c r="A78" s="50"/>
      <c r="B78" s="26" t="s">
        <v>9</v>
      </c>
      <c r="C78" s="59" t="str">
        <f t="shared" si="207"/>
        <v>#NAME?</v>
      </c>
      <c r="D78" s="59" t="str">
        <f t="shared" ref="D78:D81" si="208">(D68*5.6748+496.5)*1.3*0.7</f>
        <v>#NAME?</v>
      </c>
      <c r="E78" s="59"/>
      <c r="F78" s="59" t="str">
        <f>E79</f>
        <v>#NAME?</v>
      </c>
      <c r="G78" s="59" t="str">
        <f>(G68*5.6748+496.5)*1.3*0.7</f>
        <v>#NAME?</v>
      </c>
      <c r="H78" s="59" t="str">
        <f>E81</f>
        <v>#NAME?</v>
      </c>
      <c r="J78" s="43"/>
      <c r="K78" s="4" t="s">
        <v>42</v>
      </c>
      <c r="L78" s="4" t="s">
        <v>25</v>
      </c>
      <c r="M78" s="4" t="s">
        <v>28</v>
      </c>
      <c r="N78" s="4" t="s">
        <v>9</v>
      </c>
      <c r="O78" s="49" t="s">
        <v>33</v>
      </c>
      <c r="P78" s="4" t="s">
        <v>8</v>
      </c>
      <c r="Q78" s="4" t="s">
        <v>31</v>
      </c>
      <c r="R78" s="4" t="s">
        <v>43</v>
      </c>
      <c r="S78" s="43"/>
      <c r="T78" s="50"/>
      <c r="U78" s="50"/>
      <c r="V78" s="50"/>
      <c r="W78" s="50"/>
      <c r="AA78" s="50"/>
      <c r="AB78" s="50"/>
      <c r="AC78" s="50"/>
      <c r="AD78" s="50"/>
      <c r="AE78" s="50"/>
      <c r="AF78" s="50"/>
      <c r="AG78" s="50"/>
      <c r="AW78" s="43"/>
    </row>
    <row r="79" ht="15.75" customHeight="1">
      <c r="A79" s="50"/>
      <c r="B79" s="26" t="s">
        <v>33</v>
      </c>
      <c r="C79" s="59" t="str">
        <f t="shared" si="207"/>
        <v>#NAME?</v>
      </c>
      <c r="D79" s="59" t="str">
        <f t="shared" si="208"/>
        <v>#NAME?</v>
      </c>
      <c r="E79" s="59" t="str">
        <f t="shared" ref="E79:E81" si="210">(E69*5.6748+496.5)*1.3*0.7</f>
        <v>#NAME?</v>
      </c>
      <c r="F79" s="59"/>
      <c r="G79" s="59"/>
      <c r="H79" s="59" t="str">
        <f>(H69*5.6748+496.5)*1.3*0.7</f>
        <v>#NAME?</v>
      </c>
      <c r="J79" s="43"/>
      <c r="K79" s="26" t="s">
        <v>25</v>
      </c>
      <c r="L79" s="27">
        <f t="shared" ref="L79:Q79" si="209">INT(C56/52)</f>
        <v>0</v>
      </c>
      <c r="M79" s="27">
        <f t="shared" si="209"/>
        <v>267</v>
      </c>
      <c r="N79" s="27">
        <f t="shared" si="209"/>
        <v>322</v>
      </c>
      <c r="O79" s="27">
        <f t="shared" si="209"/>
        <v>128</v>
      </c>
      <c r="P79" s="27">
        <f t="shared" si="209"/>
        <v>2165</v>
      </c>
      <c r="Q79" s="27">
        <f t="shared" si="209"/>
        <v>222</v>
      </c>
      <c r="R79" s="27">
        <f t="shared" ref="R79:R84" si="212">SUM(L79:Q79)</f>
        <v>3104</v>
      </c>
      <c r="S79" s="43"/>
      <c r="T79" s="50"/>
      <c r="U79" s="50"/>
      <c r="V79" s="50"/>
      <c r="W79" s="50"/>
      <c r="AA79" s="50"/>
      <c r="AB79" s="50" t="s">
        <v>185</v>
      </c>
      <c r="AC79" s="50" t="s">
        <v>193</v>
      </c>
      <c r="AD79" s="50" t="s">
        <v>169</v>
      </c>
      <c r="AE79" s="50" t="s">
        <v>165</v>
      </c>
      <c r="AF79" s="50" t="s">
        <v>161</v>
      </c>
      <c r="AG79" s="50" t="s">
        <v>149</v>
      </c>
      <c r="AH79" s="29" t="s">
        <v>165</v>
      </c>
      <c r="AI79" s="29" t="s">
        <v>185</v>
      </c>
      <c r="AM79" s="50" t="s">
        <v>185</v>
      </c>
      <c r="AN79" s="50" t="s">
        <v>193</v>
      </c>
      <c r="AO79" s="50" t="s">
        <v>169</v>
      </c>
      <c r="AP79" s="50" t="s">
        <v>165</v>
      </c>
      <c r="AQ79" s="50" t="s">
        <v>161</v>
      </c>
      <c r="AR79" s="50" t="s">
        <v>149</v>
      </c>
      <c r="AS79" s="29" t="s">
        <v>165</v>
      </c>
      <c r="AT79" s="29" t="s">
        <v>185</v>
      </c>
      <c r="AW79" s="43"/>
    </row>
    <row r="80" ht="15.75" customHeight="1">
      <c r="A80" s="50"/>
      <c r="B80" s="26" t="s">
        <v>8</v>
      </c>
      <c r="C80" s="59" t="str">
        <f t="shared" si="207"/>
        <v>#NAME?</v>
      </c>
      <c r="D80" s="59" t="str">
        <f t="shared" si="208"/>
        <v>#NAME?</v>
      </c>
      <c r="E80" s="59" t="str">
        <f t="shared" si="210"/>
        <v>#NAME?</v>
      </c>
      <c r="F80" s="59" t="str">
        <f t="shared" ref="F80:F81" si="213">(F70*5.6748+496.5)*1.3*0.7</f>
        <v>#NAME?</v>
      </c>
      <c r="G80" s="59"/>
      <c r="H80" s="59"/>
      <c r="J80" s="43"/>
      <c r="K80" s="26" t="s">
        <v>28</v>
      </c>
      <c r="L80" s="27">
        <f t="shared" ref="L80:Q80" si="211">INT(C57/52)</f>
        <v>458</v>
      </c>
      <c r="M80" s="27">
        <f t="shared" si="211"/>
        <v>0</v>
      </c>
      <c r="N80" s="27">
        <f t="shared" si="211"/>
        <v>101</v>
      </c>
      <c r="O80" s="27">
        <f t="shared" si="211"/>
        <v>13</v>
      </c>
      <c r="P80" s="27">
        <f t="shared" si="211"/>
        <v>486</v>
      </c>
      <c r="Q80" s="27">
        <f t="shared" si="211"/>
        <v>203</v>
      </c>
      <c r="R80" s="27">
        <f t="shared" si="212"/>
        <v>1261</v>
      </c>
      <c r="S80" s="43"/>
      <c r="T80" s="50"/>
      <c r="U80" s="50"/>
      <c r="V80" s="50"/>
      <c r="W80" s="50"/>
      <c r="AA80" s="50"/>
      <c r="AB80" s="50" t="s">
        <v>260</v>
      </c>
      <c r="AC80" s="50"/>
      <c r="AD80" s="50"/>
      <c r="AE80" s="50"/>
      <c r="AF80" s="50"/>
      <c r="AG80" s="50"/>
      <c r="AM80" s="50" t="s">
        <v>260</v>
      </c>
      <c r="AN80" s="50"/>
      <c r="AO80" s="50"/>
      <c r="AP80" s="50"/>
      <c r="AQ80" s="50"/>
      <c r="AR80" s="50"/>
      <c r="AW80" s="43"/>
    </row>
    <row r="81" ht="15.75" customHeight="1">
      <c r="A81" s="50"/>
      <c r="B81" s="26" t="s">
        <v>31</v>
      </c>
      <c r="C81" s="59" t="str">
        <f t="shared" si="207"/>
        <v>#NAME?</v>
      </c>
      <c r="D81" s="59" t="str">
        <f t="shared" si="208"/>
        <v>#NAME?</v>
      </c>
      <c r="E81" s="59" t="str">
        <f t="shared" si="210"/>
        <v>#NAME?</v>
      </c>
      <c r="F81" s="59" t="str">
        <f t="shared" si="213"/>
        <v>#NAME?</v>
      </c>
      <c r="G81" s="59"/>
      <c r="H81" s="59"/>
      <c r="J81" s="43"/>
      <c r="K81" s="26" t="s">
        <v>9</v>
      </c>
      <c r="L81" s="27">
        <f t="shared" ref="L81:Q81" si="214">INT(C58/52)</f>
        <v>774</v>
      </c>
      <c r="M81" s="27">
        <f t="shared" si="214"/>
        <v>238</v>
      </c>
      <c r="N81" s="27">
        <f t="shared" si="214"/>
        <v>0</v>
      </c>
      <c r="O81" s="27">
        <f t="shared" si="214"/>
        <v>82</v>
      </c>
      <c r="P81" s="27">
        <f t="shared" si="214"/>
        <v>540</v>
      </c>
      <c r="Q81" s="27">
        <f t="shared" si="214"/>
        <v>181</v>
      </c>
      <c r="R81" s="27">
        <f t="shared" si="212"/>
        <v>1815</v>
      </c>
      <c r="S81" s="43"/>
      <c r="T81" s="50"/>
      <c r="U81" s="50"/>
      <c r="V81" s="50"/>
      <c r="W81" s="50"/>
      <c r="AA81" s="50"/>
      <c r="AB81" s="136" t="s">
        <v>261</v>
      </c>
      <c r="AC81" s="50"/>
      <c r="AD81" s="50"/>
      <c r="AE81" s="50" t="s">
        <v>262</v>
      </c>
      <c r="AF81" s="50"/>
      <c r="AG81" s="50"/>
      <c r="AM81" s="29" t="s">
        <v>261</v>
      </c>
      <c r="AN81" s="50"/>
      <c r="AO81" s="50"/>
      <c r="AP81" s="50" t="s">
        <v>262</v>
      </c>
      <c r="AQ81" s="50"/>
      <c r="AR81" s="50"/>
      <c r="AW81" s="43"/>
    </row>
    <row r="82" ht="15.75" customHeight="1">
      <c r="A82" s="39"/>
      <c r="B82" s="39" t="s">
        <v>79</v>
      </c>
      <c r="J82" s="43"/>
      <c r="K82" s="26" t="s">
        <v>33</v>
      </c>
      <c r="L82" s="27">
        <f t="shared" ref="L82:Q82" si="215">INT(C59/52)</f>
        <v>141</v>
      </c>
      <c r="M82" s="27">
        <f t="shared" si="215"/>
        <v>105</v>
      </c>
      <c r="N82" s="27">
        <f t="shared" si="215"/>
        <v>78</v>
      </c>
      <c r="O82" s="27">
        <f t="shared" si="215"/>
        <v>0</v>
      </c>
      <c r="P82" s="27">
        <f t="shared" si="215"/>
        <v>644</v>
      </c>
      <c r="Q82" s="27">
        <f t="shared" si="215"/>
        <v>103</v>
      </c>
      <c r="R82" s="27">
        <f t="shared" si="212"/>
        <v>1071</v>
      </c>
      <c r="S82" s="43"/>
      <c r="T82" s="39"/>
      <c r="U82" s="39"/>
      <c r="V82" s="39"/>
      <c r="W82" s="39"/>
      <c r="AA82" s="50"/>
      <c r="AB82" s="50" t="s">
        <v>263</v>
      </c>
      <c r="AC82" s="50" t="s">
        <v>264</v>
      </c>
      <c r="AD82" s="50" t="s">
        <v>265</v>
      </c>
      <c r="AE82" s="50" t="s">
        <v>266</v>
      </c>
      <c r="AF82" s="50" t="s">
        <v>267</v>
      </c>
      <c r="AG82" s="50" t="s">
        <v>268</v>
      </c>
      <c r="AM82" s="50" t="s">
        <v>263</v>
      </c>
      <c r="AN82" s="50" t="s">
        <v>264</v>
      </c>
      <c r="AO82" s="50" t="s">
        <v>265</v>
      </c>
      <c r="AP82" s="50" t="s">
        <v>266</v>
      </c>
      <c r="AQ82" s="50" t="s">
        <v>267</v>
      </c>
      <c r="AR82" s="50" t="s">
        <v>268</v>
      </c>
      <c r="AW82" s="43"/>
    </row>
    <row r="83" ht="15.75" customHeight="1">
      <c r="G83" s="61" t="s">
        <v>80</v>
      </c>
      <c r="H83" s="62"/>
      <c r="J83" s="43"/>
      <c r="K83" s="26" t="s">
        <v>8</v>
      </c>
      <c r="L83" s="27">
        <f t="shared" ref="L83:Q83" si="216">INT(C60/52)</f>
        <v>860</v>
      </c>
      <c r="M83" s="27">
        <f t="shared" si="216"/>
        <v>1091</v>
      </c>
      <c r="N83" s="27">
        <f t="shared" si="216"/>
        <v>1337</v>
      </c>
      <c r="O83" s="27">
        <f t="shared" si="216"/>
        <v>221</v>
      </c>
      <c r="P83" s="27">
        <f t="shared" si="216"/>
        <v>0</v>
      </c>
      <c r="Q83" s="27">
        <f t="shared" si="216"/>
        <v>0</v>
      </c>
      <c r="R83" s="27">
        <f t="shared" si="212"/>
        <v>3509</v>
      </c>
      <c r="S83" s="43"/>
      <c r="AA83" s="39"/>
      <c r="AB83" s="39" t="s">
        <v>269</v>
      </c>
      <c r="AC83" s="39" t="s">
        <v>270</v>
      </c>
      <c r="AD83" s="39" t="s">
        <v>271</v>
      </c>
      <c r="AE83" s="39" t="s">
        <v>272</v>
      </c>
      <c r="AF83" s="39" t="s">
        <v>273</v>
      </c>
      <c r="AG83" s="39" t="s">
        <v>274</v>
      </c>
      <c r="AM83" s="39" t="s">
        <v>269</v>
      </c>
      <c r="AN83" s="39" t="s">
        <v>270</v>
      </c>
      <c r="AO83" s="39" t="s">
        <v>271</v>
      </c>
      <c r="AP83" s="39" t="s">
        <v>272</v>
      </c>
      <c r="AQ83" s="39" t="s">
        <v>273</v>
      </c>
      <c r="AR83" s="39" t="s">
        <v>274</v>
      </c>
      <c r="AW83" s="43"/>
    </row>
    <row r="84" ht="15.75" customHeight="1">
      <c r="J84" s="43"/>
      <c r="K84" s="26" t="s">
        <v>31</v>
      </c>
      <c r="L84" s="27">
        <f t="shared" ref="L84:Q84" si="217">INT(C61/52)</f>
        <v>698</v>
      </c>
      <c r="M84" s="27">
        <f t="shared" si="217"/>
        <v>869</v>
      </c>
      <c r="N84" s="27">
        <f t="shared" si="217"/>
        <v>1226</v>
      </c>
      <c r="O84" s="27">
        <f t="shared" si="217"/>
        <v>216</v>
      </c>
      <c r="P84" s="27">
        <f t="shared" si="217"/>
        <v>0</v>
      </c>
      <c r="Q84" s="27">
        <f t="shared" si="217"/>
        <v>0</v>
      </c>
      <c r="R84" s="27">
        <f t="shared" si="212"/>
        <v>3009</v>
      </c>
      <c r="S84" s="43"/>
      <c r="AB84" s="29" t="s">
        <v>275</v>
      </c>
      <c r="AC84" s="29" t="s">
        <v>276</v>
      </c>
      <c r="AD84" s="29" t="s">
        <v>277</v>
      </c>
      <c r="AF84" s="29" t="s">
        <v>278</v>
      </c>
      <c r="AG84" s="29" t="s">
        <v>279</v>
      </c>
      <c r="AM84" s="29" t="s">
        <v>275</v>
      </c>
      <c r="AN84" s="29" t="s">
        <v>276</v>
      </c>
      <c r="AO84" s="29" t="s">
        <v>277</v>
      </c>
      <c r="AQ84" s="29" t="s">
        <v>278</v>
      </c>
      <c r="AR84" s="29" t="s">
        <v>279</v>
      </c>
      <c r="AW84" s="43"/>
    </row>
    <row r="85" ht="15.75" customHeight="1">
      <c r="A85" s="39"/>
      <c r="B85" s="39" t="s">
        <v>81</v>
      </c>
      <c r="J85" s="43"/>
      <c r="K85" s="32" t="s">
        <v>48</v>
      </c>
      <c r="L85" s="33">
        <f t="shared" ref="L85:R85" si="218">SUM(L79:L84)</f>
        <v>2931</v>
      </c>
      <c r="M85" s="33">
        <f t="shared" si="218"/>
        <v>2570</v>
      </c>
      <c r="N85" s="33">
        <f t="shared" si="218"/>
        <v>3064</v>
      </c>
      <c r="O85" s="33">
        <f t="shared" si="218"/>
        <v>660</v>
      </c>
      <c r="P85" s="33">
        <f t="shared" si="218"/>
        <v>3835</v>
      </c>
      <c r="Q85" s="33">
        <f t="shared" si="218"/>
        <v>709</v>
      </c>
      <c r="R85" s="33">
        <f t="shared" si="218"/>
        <v>13769</v>
      </c>
      <c r="S85" s="43"/>
      <c r="T85" s="39"/>
      <c r="U85" s="39"/>
      <c r="V85" s="39"/>
      <c r="W85" s="39"/>
      <c r="X85" s="39"/>
      <c r="Y85" s="39"/>
      <c r="Z85" s="39"/>
      <c r="AA85" s="39"/>
      <c r="AB85" s="39" t="s">
        <v>280</v>
      </c>
      <c r="AC85" s="39" t="s">
        <v>281</v>
      </c>
      <c r="AD85" s="39" t="s">
        <v>282</v>
      </c>
      <c r="AF85" s="29" t="s">
        <v>283</v>
      </c>
      <c r="AG85" s="29" t="s">
        <v>284</v>
      </c>
      <c r="AM85" s="39" t="s">
        <v>280</v>
      </c>
      <c r="AN85" s="39" t="s">
        <v>281</v>
      </c>
      <c r="AO85" s="39" t="s">
        <v>282</v>
      </c>
      <c r="AQ85" s="29" t="s">
        <v>283</v>
      </c>
      <c r="AR85" s="29" t="s">
        <v>284</v>
      </c>
      <c r="AW85" s="43"/>
    </row>
    <row r="86" ht="15.75" customHeight="1">
      <c r="J86" s="43"/>
      <c r="L86" s="29"/>
      <c r="M86" s="29"/>
      <c r="N86" s="29"/>
      <c r="O86" s="29"/>
      <c r="P86" s="29"/>
      <c r="Q86" s="29"/>
      <c r="S86" s="43"/>
      <c r="AB86" s="29" t="s">
        <v>285</v>
      </c>
      <c r="AC86" s="29" t="s">
        <v>286</v>
      </c>
      <c r="AD86" s="29" t="s">
        <v>287</v>
      </c>
      <c r="AF86" s="29" t="s">
        <v>288</v>
      </c>
      <c r="AG86" s="29" t="s">
        <v>289</v>
      </c>
      <c r="AM86" s="29" t="s">
        <v>285</v>
      </c>
      <c r="AN86" s="29" t="s">
        <v>286</v>
      </c>
      <c r="AO86" s="29" t="s">
        <v>287</v>
      </c>
      <c r="AQ86" s="29" t="s">
        <v>288</v>
      </c>
      <c r="AR86" s="29" t="s">
        <v>289</v>
      </c>
      <c r="AW86" s="43"/>
    </row>
    <row r="87" ht="15.75" customHeight="1">
      <c r="J87" s="43"/>
      <c r="K87" s="42" t="s">
        <v>78</v>
      </c>
      <c r="L87" s="20"/>
      <c r="M87" s="20"/>
      <c r="N87" s="20"/>
      <c r="O87" s="20"/>
      <c r="P87" s="20"/>
      <c r="Q87" s="58"/>
      <c r="S87" s="43"/>
      <c r="AW87" s="43"/>
    </row>
    <row r="88" ht="15.75" customHeight="1">
      <c r="A88" s="63"/>
      <c r="B88" s="64" t="s">
        <v>82</v>
      </c>
      <c r="C88" s="20"/>
      <c r="D88" s="20"/>
      <c r="E88" s="20"/>
      <c r="F88" s="20"/>
      <c r="G88" s="21"/>
      <c r="J88" s="43"/>
      <c r="K88" s="4" t="s">
        <v>42</v>
      </c>
      <c r="L88" s="4" t="s">
        <v>25</v>
      </c>
      <c r="M88" s="4" t="s">
        <v>28</v>
      </c>
      <c r="N88" s="4" t="s">
        <v>9</v>
      </c>
      <c r="O88" s="49" t="s">
        <v>33</v>
      </c>
      <c r="P88" s="4" t="s">
        <v>8</v>
      </c>
      <c r="Q88" s="4" t="s">
        <v>31</v>
      </c>
      <c r="S88" s="43"/>
      <c r="T88" s="63" t="s">
        <v>82</v>
      </c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29" t="s">
        <v>290</v>
      </c>
      <c r="AM88" s="63"/>
      <c r="AN88" s="63"/>
      <c r="AO88" s="63"/>
      <c r="AP88" s="29" t="s">
        <v>290</v>
      </c>
      <c r="AW88" s="43"/>
    </row>
    <row r="89" ht="15.75" customHeight="1">
      <c r="A89" s="65"/>
      <c r="B89" s="66" t="s">
        <v>83</v>
      </c>
      <c r="C89" s="66" t="s">
        <v>84</v>
      </c>
      <c r="D89" s="66" t="s">
        <v>85</v>
      </c>
      <c r="E89" s="66" t="s">
        <v>86</v>
      </c>
      <c r="F89" s="66" t="s">
        <v>87</v>
      </c>
      <c r="G89" s="66" t="s">
        <v>88</v>
      </c>
      <c r="J89" s="43"/>
      <c r="K89" s="26" t="s">
        <v>25</v>
      </c>
      <c r="L89" s="56">
        <f t="shared" ref="L89:Q89" si="219">C76*L69</f>
        <v>0</v>
      </c>
      <c r="M89" s="56" t="str">
        <f t="shared" si="219"/>
        <v>#NAME?</v>
      </c>
      <c r="N89" s="56" t="str">
        <f t="shared" si="219"/>
        <v>#NAME?</v>
      </c>
      <c r="O89" s="56" t="str">
        <f t="shared" si="219"/>
        <v>#NAME?</v>
      </c>
      <c r="P89" s="56" t="str">
        <f t="shared" si="219"/>
        <v>#NAME?</v>
      </c>
      <c r="Q89" s="56" t="str">
        <f t="shared" si="219"/>
        <v>#NAME?</v>
      </c>
      <c r="S89" s="43"/>
      <c r="T89" s="65" t="s">
        <v>83</v>
      </c>
      <c r="U89" s="65" t="s">
        <v>84</v>
      </c>
      <c r="V89" s="65" t="s">
        <v>85</v>
      </c>
      <c r="W89" s="65" t="s">
        <v>86</v>
      </c>
      <c r="X89" s="65" t="s">
        <v>87</v>
      </c>
      <c r="Y89" s="65" t="s">
        <v>88</v>
      </c>
      <c r="Z89" s="65"/>
      <c r="AA89" s="65"/>
      <c r="AB89" s="65"/>
      <c r="AC89" s="65"/>
      <c r="AD89" s="65"/>
      <c r="AE89" s="29" t="s">
        <v>291</v>
      </c>
      <c r="AM89" s="65"/>
      <c r="AN89" s="65"/>
      <c r="AO89" s="65"/>
      <c r="AP89" s="29" t="s">
        <v>291</v>
      </c>
      <c r="AW89" s="43"/>
    </row>
    <row r="90" ht="15.75" customHeight="1">
      <c r="A90" s="63"/>
      <c r="B90" s="67" t="s">
        <v>89</v>
      </c>
      <c r="C90" s="67" t="s">
        <v>90</v>
      </c>
      <c r="D90" s="67" t="s">
        <v>91</v>
      </c>
      <c r="E90" s="67" t="s">
        <v>92</v>
      </c>
      <c r="F90" s="67" t="s">
        <v>93</v>
      </c>
      <c r="G90" s="67" t="s">
        <v>94</v>
      </c>
      <c r="J90" s="43"/>
      <c r="K90" s="26" t="s">
        <v>28</v>
      </c>
      <c r="L90" s="56" t="str">
        <f t="shared" ref="L90:Q90" si="220">C77*L70</f>
        <v>#NAME?</v>
      </c>
      <c r="M90" s="56">
        <f t="shared" si="220"/>
        <v>0</v>
      </c>
      <c r="N90" s="56" t="str">
        <f t="shared" si="220"/>
        <v>#NAME?</v>
      </c>
      <c r="O90" s="56" t="str">
        <f t="shared" si="220"/>
        <v>#NAME?</v>
      </c>
      <c r="P90" s="56" t="str">
        <f t="shared" si="220"/>
        <v>#NAME?</v>
      </c>
      <c r="Q90" s="56" t="str">
        <f t="shared" si="220"/>
        <v>#NAME?</v>
      </c>
      <c r="S90" s="43"/>
      <c r="T90" s="63">
        <v>16212.0</v>
      </c>
      <c r="U90" s="63">
        <v>20636.0</v>
      </c>
      <c r="V90" s="63">
        <v>4396.0</v>
      </c>
      <c r="W90" s="63">
        <v>14252.0</v>
      </c>
      <c r="X90" s="63">
        <v>16296.0</v>
      </c>
      <c r="Y90" s="63">
        <v>32648.0</v>
      </c>
      <c r="Z90" s="63"/>
      <c r="AA90" s="63"/>
      <c r="AB90" s="63"/>
      <c r="AC90" s="63"/>
      <c r="AD90" s="63"/>
      <c r="AE90" s="29" t="s">
        <v>292</v>
      </c>
      <c r="AM90" s="63"/>
      <c r="AN90" s="63"/>
      <c r="AO90" s="63"/>
      <c r="AP90" s="29" t="s">
        <v>292</v>
      </c>
      <c r="AW90" s="43"/>
    </row>
    <row r="91" ht="15.75" customHeight="1">
      <c r="A91" s="63"/>
      <c r="B91" s="69" t="s">
        <v>95</v>
      </c>
      <c r="C91" s="69" t="s">
        <v>96</v>
      </c>
      <c r="D91" s="69" t="s">
        <v>97</v>
      </c>
      <c r="E91" s="69" t="s">
        <v>98</v>
      </c>
      <c r="F91" s="69" t="s">
        <v>99</v>
      </c>
      <c r="G91" s="69" t="s">
        <v>100</v>
      </c>
      <c r="J91" s="43"/>
      <c r="K91" s="26" t="s">
        <v>9</v>
      </c>
      <c r="L91" s="56" t="str">
        <f t="shared" ref="L91:Q91" si="221">C78*L71</f>
        <v>#NAME?</v>
      </c>
      <c r="M91" s="56" t="str">
        <f t="shared" si="221"/>
        <v>#NAME?</v>
      </c>
      <c r="N91" s="56">
        <f t="shared" si="221"/>
        <v>0</v>
      </c>
      <c r="O91" s="56" t="str">
        <f t="shared" si="221"/>
        <v>#NAME?</v>
      </c>
      <c r="P91" s="56" t="str">
        <f t="shared" si="221"/>
        <v>#NAME?</v>
      </c>
      <c r="Q91" s="56" t="str">
        <f t="shared" si="221"/>
        <v>#NAME?</v>
      </c>
      <c r="S91" s="43"/>
      <c r="T91" s="63">
        <v>364.0</v>
      </c>
      <c r="U91" s="63">
        <v>0.0</v>
      </c>
      <c r="V91" s="63">
        <v>0.0</v>
      </c>
      <c r="W91" s="63">
        <v>448.0</v>
      </c>
      <c r="X91" s="63">
        <v>3976.0</v>
      </c>
      <c r="Y91" s="63">
        <v>0.0</v>
      </c>
      <c r="Z91" s="63"/>
      <c r="AA91" s="63"/>
      <c r="AB91" s="63"/>
      <c r="AC91" s="63"/>
      <c r="AD91" s="63"/>
      <c r="AE91" s="29" t="s">
        <v>293</v>
      </c>
      <c r="AM91" s="63"/>
      <c r="AN91" s="63"/>
      <c r="AO91" s="63"/>
      <c r="AP91" s="29" t="s">
        <v>293</v>
      </c>
      <c r="AW91" s="43"/>
    </row>
    <row r="92" ht="15.75" customHeight="1">
      <c r="A92" s="63"/>
      <c r="B92" s="69" t="s">
        <v>101</v>
      </c>
      <c r="C92" s="69" t="s">
        <v>102</v>
      </c>
      <c r="D92" s="69" t="s">
        <v>103</v>
      </c>
      <c r="E92" s="69" t="s">
        <v>104</v>
      </c>
      <c r="F92" s="69" t="s">
        <v>105</v>
      </c>
      <c r="G92" s="69" t="s">
        <v>106</v>
      </c>
      <c r="J92" s="43"/>
      <c r="K92" s="26" t="s">
        <v>33</v>
      </c>
      <c r="L92" s="56" t="str">
        <f t="shared" ref="L92:Q92" si="222">C79*L72</f>
        <v>#NAME?</v>
      </c>
      <c r="M92" s="56" t="str">
        <f t="shared" si="222"/>
        <v>#NAME?</v>
      </c>
      <c r="N92" s="56" t="str">
        <f t="shared" si="222"/>
        <v>#NAME?</v>
      </c>
      <c r="O92" s="56">
        <f t="shared" si="222"/>
        <v>0</v>
      </c>
      <c r="P92" s="56">
        <f t="shared" si="222"/>
        <v>0</v>
      </c>
      <c r="Q92" s="56" t="str">
        <f t="shared" si="222"/>
        <v>#NAME?</v>
      </c>
      <c r="S92" s="43"/>
      <c r="T92" s="63">
        <v>1036.0</v>
      </c>
      <c r="U92" s="63">
        <v>112.0</v>
      </c>
      <c r="V92" s="63">
        <v>1092.0</v>
      </c>
      <c r="W92" s="63">
        <v>4592.0</v>
      </c>
      <c r="X92" s="63">
        <v>4788.0</v>
      </c>
      <c r="Y92" s="63">
        <v>0.0</v>
      </c>
      <c r="Z92" s="63"/>
      <c r="AA92" s="63"/>
      <c r="AB92" s="63"/>
      <c r="AC92" s="63"/>
      <c r="AD92" s="63"/>
      <c r="AW92" s="43"/>
    </row>
    <row r="93" ht="15.75" customHeight="1">
      <c r="A93" s="63"/>
      <c r="B93" s="69" t="s">
        <v>96</v>
      </c>
      <c r="C93" s="69" t="s">
        <v>97</v>
      </c>
      <c r="D93" s="69" t="s">
        <v>98</v>
      </c>
      <c r="E93" s="69" t="s">
        <v>99</v>
      </c>
      <c r="F93" s="69" t="s">
        <v>100</v>
      </c>
      <c r="G93" s="69" t="s">
        <v>95</v>
      </c>
      <c r="J93" s="43"/>
      <c r="K93" s="26" t="s">
        <v>8</v>
      </c>
      <c r="L93" s="56" t="str">
        <f t="shared" ref="L93:Q93" si="223">C80*L73</f>
        <v>#NAME?</v>
      </c>
      <c r="M93" s="56" t="str">
        <f t="shared" si="223"/>
        <v>#NAME?</v>
      </c>
      <c r="N93" s="56" t="str">
        <f t="shared" si="223"/>
        <v>#NAME?</v>
      </c>
      <c r="O93" s="56" t="str">
        <f t="shared" si="223"/>
        <v>#NAME?</v>
      </c>
      <c r="P93" s="56">
        <f t="shared" si="223"/>
        <v>0</v>
      </c>
      <c r="Q93" s="56">
        <f t="shared" si="223"/>
        <v>0</v>
      </c>
      <c r="S93" s="43"/>
      <c r="T93" s="63">
        <v>0.0</v>
      </c>
      <c r="U93" s="63">
        <v>0.0</v>
      </c>
      <c r="V93" s="63">
        <v>448.0</v>
      </c>
      <c r="W93" s="63">
        <v>3976.0</v>
      </c>
      <c r="X93" s="63">
        <v>0.0</v>
      </c>
      <c r="Y93" s="63">
        <v>364.0</v>
      </c>
      <c r="Z93" s="63"/>
      <c r="AA93" s="63"/>
      <c r="AB93" s="63"/>
      <c r="AC93" s="63"/>
      <c r="AD93" s="63"/>
      <c r="AW93" s="43"/>
    </row>
    <row r="94" ht="15.75" customHeight="1">
      <c r="A94" s="63"/>
      <c r="B94" s="69" t="s">
        <v>107</v>
      </c>
      <c r="C94" s="69" t="s">
        <v>108</v>
      </c>
      <c r="D94" s="69" t="s">
        <v>109</v>
      </c>
      <c r="E94" s="69" t="s">
        <v>110</v>
      </c>
      <c r="F94" s="69" t="s">
        <v>111</v>
      </c>
      <c r="G94" s="69" t="s">
        <v>112</v>
      </c>
      <c r="J94" s="43"/>
      <c r="K94" s="26" t="s">
        <v>31</v>
      </c>
      <c r="L94" s="56" t="str">
        <f t="shared" ref="L94:Q94" si="224">C81*L74</f>
        <v>#NAME?</v>
      </c>
      <c r="M94" s="56" t="str">
        <f t="shared" si="224"/>
        <v>#NAME?</v>
      </c>
      <c r="N94" s="56" t="str">
        <f t="shared" si="224"/>
        <v>#NAME?</v>
      </c>
      <c r="O94" s="56" t="str">
        <f t="shared" si="224"/>
        <v>#NAME?</v>
      </c>
      <c r="P94" s="56">
        <f t="shared" si="224"/>
        <v>0</v>
      </c>
      <c r="Q94" s="56">
        <f t="shared" si="224"/>
        <v>0</v>
      </c>
      <c r="S94" s="43"/>
      <c r="T94" s="63">
        <v>364.0</v>
      </c>
      <c r="U94" s="63">
        <v>700.0</v>
      </c>
      <c r="V94" s="63">
        <v>5292.0</v>
      </c>
      <c r="W94" s="63">
        <v>7700.0</v>
      </c>
      <c r="X94" s="63">
        <v>1484.0</v>
      </c>
      <c r="Y94" s="63">
        <v>1456.0</v>
      </c>
      <c r="Z94" s="63"/>
      <c r="AA94" s="63"/>
      <c r="AB94" s="63"/>
      <c r="AC94" s="63"/>
      <c r="AD94" s="63"/>
      <c r="AW94" s="43"/>
    </row>
    <row r="95" ht="15.75" customHeight="1">
      <c r="A95" s="63"/>
      <c r="B95" s="69" t="s">
        <v>102</v>
      </c>
      <c r="C95" s="69" t="s">
        <v>103</v>
      </c>
      <c r="D95" s="69" t="s">
        <v>104</v>
      </c>
      <c r="E95" s="69" t="s">
        <v>105</v>
      </c>
      <c r="F95" s="69" t="s">
        <v>106</v>
      </c>
      <c r="G95" s="69" t="s">
        <v>101</v>
      </c>
      <c r="J95" s="43"/>
      <c r="Q95" s="29" t="s">
        <v>68</v>
      </c>
      <c r="R95" s="60" t="str">
        <f>SUM(L89:Q94)</f>
        <v>#NAME?</v>
      </c>
      <c r="S95" s="43"/>
      <c r="T95" s="63">
        <v>112.0</v>
      </c>
      <c r="U95" s="63">
        <v>1092.0</v>
      </c>
      <c r="V95" s="63">
        <v>4592.0</v>
      </c>
      <c r="W95" s="63">
        <v>4788.0</v>
      </c>
      <c r="X95" s="63">
        <v>0.0</v>
      </c>
      <c r="Y95" s="63">
        <v>1036.0</v>
      </c>
      <c r="Z95" s="63"/>
      <c r="AA95" s="63"/>
      <c r="AB95" s="63"/>
      <c r="AC95" s="63"/>
      <c r="AD95" s="63"/>
      <c r="AW95" s="43"/>
    </row>
    <row r="96" ht="15.75" customHeight="1">
      <c r="A96" s="63"/>
      <c r="B96" s="69" t="s">
        <v>97</v>
      </c>
      <c r="C96" s="69" t="s">
        <v>98</v>
      </c>
      <c r="D96" s="69" t="s">
        <v>99</v>
      </c>
      <c r="E96" s="69" t="s">
        <v>100</v>
      </c>
      <c r="F96" s="69" t="s">
        <v>95</v>
      </c>
      <c r="G96" s="69" t="s">
        <v>96</v>
      </c>
      <c r="J96" s="43"/>
      <c r="Q96" s="29" t="s">
        <v>67</v>
      </c>
      <c r="R96" s="60" t="str">
        <f>R95*52</f>
        <v>#NAME?</v>
      </c>
      <c r="S96" s="43"/>
      <c r="T96" s="63">
        <v>0.0</v>
      </c>
      <c r="U96" s="63">
        <v>448.0</v>
      </c>
      <c r="V96" s="63">
        <v>3976.0</v>
      </c>
      <c r="W96" s="63">
        <v>0.0</v>
      </c>
      <c r="X96" s="63">
        <v>364.0</v>
      </c>
      <c r="Y96" s="63">
        <v>0.0</v>
      </c>
      <c r="Z96" s="63"/>
      <c r="AA96" s="63"/>
      <c r="AB96" s="63"/>
      <c r="AC96" s="63"/>
      <c r="AD96" s="63"/>
      <c r="AW96" s="43"/>
    </row>
    <row r="97" ht="15.75" customHeight="1">
      <c r="A97" s="63"/>
      <c r="B97" s="69" t="s">
        <v>113</v>
      </c>
      <c r="C97" s="69" t="s">
        <v>114</v>
      </c>
      <c r="D97" s="69" t="s">
        <v>115</v>
      </c>
      <c r="E97" s="69" t="s">
        <v>116</v>
      </c>
      <c r="F97" s="69" t="s">
        <v>117</v>
      </c>
      <c r="G97" s="69" t="s">
        <v>118</v>
      </c>
      <c r="J97" s="43"/>
      <c r="S97" s="43"/>
      <c r="T97" s="63">
        <v>3192.0</v>
      </c>
      <c r="U97" s="63">
        <v>2352.0</v>
      </c>
      <c r="V97" s="63">
        <v>6888.0</v>
      </c>
      <c r="W97" s="63">
        <v>1540.0</v>
      </c>
      <c r="X97" s="63">
        <v>9744.0</v>
      </c>
      <c r="Y97" s="63">
        <v>3192.0</v>
      </c>
      <c r="Z97" s="63"/>
      <c r="AA97" s="63"/>
      <c r="AB97" s="63"/>
      <c r="AC97" s="63"/>
      <c r="AD97" s="63"/>
      <c r="AW97" s="43"/>
    </row>
    <row r="98" ht="15.75" customHeight="1">
      <c r="A98" s="63"/>
      <c r="B98" s="69" t="s">
        <v>108</v>
      </c>
      <c r="C98" s="69" t="s">
        <v>109</v>
      </c>
      <c r="D98" s="69" t="s">
        <v>110</v>
      </c>
      <c r="E98" s="69" t="s">
        <v>111</v>
      </c>
      <c r="F98" s="69" t="s">
        <v>112</v>
      </c>
      <c r="G98" s="69" t="s">
        <v>107</v>
      </c>
      <c r="J98" s="43"/>
      <c r="S98" s="43"/>
      <c r="T98" s="63">
        <v>700.0</v>
      </c>
      <c r="U98" s="63">
        <v>5292.0</v>
      </c>
      <c r="V98" s="63">
        <v>7700.0</v>
      </c>
      <c r="W98" s="63">
        <v>1484.0</v>
      </c>
      <c r="X98" s="63">
        <v>1456.0</v>
      </c>
      <c r="Y98" s="63">
        <v>364.0</v>
      </c>
      <c r="Z98" s="63"/>
      <c r="AA98" s="63"/>
      <c r="AB98" s="63"/>
      <c r="AC98" s="63"/>
      <c r="AD98" s="63"/>
      <c r="AW98" s="43"/>
    </row>
    <row r="99" ht="15.75" customHeight="1">
      <c r="A99" s="63"/>
      <c r="B99" s="69" t="s">
        <v>103</v>
      </c>
      <c r="C99" s="69" t="s">
        <v>104</v>
      </c>
      <c r="D99" s="69" t="s">
        <v>105</v>
      </c>
      <c r="E99" s="69" t="s">
        <v>106</v>
      </c>
      <c r="F99" s="69" t="s">
        <v>101</v>
      </c>
      <c r="G99" s="69" t="s">
        <v>102</v>
      </c>
      <c r="J99" s="43"/>
      <c r="S99" s="43"/>
      <c r="T99" s="63">
        <v>1092.0</v>
      </c>
      <c r="U99" s="63">
        <v>4592.0</v>
      </c>
      <c r="V99" s="63">
        <v>4788.0</v>
      </c>
      <c r="W99" s="63">
        <v>0.0</v>
      </c>
      <c r="X99" s="63">
        <v>1036.0</v>
      </c>
      <c r="Y99" s="63">
        <v>112.0</v>
      </c>
      <c r="Z99" s="63"/>
      <c r="AA99" s="63"/>
      <c r="AB99" s="63"/>
      <c r="AC99" s="63"/>
      <c r="AD99" s="63"/>
      <c r="AW99" s="43"/>
    </row>
    <row r="100" ht="15.75" customHeight="1">
      <c r="A100" s="63"/>
      <c r="B100" s="69" t="s">
        <v>98</v>
      </c>
      <c r="C100" s="69" t="s">
        <v>99</v>
      </c>
      <c r="D100" s="69" t="s">
        <v>100</v>
      </c>
      <c r="E100" s="69" t="s">
        <v>95</v>
      </c>
      <c r="F100" s="69" t="s">
        <v>96</v>
      </c>
      <c r="G100" s="69" t="s">
        <v>97</v>
      </c>
      <c r="J100" s="43"/>
      <c r="S100" s="43"/>
      <c r="T100" s="63">
        <v>448.0</v>
      </c>
      <c r="U100" s="63">
        <v>3976.0</v>
      </c>
      <c r="V100" s="63">
        <v>0.0</v>
      </c>
      <c r="W100" s="63">
        <v>364.0</v>
      </c>
      <c r="X100" s="63">
        <v>0.0</v>
      </c>
      <c r="Y100" s="63">
        <v>0.0</v>
      </c>
      <c r="Z100" s="63"/>
      <c r="AA100" s="63"/>
      <c r="AB100" s="63"/>
      <c r="AC100" s="63"/>
      <c r="AD100" s="63"/>
      <c r="AW100" s="43"/>
    </row>
    <row r="101" ht="15.75" customHeight="1">
      <c r="J101" s="43"/>
      <c r="K101" s="64" t="s">
        <v>82</v>
      </c>
      <c r="L101" s="20"/>
      <c r="M101" s="20"/>
      <c r="N101" s="20"/>
      <c r="O101" s="20"/>
      <c r="P101" s="21"/>
      <c r="S101" s="43"/>
      <c r="T101" s="29">
        <v>23520.0</v>
      </c>
      <c r="U101" s="29">
        <v>39200.0</v>
      </c>
      <c r="V101" s="29">
        <v>39172.0</v>
      </c>
      <c r="W101" s="29">
        <v>39144.0</v>
      </c>
      <c r="X101" s="29">
        <v>39144.0</v>
      </c>
      <c r="Y101" s="29">
        <v>39172.0</v>
      </c>
      <c r="AW101" s="43"/>
    </row>
    <row r="102" ht="15.75" customHeight="1">
      <c r="J102" s="43"/>
      <c r="K102" s="66" t="s">
        <v>83</v>
      </c>
      <c r="L102" s="66" t="s">
        <v>84</v>
      </c>
      <c r="M102" s="66" t="s">
        <v>85</v>
      </c>
      <c r="N102" s="66" t="s">
        <v>86</v>
      </c>
      <c r="O102" s="66" t="s">
        <v>87</v>
      </c>
      <c r="P102" s="66" t="s">
        <v>88</v>
      </c>
      <c r="S102" s="43"/>
      <c r="T102" s="29" t="s">
        <v>119</v>
      </c>
      <c r="AW102" s="43"/>
    </row>
    <row r="103" ht="15.75" customHeight="1">
      <c r="J103" s="43"/>
      <c r="K103" s="68">
        <f>R146+U10*2+AD30*4</f>
        <v>18968</v>
      </c>
      <c r="L103" s="68">
        <f>R147</f>
        <v>19880</v>
      </c>
      <c r="M103" s="68">
        <f>R145+U9*2</f>
        <v>4872</v>
      </c>
      <c r="N103" s="68">
        <f>R144+U8*2+AD28*4+AD38*4</f>
        <v>17248</v>
      </c>
      <c r="O103" s="68">
        <f>R143+U7*2+AD27*4+AD37*4</f>
        <v>18528</v>
      </c>
      <c r="P103" s="68">
        <f>R142+U6*2+AD36*4</f>
        <v>33418</v>
      </c>
      <c r="S103" s="43"/>
      <c r="AW103" s="43"/>
    </row>
    <row r="104" ht="15.75" customHeight="1">
      <c r="J104" s="43"/>
      <c r="K104" s="68">
        <f>Q145</f>
        <v>420</v>
      </c>
      <c r="L104" s="68">
        <f>O144</f>
        <v>0</v>
      </c>
      <c r="M104" s="68">
        <f>N143</f>
        <v>0</v>
      </c>
      <c r="N104" s="68">
        <f>M142</f>
        <v>0</v>
      </c>
      <c r="O104" s="68">
        <f t="shared" ref="O104:O105" si="225">L146</f>
        <v>3052</v>
      </c>
      <c r="P104" s="69">
        <v>0.0</v>
      </c>
      <c r="S104" s="43"/>
      <c r="AW104" s="43"/>
    </row>
    <row r="105" ht="15.75" customHeight="1">
      <c r="J105" s="43"/>
      <c r="K105" s="68">
        <f>Q144</f>
        <v>1008</v>
      </c>
      <c r="L105" s="68">
        <f>O143</f>
        <v>0</v>
      </c>
      <c r="M105" s="68">
        <f>N142</f>
        <v>616</v>
      </c>
      <c r="N105" s="68">
        <f>M146</f>
        <v>5516</v>
      </c>
      <c r="O105" s="68">
        <f t="shared" si="225"/>
        <v>3696</v>
      </c>
      <c r="P105" s="68">
        <f>P145</f>
        <v>0</v>
      </c>
      <c r="S105" s="43"/>
      <c r="AW105" s="43"/>
    </row>
    <row r="106" ht="15.75" customHeight="1">
      <c r="A106" s="57"/>
      <c r="B106" s="42" t="s">
        <v>121</v>
      </c>
      <c r="C106" s="20"/>
      <c r="D106" s="20"/>
      <c r="E106" s="20"/>
      <c r="F106" s="20"/>
      <c r="G106" s="20"/>
      <c r="H106" s="21"/>
      <c r="J106" s="43"/>
      <c r="K106" s="68">
        <f>O144</f>
        <v>0</v>
      </c>
      <c r="L106" s="68">
        <f>N143</f>
        <v>0</v>
      </c>
      <c r="M106" s="68">
        <f>M142</f>
        <v>0</v>
      </c>
      <c r="N106" s="68">
        <f>L146</f>
        <v>3052</v>
      </c>
      <c r="O106" s="69">
        <v>0.0</v>
      </c>
      <c r="P106" s="68">
        <f>Q145</f>
        <v>420</v>
      </c>
      <c r="S106" s="43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W106" s="43"/>
    </row>
    <row r="107" ht="15.75" customHeight="1">
      <c r="A107" s="57"/>
      <c r="B107" s="72" t="s">
        <v>42</v>
      </c>
      <c r="C107" s="73" t="s">
        <v>25</v>
      </c>
      <c r="D107" s="73" t="s">
        <v>28</v>
      </c>
      <c r="E107" s="73" t="s">
        <v>9</v>
      </c>
      <c r="F107" s="73" t="s">
        <v>33</v>
      </c>
      <c r="G107" s="73" t="s">
        <v>8</v>
      </c>
      <c r="H107" s="73" t="s">
        <v>31</v>
      </c>
      <c r="J107" s="43"/>
      <c r="K107" s="68">
        <f>Q143</f>
        <v>420</v>
      </c>
      <c r="L107" s="68">
        <f>O142</f>
        <v>868</v>
      </c>
      <c r="M107" s="68">
        <f>N146</f>
        <v>6524</v>
      </c>
      <c r="N107" s="68">
        <f>M147</f>
        <v>7280</v>
      </c>
      <c r="O107" s="68">
        <f>L145</f>
        <v>1820</v>
      </c>
      <c r="P107" s="68">
        <f>P144</f>
        <v>700</v>
      </c>
      <c r="S107" s="43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W107" s="43"/>
    </row>
    <row r="108" ht="15.75" customHeight="1">
      <c r="A108" s="50"/>
      <c r="B108" s="54" t="s">
        <v>25</v>
      </c>
      <c r="C108" s="74">
        <v>0.0</v>
      </c>
      <c r="D108" s="74">
        <v>0.0</v>
      </c>
      <c r="E108" s="74">
        <v>0.1364918693827453</v>
      </c>
      <c r="F108" s="74">
        <v>0.4641572625400992</v>
      </c>
      <c r="G108" s="74">
        <v>0.9212026781130204</v>
      </c>
      <c r="H108" s="74">
        <v>1.0</v>
      </c>
      <c r="J108" s="43"/>
      <c r="K108" s="68">
        <f>O143</f>
        <v>0</v>
      </c>
      <c r="L108" s="68">
        <f>N142</f>
        <v>616</v>
      </c>
      <c r="M108" s="68">
        <f>M146</f>
        <v>5516</v>
      </c>
      <c r="N108" s="68">
        <f>L147</f>
        <v>3696</v>
      </c>
      <c r="O108" s="68">
        <f>P145</f>
        <v>0</v>
      </c>
      <c r="P108" s="68">
        <f>Q144</f>
        <v>1008</v>
      </c>
      <c r="S108" s="43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W108" s="43"/>
    </row>
    <row r="109" ht="15.75" customHeight="1">
      <c r="A109" s="50"/>
      <c r="B109" s="54" t="s">
        <v>28</v>
      </c>
      <c r="C109" s="74">
        <v>0.9988169662966084</v>
      </c>
      <c r="D109" s="74">
        <v>0.0</v>
      </c>
      <c r="E109" s="74">
        <v>0.008738309119475958</v>
      </c>
      <c r="F109" s="74">
        <v>0.06872253395043465</v>
      </c>
      <c r="G109" s="74">
        <v>0.3442971058108072</v>
      </c>
      <c r="H109" s="74">
        <v>0.10983109291084395</v>
      </c>
      <c r="J109" s="43"/>
      <c r="K109" s="68">
        <f>N143</f>
        <v>0</v>
      </c>
      <c r="L109" s="68">
        <f>M142</f>
        <v>0</v>
      </c>
      <c r="M109" s="68">
        <f>L146</f>
        <v>3052</v>
      </c>
      <c r="N109" s="69">
        <v>0.0</v>
      </c>
      <c r="O109" s="68">
        <f>Q145</f>
        <v>420</v>
      </c>
      <c r="P109" s="68">
        <f>O144</f>
        <v>0</v>
      </c>
      <c r="S109" s="43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W109" s="43"/>
    </row>
    <row r="110" ht="15.75" customHeight="1">
      <c r="A110" s="50"/>
      <c r="B110" s="54" t="s">
        <v>9</v>
      </c>
      <c r="C110" s="74">
        <v>0.527634066777961</v>
      </c>
      <c r="D110" s="74">
        <v>0.5530235334823489</v>
      </c>
      <c r="E110" s="74">
        <v>0.0</v>
      </c>
      <c r="F110" s="74">
        <v>0.0027778396291823046</v>
      </c>
      <c r="G110" s="74">
        <v>0.073406173853496</v>
      </c>
      <c r="H110" s="74">
        <v>0.3738332350943356</v>
      </c>
      <c r="J110" s="43"/>
      <c r="K110" s="68">
        <f>Q142</f>
        <v>3220</v>
      </c>
      <c r="L110" s="68">
        <f>O146</f>
        <v>2744</v>
      </c>
      <c r="M110" s="68">
        <f>N147</f>
        <v>7448</v>
      </c>
      <c r="N110" s="68">
        <f>M145</f>
        <v>1540</v>
      </c>
      <c r="O110" s="68">
        <f>L144</f>
        <v>11424</v>
      </c>
      <c r="P110" s="68">
        <f>P143</f>
        <v>3164</v>
      </c>
      <c r="S110" s="43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W110" s="43"/>
    </row>
    <row r="111" ht="15.75" customHeight="1">
      <c r="A111" s="50"/>
      <c r="B111" s="54" t="s">
        <v>33</v>
      </c>
      <c r="C111" s="74">
        <v>0.46146158573890045</v>
      </c>
      <c r="D111" s="74">
        <v>0.9192479523219417</v>
      </c>
      <c r="E111" s="74">
        <v>0.9610693398332255</v>
      </c>
      <c r="F111" s="74">
        <v>0.0</v>
      </c>
      <c r="G111" s="74">
        <v>0.001783125038494299</v>
      </c>
      <c r="H111" s="74">
        <v>0.28979910969495015</v>
      </c>
      <c r="J111" s="43"/>
      <c r="K111" s="68">
        <f>O142</f>
        <v>868</v>
      </c>
      <c r="L111" s="68">
        <f>N146</f>
        <v>6524</v>
      </c>
      <c r="M111" s="68">
        <f>M147</f>
        <v>7280</v>
      </c>
      <c r="N111" s="68">
        <f>L145</f>
        <v>1820</v>
      </c>
      <c r="O111" s="68">
        <f>P144</f>
        <v>700</v>
      </c>
      <c r="P111" s="68">
        <f>Q143</f>
        <v>420</v>
      </c>
      <c r="S111" s="43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W111" s="43"/>
    </row>
    <row r="112" ht="15.75" customHeight="1">
      <c r="A112" s="50"/>
      <c r="B112" s="54" t="s">
        <v>8</v>
      </c>
      <c r="C112" s="74">
        <v>0.12722359205841022</v>
      </c>
      <c r="D112" s="74">
        <v>0.3249510787525276</v>
      </c>
      <c r="E112" s="74">
        <v>0.3192085824896564</v>
      </c>
      <c r="F112" s="74">
        <v>0.7540160280225341</v>
      </c>
      <c r="G112" s="74">
        <v>0.0</v>
      </c>
      <c r="H112" s="74">
        <v>0.3505935746262906</v>
      </c>
      <c r="J112" s="43"/>
      <c r="K112" s="68">
        <f>N142</f>
        <v>616</v>
      </c>
      <c r="L112" s="68">
        <f>M146</f>
        <v>5516</v>
      </c>
      <c r="M112" s="68">
        <f>L147</f>
        <v>3696</v>
      </c>
      <c r="N112" s="68">
        <f>P145</f>
        <v>0</v>
      </c>
      <c r="O112" s="68">
        <f>Q144</f>
        <v>1008</v>
      </c>
      <c r="P112" s="68">
        <f>O143</f>
        <v>0</v>
      </c>
      <c r="S112" s="43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W112" s="43"/>
    </row>
    <row r="113" ht="15.75" customHeight="1">
      <c r="A113" s="50"/>
      <c r="B113" s="54" t="s">
        <v>31</v>
      </c>
      <c r="C113" s="74">
        <v>0.18944883993373204</v>
      </c>
      <c r="D113" s="74">
        <v>0.4752485318815492</v>
      </c>
      <c r="E113" s="74">
        <v>0.3576035643045301</v>
      </c>
      <c r="F113" s="74">
        <v>0.35397708948965617</v>
      </c>
      <c r="G113" s="74">
        <v>0.7188823475115227</v>
      </c>
      <c r="H113" s="74">
        <v>0.0</v>
      </c>
      <c r="J113" s="43"/>
      <c r="K113" s="68">
        <f>M142</f>
        <v>0</v>
      </c>
      <c r="L113" s="68">
        <f>L146</f>
        <v>3052</v>
      </c>
      <c r="M113" s="69">
        <v>0.0</v>
      </c>
      <c r="N113" s="68">
        <f>Q145</f>
        <v>420</v>
      </c>
      <c r="O113" s="68">
        <f>O144</f>
        <v>0</v>
      </c>
      <c r="P113" s="68">
        <f>N143</f>
        <v>0</v>
      </c>
      <c r="S113" s="43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W113" s="43"/>
    </row>
    <row r="114" ht="15.75" customHeight="1">
      <c r="J114" s="43"/>
      <c r="K114" s="70">
        <f t="shared" ref="K114:P114" si="226">SUM(K103:K113)</f>
        <v>25520</v>
      </c>
      <c r="L114" s="70">
        <f t="shared" si="226"/>
        <v>39200</v>
      </c>
      <c r="M114" s="70">
        <f t="shared" si="226"/>
        <v>39004</v>
      </c>
      <c r="N114" s="70">
        <f t="shared" si="226"/>
        <v>40572</v>
      </c>
      <c r="O114" s="70">
        <f t="shared" si="226"/>
        <v>40648</v>
      </c>
      <c r="P114" s="70">
        <f t="shared" si="226"/>
        <v>39130</v>
      </c>
      <c r="Q114" s="29"/>
      <c r="S114" s="43"/>
      <c r="AW114" s="43"/>
    </row>
    <row r="115" ht="15.75" customHeight="1">
      <c r="J115" s="43"/>
      <c r="K115" s="71" t="s">
        <v>119</v>
      </c>
      <c r="L115" s="20"/>
      <c r="M115" s="20"/>
      <c r="N115" s="20"/>
      <c r="O115" s="20"/>
      <c r="P115" s="21"/>
      <c r="S115" s="43"/>
      <c r="AW115" s="43"/>
    </row>
    <row r="116" ht="15.75" customHeight="1">
      <c r="J116" s="43"/>
      <c r="S116" s="43"/>
      <c r="AW116" s="43"/>
    </row>
    <row r="117" ht="15.75" customHeight="1">
      <c r="J117" s="43"/>
      <c r="S117" s="43"/>
      <c r="AW117" s="43"/>
    </row>
    <row r="118" ht="15.75" customHeight="1">
      <c r="J118" s="43"/>
      <c r="K118" s="42" t="s">
        <v>120</v>
      </c>
      <c r="L118" s="20"/>
      <c r="M118" s="20"/>
      <c r="N118" s="20"/>
      <c r="O118" s="20"/>
      <c r="P118" s="20"/>
      <c r="Q118" s="20"/>
      <c r="R118" s="21"/>
      <c r="S118" s="43"/>
      <c r="AW118" s="43"/>
    </row>
    <row r="119" ht="15.75" customHeight="1">
      <c r="J119" s="43"/>
      <c r="K119" s="4" t="s">
        <v>42</v>
      </c>
      <c r="L119" s="4" t="s">
        <v>25</v>
      </c>
      <c r="M119" s="4" t="s">
        <v>28</v>
      </c>
      <c r="N119" s="4" t="s">
        <v>9</v>
      </c>
      <c r="O119" s="49" t="s">
        <v>33</v>
      </c>
      <c r="P119" s="4" t="s">
        <v>8</v>
      </c>
      <c r="Q119" s="4" t="s">
        <v>31</v>
      </c>
      <c r="R119" s="4" t="s">
        <v>43</v>
      </c>
      <c r="S119" s="43"/>
      <c r="AW119" s="43"/>
    </row>
    <row r="120" ht="15.75" customHeight="1">
      <c r="J120" s="43"/>
      <c r="K120" s="26" t="s">
        <v>25</v>
      </c>
      <c r="L120" s="27">
        <f t="shared" ref="L120:L125" si="228">L79</f>
        <v>0</v>
      </c>
      <c r="M120" s="27">
        <f t="shared" ref="M120:Q120" si="227">M69</f>
        <v>150</v>
      </c>
      <c r="N120" s="27">
        <f t="shared" si="227"/>
        <v>164</v>
      </c>
      <c r="O120" s="27">
        <f t="shared" si="227"/>
        <v>67</v>
      </c>
      <c r="P120" s="27">
        <f t="shared" si="227"/>
        <v>1106</v>
      </c>
      <c r="Q120" s="27">
        <f t="shared" si="227"/>
        <v>115</v>
      </c>
      <c r="R120" s="27">
        <f t="shared" ref="R120:R125" si="230">SUM(L120:Q120)</f>
        <v>1602</v>
      </c>
      <c r="S120" s="43"/>
      <c r="AW120" s="43"/>
    </row>
    <row r="121" ht="15.75" customHeight="1">
      <c r="J121" s="43"/>
      <c r="K121" s="26" t="s">
        <v>28</v>
      </c>
      <c r="L121" s="27">
        <f t="shared" si="228"/>
        <v>458</v>
      </c>
      <c r="M121" s="27">
        <f t="shared" ref="M121:Q121" si="229">M70</f>
        <v>0</v>
      </c>
      <c r="N121" s="27">
        <f t="shared" si="229"/>
        <v>53</v>
      </c>
      <c r="O121" s="27">
        <f t="shared" si="229"/>
        <v>11</v>
      </c>
      <c r="P121" s="27">
        <f t="shared" si="229"/>
        <v>330</v>
      </c>
      <c r="Q121" s="27">
        <f t="shared" si="229"/>
        <v>140</v>
      </c>
      <c r="R121" s="27">
        <f t="shared" si="230"/>
        <v>992</v>
      </c>
      <c r="S121" s="43"/>
      <c r="AW121" s="43"/>
    </row>
    <row r="122" ht="15.75" customHeight="1">
      <c r="J122" s="43"/>
      <c r="K122" s="26" t="s">
        <v>9</v>
      </c>
      <c r="L122" s="27">
        <f t="shared" si="228"/>
        <v>774</v>
      </c>
      <c r="M122" s="27">
        <f t="shared" ref="M122:Q122" si="231">M71</f>
        <v>133</v>
      </c>
      <c r="N122" s="27">
        <f t="shared" si="231"/>
        <v>0</v>
      </c>
      <c r="O122" s="27">
        <f t="shared" si="231"/>
        <v>69</v>
      </c>
      <c r="P122" s="27">
        <f t="shared" si="231"/>
        <v>352</v>
      </c>
      <c r="Q122" s="27">
        <f t="shared" si="231"/>
        <v>98</v>
      </c>
      <c r="R122" s="27">
        <f t="shared" si="230"/>
        <v>1426</v>
      </c>
      <c r="S122" s="43"/>
      <c r="AW122" s="43"/>
    </row>
    <row r="123" ht="15.75" customHeight="1">
      <c r="J123" s="43"/>
      <c r="K123" s="26" t="s">
        <v>33</v>
      </c>
      <c r="L123" s="27">
        <f t="shared" si="228"/>
        <v>141</v>
      </c>
      <c r="M123" s="27">
        <f t="shared" ref="M123:Q123" si="232">M72</f>
        <v>60</v>
      </c>
      <c r="N123" s="27">
        <f t="shared" si="232"/>
        <v>45</v>
      </c>
      <c r="O123" s="27">
        <f t="shared" si="232"/>
        <v>0</v>
      </c>
      <c r="P123" s="27">
        <f t="shared" si="232"/>
        <v>426</v>
      </c>
      <c r="Q123" s="27">
        <f t="shared" si="232"/>
        <v>54</v>
      </c>
      <c r="R123" s="27">
        <f t="shared" si="230"/>
        <v>726</v>
      </c>
      <c r="S123" s="43"/>
      <c r="AW123" s="43"/>
    </row>
    <row r="124" ht="15.75" customHeight="1">
      <c r="J124" s="43"/>
      <c r="K124" s="26" t="s">
        <v>8</v>
      </c>
      <c r="L124" s="27">
        <f t="shared" si="228"/>
        <v>860</v>
      </c>
      <c r="M124" s="27">
        <f t="shared" ref="M124:Q124" si="233">M73</f>
        <v>607</v>
      </c>
      <c r="N124" s="27">
        <f t="shared" si="233"/>
        <v>732</v>
      </c>
      <c r="O124" s="27">
        <f t="shared" si="233"/>
        <v>130</v>
      </c>
      <c r="P124" s="27">
        <f t="shared" si="233"/>
        <v>0</v>
      </c>
      <c r="Q124" s="27">
        <f t="shared" si="233"/>
        <v>0</v>
      </c>
      <c r="R124" s="27">
        <f t="shared" si="230"/>
        <v>2329</v>
      </c>
      <c r="S124" s="43"/>
      <c r="AW124" s="43"/>
    </row>
    <row r="125" ht="15.75" customHeight="1">
      <c r="A125" s="57"/>
      <c r="B125" s="42" t="s">
        <v>78</v>
      </c>
      <c r="C125" s="20"/>
      <c r="D125" s="20"/>
      <c r="E125" s="20"/>
      <c r="F125" s="20"/>
      <c r="G125" s="20"/>
      <c r="H125" s="58"/>
      <c r="J125" s="43"/>
      <c r="K125" s="26" t="s">
        <v>31</v>
      </c>
      <c r="L125" s="27">
        <f t="shared" si="228"/>
        <v>698</v>
      </c>
      <c r="M125" s="27">
        <f t="shared" ref="M125:Q125" si="234">M74</f>
        <v>548</v>
      </c>
      <c r="N125" s="27">
        <f t="shared" si="234"/>
        <v>744</v>
      </c>
      <c r="O125" s="27">
        <f t="shared" si="234"/>
        <v>148</v>
      </c>
      <c r="P125" s="27">
        <f t="shared" si="234"/>
        <v>0</v>
      </c>
      <c r="Q125" s="27">
        <f t="shared" si="234"/>
        <v>0</v>
      </c>
      <c r="R125" s="27">
        <f t="shared" si="230"/>
        <v>2138</v>
      </c>
      <c r="S125" s="43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W125" s="43"/>
    </row>
    <row r="126" ht="15.75" customHeight="1">
      <c r="A126" s="48"/>
      <c r="B126" s="4" t="s">
        <v>42</v>
      </c>
      <c r="C126" s="4" t="s">
        <v>25</v>
      </c>
      <c r="D126" s="4" t="s">
        <v>28</v>
      </c>
      <c r="E126" s="4" t="s">
        <v>9</v>
      </c>
      <c r="F126" s="49" t="s">
        <v>33</v>
      </c>
      <c r="G126" s="4" t="s">
        <v>8</v>
      </c>
      <c r="H126" s="4" t="s">
        <v>31</v>
      </c>
      <c r="J126" s="43"/>
      <c r="K126" s="32" t="s">
        <v>48</v>
      </c>
      <c r="L126" s="33">
        <f t="shared" ref="L126:R126" si="235">SUM(L120:L125)</f>
        <v>2931</v>
      </c>
      <c r="M126" s="33">
        <f t="shared" si="235"/>
        <v>1498</v>
      </c>
      <c r="N126" s="33">
        <f t="shared" si="235"/>
        <v>1738</v>
      </c>
      <c r="O126" s="33">
        <f t="shared" si="235"/>
        <v>425</v>
      </c>
      <c r="P126" s="33">
        <f t="shared" si="235"/>
        <v>2214</v>
      </c>
      <c r="Q126" s="33">
        <f t="shared" si="235"/>
        <v>407</v>
      </c>
      <c r="R126" s="33">
        <f t="shared" si="235"/>
        <v>9213</v>
      </c>
      <c r="S126" s="43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W126" s="43"/>
    </row>
    <row r="127" ht="15.75" customHeight="1">
      <c r="A127" s="50"/>
      <c r="B127" s="26" t="s">
        <v>25</v>
      </c>
      <c r="C127" s="56">
        <f t="shared" ref="C127:H127" si="236">C76*L131</f>
        <v>0</v>
      </c>
      <c r="D127" s="56" t="str">
        <f t="shared" si="236"/>
        <v>#NAME?</v>
      </c>
      <c r="E127" s="56" t="str">
        <f t="shared" si="236"/>
        <v>#NAME?</v>
      </c>
      <c r="F127" s="56" t="str">
        <f t="shared" si="236"/>
        <v>#NAME?</v>
      </c>
      <c r="G127" s="56" t="str">
        <f t="shared" si="236"/>
        <v>#NAME?</v>
      </c>
      <c r="H127" s="56" t="str">
        <f t="shared" si="236"/>
        <v>#NAME?</v>
      </c>
      <c r="J127" s="43"/>
      <c r="S127" s="43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W127" s="43"/>
    </row>
    <row r="128" ht="15.75" customHeight="1">
      <c r="A128" s="50"/>
      <c r="B128" s="26" t="s">
        <v>28</v>
      </c>
      <c r="C128" s="56" t="str">
        <f t="shared" ref="C128:H128" si="237">C77*L132</f>
        <v>#NAME?</v>
      </c>
      <c r="D128" s="56">
        <f t="shared" si="237"/>
        <v>0</v>
      </c>
      <c r="E128" s="56" t="str">
        <f t="shared" si="237"/>
        <v>#NAME?</v>
      </c>
      <c r="F128" s="56" t="str">
        <f t="shared" si="237"/>
        <v>#NAME?</v>
      </c>
      <c r="G128" s="56" t="str">
        <f t="shared" si="237"/>
        <v>#NAME?</v>
      </c>
      <c r="H128" s="56" t="str">
        <f t="shared" si="237"/>
        <v>#NAME?</v>
      </c>
      <c r="J128" s="43"/>
      <c r="S128" s="43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W128" s="43"/>
    </row>
    <row r="129" ht="15.75" customHeight="1">
      <c r="A129" s="50"/>
      <c r="B129" s="26" t="s">
        <v>9</v>
      </c>
      <c r="C129" s="56" t="str">
        <f t="shared" ref="C129:H129" si="238">C78*L133</f>
        <v>#NAME?</v>
      </c>
      <c r="D129" s="56" t="str">
        <f t="shared" si="238"/>
        <v>#NAME?</v>
      </c>
      <c r="E129" s="56">
        <f t="shared" si="238"/>
        <v>0</v>
      </c>
      <c r="F129" s="56" t="str">
        <f t="shared" si="238"/>
        <v>#NAME?</v>
      </c>
      <c r="G129" s="56" t="str">
        <f t="shared" si="238"/>
        <v>#NAME?</v>
      </c>
      <c r="H129" s="56" t="str">
        <f t="shared" si="238"/>
        <v>#NAME?</v>
      </c>
      <c r="J129" s="43"/>
      <c r="K129" s="42" t="s">
        <v>122</v>
      </c>
      <c r="L129" s="20"/>
      <c r="M129" s="20"/>
      <c r="N129" s="20"/>
      <c r="O129" s="20"/>
      <c r="P129" s="20"/>
      <c r="Q129" s="20"/>
      <c r="R129" s="21"/>
      <c r="S129" s="43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W129" s="43"/>
    </row>
    <row r="130" ht="15.75" customHeight="1">
      <c r="A130" s="50"/>
      <c r="B130" s="26" t="s">
        <v>33</v>
      </c>
      <c r="C130" s="56" t="str">
        <f t="shared" ref="C130:H130" si="239">C79*L134</f>
        <v>#NAME?</v>
      </c>
      <c r="D130" s="56" t="str">
        <f t="shared" si="239"/>
        <v>#NAME?</v>
      </c>
      <c r="E130" s="56" t="str">
        <f t="shared" si="239"/>
        <v>#NAME?</v>
      </c>
      <c r="F130" s="56">
        <f t="shared" si="239"/>
        <v>0</v>
      </c>
      <c r="G130" s="56">
        <f t="shared" si="239"/>
        <v>0</v>
      </c>
      <c r="H130" s="56" t="str">
        <f t="shared" si="239"/>
        <v>#NAME?</v>
      </c>
      <c r="J130" s="43"/>
      <c r="K130" s="4" t="s">
        <v>42</v>
      </c>
      <c r="L130" s="4" t="s">
        <v>25</v>
      </c>
      <c r="M130" s="4" t="s">
        <v>28</v>
      </c>
      <c r="N130" s="4" t="s">
        <v>9</v>
      </c>
      <c r="O130" s="49" t="s">
        <v>33</v>
      </c>
      <c r="P130" s="4" t="s">
        <v>8</v>
      </c>
      <c r="Q130" s="4" t="s">
        <v>31</v>
      </c>
      <c r="R130" s="4" t="s">
        <v>43</v>
      </c>
      <c r="S130" s="43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W130" s="43"/>
    </row>
    <row r="131" ht="15.75" customHeight="1">
      <c r="A131" s="50"/>
      <c r="B131" s="26" t="s">
        <v>8</v>
      </c>
      <c r="C131" s="56" t="str">
        <f t="shared" ref="C131:H131" si="240">C80*L135</f>
        <v>#NAME?</v>
      </c>
      <c r="D131" s="56" t="str">
        <f t="shared" si="240"/>
        <v>#NAME?</v>
      </c>
      <c r="E131" s="56" t="str">
        <f t="shared" si="240"/>
        <v>#NAME?</v>
      </c>
      <c r="F131" s="56" t="str">
        <f t="shared" si="240"/>
        <v>#NAME?</v>
      </c>
      <c r="G131" s="56">
        <f t="shared" si="240"/>
        <v>0</v>
      </c>
      <c r="H131" s="56">
        <f t="shared" si="240"/>
        <v>0</v>
      </c>
      <c r="J131" s="43"/>
      <c r="K131" s="26" t="s">
        <v>25</v>
      </c>
      <c r="L131" s="27">
        <f t="shared" ref="L131:Q131" si="241">INT(C108*L120)</f>
        <v>0</v>
      </c>
      <c r="M131" s="27">
        <f t="shared" si="241"/>
        <v>0</v>
      </c>
      <c r="N131" s="27">
        <f t="shared" si="241"/>
        <v>22</v>
      </c>
      <c r="O131" s="27">
        <f t="shared" si="241"/>
        <v>31</v>
      </c>
      <c r="P131" s="27">
        <f t="shared" si="241"/>
        <v>1018</v>
      </c>
      <c r="Q131" s="27">
        <f t="shared" si="241"/>
        <v>115</v>
      </c>
      <c r="R131" s="27">
        <f t="shared" ref="R131:R136" si="244">SUM(L131:Q131)</f>
        <v>1186</v>
      </c>
      <c r="S131" s="43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W131" s="43"/>
    </row>
    <row r="132" ht="15.75" customHeight="1">
      <c r="A132" s="50"/>
      <c r="B132" s="26" t="s">
        <v>31</v>
      </c>
      <c r="C132" s="56" t="str">
        <f t="shared" ref="C132:H132" si="242">C81*L136</f>
        <v>#NAME?</v>
      </c>
      <c r="D132" s="56" t="str">
        <f t="shared" si="242"/>
        <v>#NAME?</v>
      </c>
      <c r="E132" s="56" t="str">
        <f t="shared" si="242"/>
        <v>#NAME?</v>
      </c>
      <c r="F132" s="56" t="str">
        <f t="shared" si="242"/>
        <v>#NAME?</v>
      </c>
      <c r="G132" s="56">
        <f t="shared" si="242"/>
        <v>0</v>
      </c>
      <c r="H132" s="56">
        <f t="shared" si="242"/>
        <v>0</v>
      </c>
      <c r="J132" s="43"/>
      <c r="K132" s="26" t="s">
        <v>28</v>
      </c>
      <c r="L132" s="27">
        <f t="shared" ref="L132:Q132" si="243">INT(C109*L121)</f>
        <v>457</v>
      </c>
      <c r="M132" s="27">
        <f t="shared" si="243"/>
        <v>0</v>
      </c>
      <c r="N132" s="27">
        <f t="shared" si="243"/>
        <v>0</v>
      </c>
      <c r="O132" s="27">
        <f t="shared" si="243"/>
        <v>0</v>
      </c>
      <c r="P132" s="27">
        <f t="shared" si="243"/>
        <v>113</v>
      </c>
      <c r="Q132" s="27">
        <f t="shared" si="243"/>
        <v>15</v>
      </c>
      <c r="R132" s="27">
        <f t="shared" si="244"/>
        <v>585</v>
      </c>
      <c r="S132" s="43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W132" s="43"/>
    </row>
    <row r="133" ht="15.75" customHeight="1">
      <c r="H133" s="29" t="s">
        <v>124</v>
      </c>
      <c r="I133" s="2" t="str">
        <f>SUM(C127:H132)</f>
        <v>#NAME?</v>
      </c>
      <c r="J133" s="43"/>
      <c r="K133" s="26" t="s">
        <v>9</v>
      </c>
      <c r="L133" s="27">
        <f t="shared" ref="L133:Q133" si="245">INT(C110*L122)</f>
        <v>408</v>
      </c>
      <c r="M133" s="27">
        <f t="shared" si="245"/>
        <v>73</v>
      </c>
      <c r="N133" s="27">
        <f t="shared" si="245"/>
        <v>0</v>
      </c>
      <c r="O133" s="27">
        <f t="shared" si="245"/>
        <v>0</v>
      </c>
      <c r="P133" s="27">
        <f t="shared" si="245"/>
        <v>25</v>
      </c>
      <c r="Q133" s="27">
        <f t="shared" si="245"/>
        <v>36</v>
      </c>
      <c r="R133" s="27">
        <f t="shared" si="244"/>
        <v>542</v>
      </c>
      <c r="S133" s="43"/>
      <c r="AW133" s="43"/>
    </row>
    <row r="134" ht="15.75" customHeight="1">
      <c r="H134" s="29" t="s">
        <v>67</v>
      </c>
      <c r="I134" s="2" t="str">
        <f>I133*52</f>
        <v>#NAME?</v>
      </c>
      <c r="J134" s="43"/>
      <c r="K134" s="26" t="s">
        <v>33</v>
      </c>
      <c r="L134" s="27">
        <f t="shared" ref="L134:Q134" si="246">INT(C111*L123)</f>
        <v>65</v>
      </c>
      <c r="M134" s="27">
        <f t="shared" si="246"/>
        <v>55</v>
      </c>
      <c r="N134" s="27">
        <f t="shared" si="246"/>
        <v>43</v>
      </c>
      <c r="O134" s="27">
        <f t="shared" si="246"/>
        <v>0</v>
      </c>
      <c r="P134" s="27">
        <f t="shared" si="246"/>
        <v>0</v>
      </c>
      <c r="Q134" s="27">
        <f t="shared" si="246"/>
        <v>15</v>
      </c>
      <c r="R134" s="27">
        <f t="shared" si="244"/>
        <v>178</v>
      </c>
      <c r="S134" s="43"/>
      <c r="AW134" s="43"/>
    </row>
    <row r="135" ht="15.75" customHeight="1">
      <c r="J135" s="43"/>
      <c r="K135" s="26" t="s">
        <v>8</v>
      </c>
      <c r="L135" s="27">
        <f t="shared" ref="L135:Q135" si="247">INT(C112*L124)</f>
        <v>109</v>
      </c>
      <c r="M135" s="27">
        <f t="shared" si="247"/>
        <v>197</v>
      </c>
      <c r="N135" s="27">
        <f t="shared" si="247"/>
        <v>233</v>
      </c>
      <c r="O135" s="27">
        <f t="shared" si="247"/>
        <v>98</v>
      </c>
      <c r="P135" s="27">
        <f t="shared" si="247"/>
        <v>0</v>
      </c>
      <c r="Q135" s="27">
        <f t="shared" si="247"/>
        <v>0</v>
      </c>
      <c r="R135" s="27">
        <f t="shared" si="244"/>
        <v>637</v>
      </c>
      <c r="S135" s="43"/>
      <c r="AW135" s="43"/>
    </row>
    <row r="136" ht="15.75" customHeight="1">
      <c r="J136" s="43"/>
      <c r="K136" s="26" t="s">
        <v>31</v>
      </c>
      <c r="L136" s="27">
        <f t="shared" ref="L136:Q136" si="248">INT(C113*L125)</f>
        <v>132</v>
      </c>
      <c r="M136" s="27">
        <f t="shared" si="248"/>
        <v>260</v>
      </c>
      <c r="N136" s="27">
        <f t="shared" si="248"/>
        <v>266</v>
      </c>
      <c r="O136" s="27">
        <f t="shared" si="248"/>
        <v>52</v>
      </c>
      <c r="P136" s="27">
        <f t="shared" si="248"/>
        <v>0</v>
      </c>
      <c r="Q136" s="27">
        <f t="shared" si="248"/>
        <v>0</v>
      </c>
      <c r="R136" s="27">
        <f t="shared" si="244"/>
        <v>710</v>
      </c>
      <c r="S136" s="43"/>
      <c r="AW136" s="43"/>
    </row>
    <row r="137" ht="15.75" customHeight="1">
      <c r="H137" s="2"/>
      <c r="J137" s="43"/>
      <c r="K137" s="32" t="s">
        <v>48</v>
      </c>
      <c r="L137" s="33">
        <f t="shared" ref="L137:R137" si="249">SUM(L131:L136)</f>
        <v>1171</v>
      </c>
      <c r="M137" s="33">
        <f t="shared" si="249"/>
        <v>585</v>
      </c>
      <c r="N137" s="33">
        <f t="shared" si="249"/>
        <v>564</v>
      </c>
      <c r="O137" s="33">
        <f t="shared" si="249"/>
        <v>181</v>
      </c>
      <c r="P137" s="33">
        <f t="shared" si="249"/>
        <v>1156</v>
      </c>
      <c r="Q137" s="33">
        <f t="shared" si="249"/>
        <v>181</v>
      </c>
      <c r="R137" s="33">
        <f t="shared" si="249"/>
        <v>3838</v>
      </c>
      <c r="S137" s="43"/>
      <c r="AW137" s="43"/>
    </row>
    <row r="138" ht="15.75" customHeight="1">
      <c r="J138" s="43"/>
      <c r="S138" s="43"/>
      <c r="AW138" s="43"/>
    </row>
    <row r="139" ht="15.75" customHeight="1">
      <c r="J139" s="43"/>
      <c r="S139" s="43"/>
      <c r="AW139" s="43"/>
    </row>
    <row r="140" ht="15.75" customHeight="1">
      <c r="J140" s="43"/>
      <c r="K140" s="42" t="s">
        <v>123</v>
      </c>
      <c r="L140" s="20"/>
      <c r="M140" s="20"/>
      <c r="N140" s="20"/>
      <c r="O140" s="20"/>
      <c r="P140" s="20"/>
      <c r="Q140" s="20"/>
      <c r="R140" s="21"/>
      <c r="S140" s="43"/>
      <c r="AW140" s="43"/>
    </row>
    <row r="141" ht="15.75" customHeight="1">
      <c r="J141" s="43"/>
      <c r="K141" s="4" t="s">
        <v>42</v>
      </c>
      <c r="L141" s="4" t="s">
        <v>25</v>
      </c>
      <c r="M141" s="4" t="s">
        <v>28</v>
      </c>
      <c r="N141" s="4" t="s">
        <v>9</v>
      </c>
      <c r="O141" s="49" t="s">
        <v>33</v>
      </c>
      <c r="P141" s="4" t="s">
        <v>8</v>
      </c>
      <c r="Q141" s="4" t="s">
        <v>31</v>
      </c>
      <c r="R141" s="4" t="s">
        <v>43</v>
      </c>
      <c r="S141" s="43"/>
      <c r="AW141" s="43"/>
    </row>
    <row r="142" ht="15.75" customHeight="1">
      <c r="J142" s="43"/>
      <c r="K142" s="26" t="s">
        <v>25</v>
      </c>
      <c r="L142" s="27">
        <f t="shared" ref="L142:Q142" si="250">L131*28</f>
        <v>0</v>
      </c>
      <c r="M142" s="75">
        <f t="shared" si="250"/>
        <v>0</v>
      </c>
      <c r="N142" s="75">
        <f t="shared" si="250"/>
        <v>616</v>
      </c>
      <c r="O142" s="75">
        <f t="shared" si="250"/>
        <v>868</v>
      </c>
      <c r="P142" s="75">
        <f t="shared" si="250"/>
        <v>28504</v>
      </c>
      <c r="Q142" s="75">
        <f t="shared" si="250"/>
        <v>3220</v>
      </c>
      <c r="R142" s="27">
        <f t="shared" ref="R142:R147" si="252">SUM(L142:Q142)</f>
        <v>33208</v>
      </c>
      <c r="S142" s="43"/>
      <c r="AW142" s="43"/>
    </row>
    <row r="143" ht="15.75" customHeight="1">
      <c r="J143" s="43"/>
      <c r="K143" s="26" t="s">
        <v>28</v>
      </c>
      <c r="L143" s="27">
        <f t="shared" ref="L143:Q143" si="251">L132*28</f>
        <v>12796</v>
      </c>
      <c r="M143" s="75">
        <f t="shared" si="251"/>
        <v>0</v>
      </c>
      <c r="N143" s="75">
        <f t="shared" si="251"/>
        <v>0</v>
      </c>
      <c r="O143" s="75">
        <f t="shared" si="251"/>
        <v>0</v>
      </c>
      <c r="P143" s="75">
        <f t="shared" si="251"/>
        <v>3164</v>
      </c>
      <c r="Q143" s="75">
        <f t="shared" si="251"/>
        <v>420</v>
      </c>
      <c r="R143" s="27">
        <f t="shared" si="252"/>
        <v>16380</v>
      </c>
      <c r="S143" s="43"/>
      <c r="AW143" s="43"/>
    </row>
    <row r="144" ht="15.75" customHeight="1">
      <c r="J144" s="43"/>
      <c r="K144" s="26" t="s">
        <v>9</v>
      </c>
      <c r="L144" s="27">
        <f t="shared" ref="L144:Q144" si="253">L133*28</f>
        <v>11424</v>
      </c>
      <c r="M144" s="75">
        <f t="shared" si="253"/>
        <v>2044</v>
      </c>
      <c r="N144" s="75">
        <f t="shared" si="253"/>
        <v>0</v>
      </c>
      <c r="O144" s="75">
        <f t="shared" si="253"/>
        <v>0</v>
      </c>
      <c r="P144" s="75">
        <f t="shared" si="253"/>
        <v>700</v>
      </c>
      <c r="Q144" s="75">
        <f t="shared" si="253"/>
        <v>1008</v>
      </c>
      <c r="R144" s="27">
        <f t="shared" si="252"/>
        <v>15176</v>
      </c>
      <c r="S144" s="43"/>
      <c r="AW144" s="43"/>
    </row>
    <row r="145" ht="15.75" customHeight="1">
      <c r="J145" s="43"/>
      <c r="K145" s="26" t="s">
        <v>33</v>
      </c>
      <c r="L145" s="27">
        <f t="shared" ref="L145:Q145" si="254">L134*28</f>
        <v>1820</v>
      </c>
      <c r="M145" s="75">
        <f t="shared" si="254"/>
        <v>1540</v>
      </c>
      <c r="N145" s="75">
        <f t="shared" si="254"/>
        <v>1204</v>
      </c>
      <c r="O145" s="75">
        <f t="shared" si="254"/>
        <v>0</v>
      </c>
      <c r="P145" s="75">
        <f t="shared" si="254"/>
        <v>0</v>
      </c>
      <c r="Q145" s="75">
        <f t="shared" si="254"/>
        <v>420</v>
      </c>
      <c r="R145" s="27">
        <f t="shared" si="252"/>
        <v>4984</v>
      </c>
      <c r="S145" s="43"/>
      <c r="AW145" s="43"/>
    </row>
    <row r="146" ht="15.75" customHeight="1">
      <c r="J146" s="43"/>
      <c r="K146" s="26" t="s">
        <v>8</v>
      </c>
      <c r="L146" s="27">
        <f t="shared" ref="L146:Q146" si="255">L135*28</f>
        <v>3052</v>
      </c>
      <c r="M146" s="27">
        <f t="shared" si="255"/>
        <v>5516</v>
      </c>
      <c r="N146" s="27">
        <f t="shared" si="255"/>
        <v>6524</v>
      </c>
      <c r="O146" s="27">
        <f t="shared" si="255"/>
        <v>2744</v>
      </c>
      <c r="P146" s="27">
        <f t="shared" si="255"/>
        <v>0</v>
      </c>
      <c r="Q146" s="27">
        <f t="shared" si="255"/>
        <v>0</v>
      </c>
      <c r="R146" s="27">
        <f t="shared" si="252"/>
        <v>17836</v>
      </c>
      <c r="S146" s="43"/>
      <c r="AW146" s="43"/>
    </row>
    <row r="147" ht="15.75" customHeight="1">
      <c r="J147" s="43"/>
      <c r="K147" s="26" t="s">
        <v>31</v>
      </c>
      <c r="L147" s="27">
        <f t="shared" ref="L147:Q147" si="256">L136*28</f>
        <v>3696</v>
      </c>
      <c r="M147" s="27">
        <f t="shared" si="256"/>
        <v>7280</v>
      </c>
      <c r="N147" s="27">
        <f t="shared" si="256"/>
        <v>7448</v>
      </c>
      <c r="O147" s="27">
        <f t="shared" si="256"/>
        <v>1456</v>
      </c>
      <c r="P147" s="27">
        <f t="shared" si="256"/>
        <v>0</v>
      </c>
      <c r="Q147" s="27">
        <f t="shared" si="256"/>
        <v>0</v>
      </c>
      <c r="R147" s="27">
        <f t="shared" si="252"/>
        <v>19880</v>
      </c>
      <c r="S147" s="43"/>
      <c r="AW147" s="43"/>
    </row>
    <row r="148" ht="15.75" customHeight="1">
      <c r="J148" s="43"/>
      <c r="K148" s="32" t="s">
        <v>48</v>
      </c>
      <c r="L148" s="33">
        <f t="shared" ref="L148:R148" si="257">SUM(L142:L147)</f>
        <v>32788</v>
      </c>
      <c r="M148" s="33">
        <f t="shared" si="257"/>
        <v>16380</v>
      </c>
      <c r="N148" s="33">
        <f t="shared" si="257"/>
        <v>15792</v>
      </c>
      <c r="O148" s="33">
        <f t="shared" si="257"/>
        <v>5068</v>
      </c>
      <c r="P148" s="33">
        <f t="shared" si="257"/>
        <v>32368</v>
      </c>
      <c r="Q148" s="33">
        <f t="shared" si="257"/>
        <v>5068</v>
      </c>
      <c r="R148" s="33">
        <f t="shared" si="257"/>
        <v>107464</v>
      </c>
      <c r="S148" s="43"/>
      <c r="AW148" s="43"/>
    </row>
    <row r="149" ht="15.75" customHeight="1">
      <c r="J149" s="43"/>
      <c r="S149" s="43"/>
      <c r="AW149" s="43"/>
    </row>
    <row r="150" ht="15.75" customHeight="1">
      <c r="J150" s="43"/>
      <c r="S150" s="43"/>
      <c r="AW150" s="43"/>
    </row>
    <row r="151" ht="15.75" customHeight="1"/>
    <row r="152" ht="15.75" customHeight="1"/>
    <row r="153" ht="15.75" customHeight="1"/>
    <row r="154" ht="15.0" customHeight="1">
      <c r="J154" s="42" t="s">
        <v>125</v>
      </c>
      <c r="K154" s="20"/>
      <c r="L154" s="20"/>
      <c r="M154" s="20"/>
      <c r="N154" s="58"/>
    </row>
    <row r="155" ht="15.0" customHeight="1">
      <c r="J155" s="76"/>
      <c r="K155" s="4" t="s">
        <v>29</v>
      </c>
      <c r="L155" s="4" t="s">
        <v>36</v>
      </c>
      <c r="M155" s="4" t="s">
        <v>7</v>
      </c>
      <c r="N155" s="49" t="s">
        <v>126</v>
      </c>
    </row>
    <row r="156" ht="15.0" customHeight="1">
      <c r="D156" s="29" t="s">
        <v>127</v>
      </c>
      <c r="J156" s="77" t="s">
        <v>128</v>
      </c>
      <c r="K156" s="78">
        <f>0.8*4.99</f>
        <v>3.992</v>
      </c>
      <c r="L156" s="79">
        <f>12*4.99</f>
        <v>59.88</v>
      </c>
      <c r="M156" s="79">
        <f>1.2*4.99</f>
        <v>5.988</v>
      </c>
      <c r="N156" s="79">
        <f>17*4.99</f>
        <v>84.83</v>
      </c>
    </row>
    <row r="157" ht="15.0" customHeight="1">
      <c r="D157" s="29" t="s">
        <v>129</v>
      </c>
      <c r="E157" s="29" t="s">
        <v>130</v>
      </c>
      <c r="F157" s="29" t="s">
        <v>131</v>
      </c>
      <c r="J157" s="77" t="s">
        <v>132</v>
      </c>
      <c r="K157" s="80">
        <f>3*(AD12+SUM(U6:U9))</f>
        <v>2412</v>
      </c>
      <c r="L157" s="75" t="str">
        <f>AA22*3</f>
        <v>#NAME?</v>
      </c>
      <c r="M157" s="75">
        <f>(AA32+SUM(AD27:AD30))*3</f>
        <v>3354</v>
      </c>
      <c r="N157" s="75" t="str">
        <f>3*(AA42+SUM(AD36:AD38))</f>
        <v>#NAME?</v>
      </c>
    </row>
    <row r="158" ht="15.0" customHeight="1">
      <c r="D158" s="29" t="s">
        <v>133</v>
      </c>
      <c r="E158" s="29" t="s">
        <v>130</v>
      </c>
      <c r="J158" s="77" t="s">
        <v>134</v>
      </c>
      <c r="K158" s="80">
        <f>K156*K157*365</f>
        <v>3514476.96</v>
      </c>
      <c r="L158" s="81" t="s">
        <v>135</v>
      </c>
      <c r="M158" s="75">
        <f t="shared" ref="M158:N158" si="258">M156*M157*365</f>
        <v>7330569.48</v>
      </c>
      <c r="N158" s="75" t="str">
        <f t="shared" si="258"/>
        <v>#NAME?</v>
      </c>
    </row>
    <row r="159" ht="15.0" customHeight="1">
      <c r="D159" s="29" t="s">
        <v>136</v>
      </c>
      <c r="J159" s="50"/>
    </row>
    <row r="160" ht="15.0" customHeight="1">
      <c r="D160" s="29" t="s">
        <v>137</v>
      </c>
    </row>
    <row r="161" ht="15.0" customHeight="1">
      <c r="D161" s="29" t="s">
        <v>138</v>
      </c>
    </row>
    <row r="162" ht="15.0" customHeight="1">
      <c r="D162" s="29" t="s">
        <v>139</v>
      </c>
      <c r="F162" s="29" t="s">
        <v>140</v>
      </c>
    </row>
    <row r="163" ht="15.0" customHeight="1">
      <c r="D163" s="29" t="s">
        <v>141</v>
      </c>
      <c r="E163" s="29" t="s">
        <v>131</v>
      </c>
    </row>
    <row r="164" ht="15.0" customHeight="1">
      <c r="J164" s="29">
        <f>2*5.6748</f>
        <v>11.3496</v>
      </c>
      <c r="L164" s="29">
        <f>2*496.5</f>
        <v>993</v>
      </c>
    </row>
    <row r="165" ht="15.75" customHeight="1"/>
    <row r="166" ht="15.75" customHeight="1"/>
    <row r="167" ht="15.75" customHeight="1"/>
    <row r="168" ht="15.75" customHeight="1"/>
    <row r="169" ht="15.0" customHeight="1">
      <c r="J169" s="42" t="s">
        <v>142</v>
      </c>
      <c r="K169" s="20"/>
      <c r="L169" s="20"/>
      <c r="M169" s="20"/>
      <c r="N169" s="20"/>
      <c r="O169" s="20"/>
      <c r="P169" s="58"/>
    </row>
    <row r="170" ht="15.0" customHeight="1">
      <c r="J170" s="4" t="s">
        <v>42</v>
      </c>
      <c r="K170" s="4" t="s">
        <v>25</v>
      </c>
      <c r="L170" s="4" t="s">
        <v>28</v>
      </c>
      <c r="M170" s="4" t="s">
        <v>9</v>
      </c>
      <c r="N170" s="49" t="s">
        <v>33</v>
      </c>
      <c r="O170" s="4" t="s">
        <v>8</v>
      </c>
      <c r="P170" s="4" t="s">
        <v>31</v>
      </c>
    </row>
    <row r="171" ht="15.0" customHeight="1">
      <c r="J171" s="26" t="s">
        <v>25</v>
      </c>
      <c r="K171" s="27"/>
      <c r="L171" s="27">
        <f>K172</f>
        <v>1787.472</v>
      </c>
      <c r="M171" s="27">
        <f>K173</f>
        <v>1685.3256</v>
      </c>
      <c r="N171" s="27">
        <f>K174</f>
        <v>1219.992</v>
      </c>
      <c r="O171" s="27">
        <f>K175</f>
        <v>2241.456</v>
      </c>
      <c r="P171" s="36">
        <f>K176</f>
        <v>4034.6928</v>
      </c>
    </row>
    <row r="172" ht="15.0" customHeight="1">
      <c r="A172" s="82" t="s">
        <v>143</v>
      </c>
      <c r="B172" s="82" t="s">
        <v>144</v>
      </c>
      <c r="C172" s="82" t="s">
        <v>44</v>
      </c>
      <c r="D172" s="82" t="s">
        <v>145</v>
      </c>
      <c r="E172" s="83" t="s">
        <v>146</v>
      </c>
      <c r="F172" s="84" t="s">
        <v>147</v>
      </c>
      <c r="J172" s="26" t="s">
        <v>28</v>
      </c>
      <c r="K172" s="27">
        <f>(F176+F173)*J164+L164</f>
        <v>1787.472</v>
      </c>
      <c r="L172" s="27"/>
      <c r="M172" s="27">
        <f>L173</f>
        <v>2252.8056</v>
      </c>
      <c r="N172" s="27">
        <f>L174</f>
        <v>1787.472</v>
      </c>
      <c r="O172" s="27">
        <f>L175</f>
        <v>2808.936</v>
      </c>
      <c r="P172" s="36">
        <f>L176</f>
        <v>4602.1728</v>
      </c>
    </row>
    <row r="173" ht="15.0" customHeight="1">
      <c r="A173" s="85" t="s">
        <v>25</v>
      </c>
      <c r="B173" s="86" t="s">
        <v>148</v>
      </c>
      <c r="C173" s="85" t="s">
        <v>149</v>
      </c>
      <c r="D173" s="85" t="s">
        <v>150</v>
      </c>
      <c r="E173" s="87" t="s">
        <v>151</v>
      </c>
      <c r="F173" s="88">
        <v>10.0</v>
      </c>
      <c r="J173" s="26" t="s">
        <v>9</v>
      </c>
      <c r="K173" s="27">
        <f>(F177+F173)*J164+L164</f>
        <v>1685.3256</v>
      </c>
      <c r="L173" s="27">
        <f>(F177+F176)*J164+L164</f>
        <v>2252.8056</v>
      </c>
      <c r="M173" s="27"/>
      <c r="N173" s="27">
        <f>M174</f>
        <v>1685.3256</v>
      </c>
      <c r="O173" s="27">
        <f>M175</f>
        <v>2706.7896</v>
      </c>
      <c r="P173" s="36">
        <f>M176</f>
        <v>4500.0264</v>
      </c>
    </row>
    <row r="174" ht="15.0" customHeight="1">
      <c r="A174" s="89" t="s">
        <v>34</v>
      </c>
      <c r="B174" s="90" t="s">
        <v>152</v>
      </c>
      <c r="C174" s="89" t="s">
        <v>153</v>
      </c>
      <c r="D174" s="89" t="s">
        <v>154</v>
      </c>
      <c r="E174" s="91" t="s">
        <v>155</v>
      </c>
      <c r="F174" s="92">
        <v>115.0</v>
      </c>
      <c r="J174" s="26" t="s">
        <v>33</v>
      </c>
      <c r="K174" s="27">
        <f>(F178+F173)*J164+L164</f>
        <v>1219.992</v>
      </c>
      <c r="L174" s="27">
        <f>(F178+F176)*J164+L164</f>
        <v>1787.472</v>
      </c>
      <c r="M174" s="27">
        <f>(F178+F177)*J164+L164</f>
        <v>1685.3256</v>
      </c>
      <c r="N174" s="27"/>
      <c r="O174" s="27">
        <f>N175</f>
        <v>2241.456</v>
      </c>
      <c r="P174" s="36">
        <f>N176</f>
        <v>4034.6928</v>
      </c>
    </row>
    <row r="175" ht="15.0" customHeight="1">
      <c r="A175" s="89" t="s">
        <v>35</v>
      </c>
      <c r="B175" s="90" t="s">
        <v>156</v>
      </c>
      <c r="C175" s="89" t="s">
        <v>157</v>
      </c>
      <c r="D175" s="89" t="s">
        <v>158</v>
      </c>
      <c r="E175" s="91" t="s">
        <v>159</v>
      </c>
      <c r="F175" s="92">
        <v>15.0</v>
      </c>
      <c r="J175" s="26" t="s">
        <v>8</v>
      </c>
      <c r="K175" s="27">
        <f>(F182+F173)*J164+L164</f>
        <v>2241.456</v>
      </c>
      <c r="L175" s="27">
        <f>(F182+F176)*J164+L164</f>
        <v>2808.936</v>
      </c>
      <c r="M175" s="27">
        <f>(F182+F177)*J164+L164</f>
        <v>2706.7896</v>
      </c>
      <c r="N175" s="27">
        <f>(F182+F178)*J164+L164</f>
        <v>2241.456</v>
      </c>
      <c r="O175" s="27"/>
      <c r="P175" s="36">
        <f>O176</f>
        <v>5056.1568</v>
      </c>
    </row>
    <row r="176" ht="15.0" customHeight="1">
      <c r="A176" s="85" t="s">
        <v>28</v>
      </c>
      <c r="B176" s="86" t="s">
        <v>160</v>
      </c>
      <c r="C176" s="85" t="s">
        <v>161</v>
      </c>
      <c r="D176" s="85" t="s">
        <v>162</v>
      </c>
      <c r="E176" s="87" t="s">
        <v>163</v>
      </c>
      <c r="F176" s="86">
        <v>60.0</v>
      </c>
      <c r="J176" s="26" t="s">
        <v>31</v>
      </c>
      <c r="K176" s="36">
        <f>(F184+F173)*J164+L164</f>
        <v>4034.6928</v>
      </c>
      <c r="L176" s="36">
        <f>(F184+F176)*J164+L164</f>
        <v>4602.1728</v>
      </c>
      <c r="M176" s="36">
        <f>(F184+F177)*J164+L164</f>
        <v>4500.0264</v>
      </c>
      <c r="N176" s="36">
        <f>(F184+F178)*J164+L164</f>
        <v>4034.6928</v>
      </c>
      <c r="O176" s="36">
        <f>(F184+F182)*J164+L164</f>
        <v>5056.1568</v>
      </c>
      <c r="P176" s="27"/>
    </row>
    <row r="177" ht="15.0" customHeight="1">
      <c r="A177" s="85" t="s">
        <v>9</v>
      </c>
      <c r="B177" s="86" t="s">
        <v>164</v>
      </c>
      <c r="C177" s="85" t="s">
        <v>165</v>
      </c>
      <c r="D177" s="85" t="s">
        <v>166</v>
      </c>
      <c r="E177" s="87" t="s">
        <v>167</v>
      </c>
      <c r="F177" s="86">
        <v>51.0</v>
      </c>
    </row>
    <row r="178" ht="15.0" customHeight="1">
      <c r="A178" s="85" t="s">
        <v>33</v>
      </c>
      <c r="B178" s="86" t="s">
        <v>168</v>
      </c>
      <c r="C178" s="85" t="s">
        <v>169</v>
      </c>
      <c r="D178" s="85" t="s">
        <v>170</v>
      </c>
      <c r="E178" s="87" t="s">
        <v>171</v>
      </c>
      <c r="F178" s="86">
        <v>10.0</v>
      </c>
    </row>
    <row r="179" ht="15.0" customHeight="1">
      <c r="A179" s="89" t="s">
        <v>11</v>
      </c>
      <c r="B179" s="90" t="s">
        <v>172</v>
      </c>
      <c r="C179" s="89" t="s">
        <v>173</v>
      </c>
      <c r="D179" s="89" t="s">
        <v>174</v>
      </c>
      <c r="E179" s="91" t="s">
        <v>175</v>
      </c>
      <c r="F179" s="92">
        <v>12.0</v>
      </c>
    </row>
    <row r="180" ht="15.0" customHeight="1">
      <c r="A180" s="89" t="s">
        <v>10</v>
      </c>
      <c r="B180" s="90" t="s">
        <v>176</v>
      </c>
      <c r="C180" s="89" t="s">
        <v>177</v>
      </c>
      <c r="D180" s="89" t="s">
        <v>178</v>
      </c>
      <c r="E180" s="91" t="s">
        <v>179</v>
      </c>
      <c r="F180" s="92">
        <v>100.0</v>
      </c>
    </row>
    <row r="181" ht="15.0" customHeight="1">
      <c r="A181" s="93" t="s">
        <v>10</v>
      </c>
      <c r="B181" s="94" t="s">
        <v>176</v>
      </c>
      <c r="C181" s="93" t="s">
        <v>180</v>
      </c>
      <c r="D181" s="93" t="s">
        <v>181</v>
      </c>
      <c r="E181" s="95" t="s">
        <v>182</v>
      </c>
      <c r="F181" s="96">
        <v>10.0</v>
      </c>
      <c r="J181" s="42" t="s">
        <v>183</v>
      </c>
      <c r="K181" s="20"/>
      <c r="L181" s="20"/>
      <c r="M181" s="20"/>
      <c r="N181" s="20"/>
      <c r="O181" s="20"/>
      <c r="P181" s="20"/>
      <c r="Q181" s="21"/>
    </row>
    <row r="182" ht="15.0" customHeight="1">
      <c r="A182" s="85" t="s">
        <v>8</v>
      </c>
      <c r="B182" s="86" t="s">
        <v>184</v>
      </c>
      <c r="C182" s="85" t="s">
        <v>185</v>
      </c>
      <c r="D182" s="85" t="s">
        <v>186</v>
      </c>
      <c r="E182" s="87" t="s">
        <v>187</v>
      </c>
      <c r="F182" s="88">
        <v>100.0</v>
      </c>
      <c r="J182" s="4" t="s">
        <v>42</v>
      </c>
      <c r="K182" s="4" t="s">
        <v>25</v>
      </c>
      <c r="L182" s="4" t="s">
        <v>28</v>
      </c>
      <c r="M182" s="4" t="s">
        <v>9</v>
      </c>
      <c r="N182" s="49" t="s">
        <v>33</v>
      </c>
      <c r="O182" s="4" t="s">
        <v>8</v>
      </c>
      <c r="P182" s="4" t="s">
        <v>31</v>
      </c>
      <c r="Q182" s="4" t="s">
        <v>43</v>
      </c>
    </row>
    <row r="183" ht="15.0" customHeight="1">
      <c r="A183" s="89" t="s">
        <v>24</v>
      </c>
      <c r="B183" s="90" t="s">
        <v>188</v>
      </c>
      <c r="C183" s="89" t="s">
        <v>189</v>
      </c>
      <c r="D183" s="89" t="s">
        <v>190</v>
      </c>
      <c r="E183" s="91" t="s">
        <v>191</v>
      </c>
      <c r="F183" s="92">
        <v>95.0</v>
      </c>
      <c r="J183" s="26" t="s">
        <v>25</v>
      </c>
      <c r="K183" s="27">
        <f t="shared" ref="K183:P183" si="259">K171*1.3*L131</f>
        <v>0</v>
      </c>
      <c r="L183" s="27">
        <f t="shared" si="259"/>
        <v>0</v>
      </c>
      <c r="M183" s="27">
        <f t="shared" si="259"/>
        <v>48200.31216</v>
      </c>
      <c r="N183" s="27">
        <f t="shared" si="259"/>
        <v>49165.6776</v>
      </c>
      <c r="O183" s="27">
        <f t="shared" si="259"/>
        <v>2966342.87</v>
      </c>
      <c r="P183" s="27">
        <f t="shared" si="259"/>
        <v>603186.5736</v>
      </c>
      <c r="Q183" s="27">
        <f t="shared" ref="Q183:Q188" si="261">SUM(K183:P183)</f>
        <v>3666895.434</v>
      </c>
    </row>
    <row r="184" ht="15.0" customHeight="1">
      <c r="A184" s="85" t="s">
        <v>31</v>
      </c>
      <c r="B184" s="86" t="s">
        <v>192</v>
      </c>
      <c r="C184" s="85" t="s">
        <v>193</v>
      </c>
      <c r="D184" s="85" t="s">
        <v>194</v>
      </c>
      <c r="E184" s="87" t="s">
        <v>195</v>
      </c>
      <c r="F184" s="88">
        <v>258.0</v>
      </c>
      <c r="J184" s="26" t="s">
        <v>28</v>
      </c>
      <c r="K184" s="27">
        <f t="shared" ref="K184:P184" si="260">K172*1.3*L132</f>
        <v>1061937.115</v>
      </c>
      <c r="L184" s="27">
        <f t="shared" si="260"/>
        <v>0</v>
      </c>
      <c r="M184" s="27">
        <f t="shared" si="260"/>
        <v>0</v>
      </c>
      <c r="N184" s="27">
        <f t="shared" si="260"/>
        <v>0</v>
      </c>
      <c r="O184" s="27">
        <f t="shared" si="260"/>
        <v>412632.6984</v>
      </c>
      <c r="P184" s="27">
        <f t="shared" si="260"/>
        <v>89742.3696</v>
      </c>
      <c r="Q184" s="27">
        <f t="shared" si="261"/>
        <v>1564312.183</v>
      </c>
    </row>
    <row r="185" ht="15.0" customHeight="1">
      <c r="A185" s="89" t="s">
        <v>31</v>
      </c>
      <c r="B185" s="90" t="s">
        <v>192</v>
      </c>
      <c r="C185" s="89" t="s">
        <v>196</v>
      </c>
      <c r="D185" s="89" t="s">
        <v>197</v>
      </c>
      <c r="E185" s="91" t="s">
        <v>198</v>
      </c>
      <c r="F185" s="92">
        <v>105.0</v>
      </c>
      <c r="J185" s="26" t="s">
        <v>9</v>
      </c>
      <c r="K185" s="27">
        <f t="shared" ref="K185:P185" si="262">K173*1.3*L133</f>
        <v>893896.6982</v>
      </c>
      <c r="L185" s="27">
        <f t="shared" si="262"/>
        <v>213791.2514</v>
      </c>
      <c r="M185" s="27">
        <f t="shared" si="262"/>
        <v>0</v>
      </c>
      <c r="N185" s="27">
        <f t="shared" si="262"/>
        <v>0</v>
      </c>
      <c r="O185" s="27">
        <f t="shared" si="262"/>
        <v>87970.662</v>
      </c>
      <c r="P185" s="27">
        <f t="shared" si="262"/>
        <v>210601.2355</v>
      </c>
      <c r="Q185" s="27">
        <f t="shared" si="261"/>
        <v>1406259.847</v>
      </c>
    </row>
    <row r="186" ht="15.0" customHeight="1">
      <c r="A186" s="89" t="s">
        <v>31</v>
      </c>
      <c r="B186" s="90" t="s">
        <v>192</v>
      </c>
      <c r="C186" s="89" t="s">
        <v>199</v>
      </c>
      <c r="D186" s="89" t="s">
        <v>200</v>
      </c>
      <c r="E186" s="91" t="s">
        <v>201</v>
      </c>
      <c r="F186" s="92">
        <v>118.0</v>
      </c>
      <c r="J186" s="26" t="s">
        <v>33</v>
      </c>
      <c r="K186" s="27">
        <f t="shared" ref="K186:P186" si="263">K174*1.3*L134</f>
        <v>103089.324</v>
      </c>
      <c r="L186" s="27">
        <f t="shared" si="263"/>
        <v>127804.248</v>
      </c>
      <c r="M186" s="27">
        <f t="shared" si="263"/>
        <v>94209.70104</v>
      </c>
      <c r="N186" s="27">
        <f t="shared" si="263"/>
        <v>0</v>
      </c>
      <c r="O186" s="27">
        <f t="shared" si="263"/>
        <v>0</v>
      </c>
      <c r="P186" s="27">
        <f t="shared" si="263"/>
        <v>78676.5096</v>
      </c>
      <c r="Q186" s="27">
        <f t="shared" si="261"/>
        <v>403779.7826</v>
      </c>
    </row>
    <row r="187" ht="15.0" customHeight="1">
      <c r="A187" s="89" t="s">
        <v>31</v>
      </c>
      <c r="B187" s="90" t="s">
        <v>192</v>
      </c>
      <c r="C187" s="89" t="s">
        <v>202</v>
      </c>
      <c r="D187" s="89" t="s">
        <v>203</v>
      </c>
      <c r="E187" s="91" t="s">
        <v>204</v>
      </c>
      <c r="F187" s="92">
        <v>98.0</v>
      </c>
      <c r="J187" s="26" t="s">
        <v>8</v>
      </c>
      <c r="K187" s="27">
        <f t="shared" ref="K187:P187" si="264">K175*1.3*L135</f>
        <v>317614.3152</v>
      </c>
      <c r="L187" s="27">
        <f t="shared" si="264"/>
        <v>719368.5096</v>
      </c>
      <c r="M187" s="27">
        <f t="shared" si="264"/>
        <v>819886.5698</v>
      </c>
      <c r="N187" s="27">
        <f t="shared" si="264"/>
        <v>285561.4944</v>
      </c>
      <c r="O187" s="27">
        <f t="shared" si="264"/>
        <v>0</v>
      </c>
      <c r="P187" s="27">
        <f t="shared" si="264"/>
        <v>0</v>
      </c>
      <c r="Q187" s="27">
        <f t="shared" si="261"/>
        <v>2142430.889</v>
      </c>
    </row>
    <row r="188" ht="15.0" customHeight="1">
      <c r="A188" s="89" t="s">
        <v>205</v>
      </c>
      <c r="B188" s="90" t="s">
        <v>206</v>
      </c>
      <c r="C188" s="89" t="s">
        <v>207</v>
      </c>
      <c r="D188" s="89" t="s">
        <v>208</v>
      </c>
      <c r="E188" s="91" t="s">
        <v>209</v>
      </c>
      <c r="F188" s="92">
        <v>320.0</v>
      </c>
      <c r="J188" s="26" t="s">
        <v>31</v>
      </c>
      <c r="K188" s="27">
        <f t="shared" ref="K188:P188" si="265">K176*1.3*L136</f>
        <v>692353.2845</v>
      </c>
      <c r="L188" s="27">
        <f t="shared" si="265"/>
        <v>1555534.406</v>
      </c>
      <c r="M188" s="27">
        <f t="shared" si="265"/>
        <v>1556109.129</v>
      </c>
      <c r="N188" s="27">
        <f t="shared" si="265"/>
        <v>272745.2333</v>
      </c>
      <c r="O188" s="27">
        <f t="shared" si="265"/>
        <v>0</v>
      </c>
      <c r="P188" s="27">
        <f t="shared" si="265"/>
        <v>0</v>
      </c>
      <c r="Q188" s="27">
        <f t="shared" si="261"/>
        <v>4076742.053</v>
      </c>
    </row>
    <row r="189" ht="15.0" customHeight="1">
      <c r="J189" s="32" t="s">
        <v>48</v>
      </c>
      <c r="K189" s="33">
        <f t="shared" ref="K189:Q189" si="266">SUM(K183:K188)</f>
        <v>3068890.737</v>
      </c>
      <c r="L189" s="33">
        <f t="shared" si="266"/>
        <v>2616498.415</v>
      </c>
      <c r="M189" s="33">
        <f t="shared" si="266"/>
        <v>2518405.712</v>
      </c>
      <c r="N189" s="33">
        <f t="shared" si="266"/>
        <v>607472.4053</v>
      </c>
      <c r="O189" s="33">
        <f t="shared" si="266"/>
        <v>3466946.231</v>
      </c>
      <c r="P189" s="33">
        <f t="shared" si="266"/>
        <v>982206.6883</v>
      </c>
      <c r="Q189" s="33">
        <f t="shared" si="266"/>
        <v>13260420.19</v>
      </c>
    </row>
    <row r="190" ht="15.0" customHeight="1">
      <c r="Q190" s="4" t="s">
        <v>210</v>
      </c>
      <c r="R190" s="33">
        <f>Q189*52</f>
        <v>689541849.8</v>
      </c>
    </row>
    <row r="191" ht="15.75" customHeight="1"/>
    <row r="192" ht="15.75" customHeight="1"/>
    <row r="193" ht="15.75" customHeight="1"/>
    <row r="194" ht="15.75" customHeight="1"/>
    <row r="195" ht="15.0" customHeight="1">
      <c r="AC195" s="97" t="s">
        <v>211</v>
      </c>
      <c r="AD195" s="98"/>
      <c r="AE195" s="99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X195" s="57"/>
      <c r="AY195" s="57"/>
      <c r="AZ195" s="57"/>
      <c r="BA195" s="57"/>
      <c r="BB195" s="57"/>
      <c r="BC195" s="57"/>
      <c r="BD195" s="57"/>
      <c r="BE195" s="57"/>
      <c r="BF195" s="57"/>
      <c r="BG195" s="57"/>
      <c r="BH195" s="57"/>
      <c r="BI195" s="57"/>
      <c r="BJ195" s="57"/>
      <c r="BK195" s="57"/>
      <c r="BL195" s="57"/>
      <c r="BM195" s="57"/>
      <c r="BN195" s="57"/>
      <c r="BO195" s="57"/>
      <c r="BP195" s="57"/>
      <c r="BQ195" s="57"/>
      <c r="BR195" s="57"/>
      <c r="BS195" s="57"/>
      <c r="BT195" s="57"/>
      <c r="BU195" s="57"/>
      <c r="BV195" s="57"/>
      <c r="BW195" s="57"/>
      <c r="BX195" s="57"/>
      <c r="BY195" s="57"/>
      <c r="BZ195" s="57"/>
    </row>
    <row r="196" ht="15.0" customHeight="1">
      <c r="AC196" s="9" t="s">
        <v>212</v>
      </c>
      <c r="AD196" s="100" t="s">
        <v>213</v>
      </c>
      <c r="AE196" s="2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</row>
    <row r="197" ht="15.0" customHeight="1">
      <c r="R197" s="42" t="s">
        <v>214</v>
      </c>
      <c r="S197" s="20"/>
      <c r="T197" s="20"/>
      <c r="U197" s="20"/>
      <c r="V197" s="20"/>
      <c r="W197" s="20"/>
      <c r="X197" s="20"/>
      <c r="Y197" s="21"/>
      <c r="AC197" s="9" t="s">
        <v>149</v>
      </c>
      <c r="AD197" s="101" t="str">
        <f>N200*(#REF!+AE26+AE36)</f>
        <v>#REF!</v>
      </c>
      <c r="AE197" s="21"/>
      <c r="AF197" s="110"/>
      <c r="AG197" s="110"/>
      <c r="AH197" s="110"/>
      <c r="AI197" s="110"/>
      <c r="AJ197" s="110"/>
      <c r="AK197" s="110"/>
      <c r="AL197" s="110"/>
      <c r="AM197" s="110"/>
      <c r="AN197" s="110"/>
      <c r="AO197" s="110"/>
      <c r="AP197" s="110"/>
      <c r="AQ197" s="110"/>
      <c r="AR197" s="110"/>
      <c r="AS197" s="110"/>
      <c r="AT197" s="110"/>
      <c r="AU197" s="110"/>
      <c r="AV197" s="110"/>
      <c r="AX197" s="110"/>
      <c r="AY197" s="110"/>
      <c r="AZ197" s="110"/>
      <c r="BA197" s="110"/>
      <c r="BB197" s="110"/>
      <c r="BC197" s="110"/>
      <c r="BD197" s="110"/>
      <c r="BE197" s="110"/>
      <c r="BF197" s="110"/>
      <c r="BG197" s="110"/>
      <c r="BH197" s="110"/>
      <c r="BI197" s="110"/>
      <c r="BJ197" s="110"/>
      <c r="BK197" s="110"/>
      <c r="BL197" s="110"/>
      <c r="BM197" s="110"/>
      <c r="BN197" s="110"/>
      <c r="BO197" s="110"/>
      <c r="BP197" s="110"/>
      <c r="BQ197" s="110"/>
      <c r="BR197" s="110"/>
      <c r="BS197" s="110"/>
      <c r="BT197" s="110"/>
      <c r="BU197" s="110"/>
      <c r="BV197" s="110"/>
      <c r="BW197" s="110"/>
      <c r="BX197" s="110"/>
      <c r="BY197" s="110"/>
      <c r="BZ197" s="110"/>
    </row>
    <row r="198" ht="15.0" customHeight="1">
      <c r="M198" s="19" t="s">
        <v>215</v>
      </c>
      <c r="N198" s="20"/>
      <c r="O198" s="21"/>
      <c r="R198" s="4" t="s">
        <v>42</v>
      </c>
      <c r="S198" s="4" t="s">
        <v>25</v>
      </c>
      <c r="T198" s="4" t="s">
        <v>28</v>
      </c>
      <c r="U198" s="4" t="s">
        <v>9</v>
      </c>
      <c r="V198" s="49" t="s">
        <v>33</v>
      </c>
      <c r="W198" s="4" t="s">
        <v>8</v>
      </c>
      <c r="X198" s="4" t="s">
        <v>31</v>
      </c>
      <c r="Y198" s="4" t="s">
        <v>43</v>
      </c>
      <c r="AC198" s="9" t="s">
        <v>161</v>
      </c>
      <c r="AD198" s="101" t="str">
        <f t="shared" ref="AD198:AD200" si="268">N203*(#REF!+AE27+AE37)</f>
        <v>#REF!</v>
      </c>
      <c r="AE198" s="21"/>
      <c r="AF198" s="110"/>
      <c r="AG198" s="110"/>
      <c r="AH198" s="110"/>
      <c r="AI198" s="110"/>
      <c r="AJ198" s="110"/>
      <c r="AK198" s="110"/>
      <c r="AL198" s="110"/>
      <c r="AM198" s="110"/>
      <c r="AN198" s="110"/>
      <c r="AO198" s="110"/>
      <c r="AP198" s="110"/>
      <c r="AQ198" s="110"/>
      <c r="AR198" s="110"/>
      <c r="AS198" s="110"/>
      <c r="AT198" s="110"/>
      <c r="AU198" s="110"/>
      <c r="AV198" s="110"/>
      <c r="AW198" s="4"/>
      <c r="AX198" s="110"/>
      <c r="AY198" s="110"/>
      <c r="AZ198" s="110"/>
      <c r="BA198" s="110"/>
      <c r="BB198" s="110"/>
      <c r="BC198" s="110"/>
      <c r="BD198" s="110"/>
      <c r="BE198" s="110"/>
      <c r="BF198" s="110"/>
      <c r="BG198" s="110"/>
      <c r="BH198" s="110"/>
      <c r="BI198" s="110"/>
      <c r="BJ198" s="110"/>
      <c r="BK198" s="110"/>
      <c r="BL198" s="110"/>
      <c r="BM198" s="110"/>
      <c r="BN198" s="110"/>
      <c r="BO198" s="110"/>
      <c r="BP198" s="110"/>
      <c r="BQ198" s="110"/>
      <c r="BR198" s="110"/>
      <c r="BS198" s="110"/>
      <c r="BT198" s="110"/>
      <c r="BU198" s="110"/>
      <c r="BV198" s="110"/>
      <c r="BW198" s="110"/>
      <c r="BX198" s="110"/>
      <c r="BY198" s="110"/>
      <c r="BZ198" s="110"/>
    </row>
    <row r="199" ht="15.0" customHeight="1">
      <c r="B199" s="42" t="s">
        <v>216</v>
      </c>
      <c r="C199" s="20"/>
      <c r="D199" s="20"/>
      <c r="E199" s="20"/>
      <c r="F199" s="20"/>
      <c r="G199" s="20"/>
      <c r="H199" s="20"/>
      <c r="I199" s="21"/>
      <c r="L199" s="102" t="s">
        <v>44</v>
      </c>
      <c r="M199" s="102" t="s">
        <v>217</v>
      </c>
      <c r="N199" s="82" t="s">
        <v>218</v>
      </c>
      <c r="O199" s="82" t="s">
        <v>219</v>
      </c>
      <c r="R199" s="26" t="s">
        <v>25</v>
      </c>
      <c r="S199" s="27">
        <f t="shared" ref="S199:X199" si="267">S214*L131</f>
        <v>0</v>
      </c>
      <c r="T199" s="27">
        <f t="shared" si="267"/>
        <v>0</v>
      </c>
      <c r="U199" s="27">
        <f t="shared" si="267"/>
        <v>40700</v>
      </c>
      <c r="V199" s="27">
        <f t="shared" si="267"/>
        <v>46500</v>
      </c>
      <c r="W199" s="27">
        <f t="shared" si="267"/>
        <v>1527000</v>
      </c>
      <c r="X199" s="27">
        <f t="shared" si="267"/>
        <v>178250</v>
      </c>
      <c r="Y199" s="27">
        <f t="shared" ref="Y199:Y204" si="270">SUM(S199:X199)</f>
        <v>1792450</v>
      </c>
      <c r="AC199" s="9" t="s">
        <v>165</v>
      </c>
      <c r="AD199" s="101" t="str">
        <f t="shared" si="268"/>
        <v>#REF!</v>
      </c>
      <c r="AE199" s="21"/>
      <c r="AF199" s="110"/>
      <c r="AG199" s="110"/>
      <c r="AH199" s="110"/>
      <c r="AI199" s="110"/>
      <c r="AJ199" s="110"/>
      <c r="AK199" s="110"/>
      <c r="AL199" s="110"/>
      <c r="AM199" s="110"/>
      <c r="AN199" s="110"/>
      <c r="AO199" s="110"/>
      <c r="AP199" s="110"/>
      <c r="AQ199" s="110"/>
      <c r="AR199" s="110"/>
      <c r="AS199" s="110"/>
      <c r="AT199" s="110"/>
      <c r="AU199" s="110"/>
      <c r="AV199" s="110"/>
      <c r="AW199" s="27"/>
      <c r="AX199" s="110"/>
      <c r="AY199" s="110"/>
      <c r="AZ199" s="110"/>
      <c r="BA199" s="110"/>
      <c r="BB199" s="110"/>
      <c r="BC199" s="110"/>
      <c r="BD199" s="110"/>
      <c r="BE199" s="110"/>
      <c r="BF199" s="110"/>
      <c r="BG199" s="110"/>
      <c r="BH199" s="110"/>
      <c r="BI199" s="110"/>
      <c r="BJ199" s="110"/>
      <c r="BK199" s="110"/>
      <c r="BL199" s="110"/>
      <c r="BM199" s="110"/>
      <c r="BN199" s="110"/>
      <c r="BO199" s="110"/>
      <c r="BP199" s="110"/>
      <c r="BQ199" s="110"/>
      <c r="BR199" s="110"/>
      <c r="BS199" s="110"/>
      <c r="BT199" s="110"/>
      <c r="BU199" s="110"/>
      <c r="BV199" s="110"/>
      <c r="BW199" s="110"/>
      <c r="BX199" s="110"/>
      <c r="BY199" s="110"/>
      <c r="BZ199" s="110"/>
    </row>
    <row r="200" ht="15.0" customHeight="1">
      <c r="B200" s="4" t="s">
        <v>42</v>
      </c>
      <c r="C200" s="4" t="s">
        <v>25</v>
      </c>
      <c r="D200" s="4" t="s">
        <v>28</v>
      </c>
      <c r="E200" s="4" t="s">
        <v>9</v>
      </c>
      <c r="F200" s="49" t="s">
        <v>33</v>
      </c>
      <c r="G200" s="4" t="s">
        <v>8</v>
      </c>
      <c r="H200" s="4" t="s">
        <v>31</v>
      </c>
      <c r="I200" s="4" t="s">
        <v>43</v>
      </c>
      <c r="L200" s="103" t="s">
        <v>149</v>
      </c>
      <c r="M200" s="104">
        <v>750.0</v>
      </c>
      <c r="N200" s="104">
        <f t="shared" ref="N200:N215" si="272">M200/3</f>
        <v>250</v>
      </c>
      <c r="O200" s="105">
        <v>35.0</v>
      </c>
      <c r="R200" s="26" t="s">
        <v>28</v>
      </c>
      <c r="S200" s="27">
        <f t="shared" ref="S200:X200" si="269">S215*L132</f>
        <v>639800</v>
      </c>
      <c r="T200" s="27">
        <f t="shared" si="269"/>
        <v>0</v>
      </c>
      <c r="U200" s="27">
        <f t="shared" si="269"/>
        <v>0</v>
      </c>
      <c r="V200" s="27">
        <f t="shared" si="269"/>
        <v>0</v>
      </c>
      <c r="W200" s="27">
        <f t="shared" si="269"/>
        <v>158200</v>
      </c>
      <c r="X200" s="27">
        <f t="shared" si="269"/>
        <v>21750</v>
      </c>
      <c r="Y200" s="27">
        <f t="shared" si="270"/>
        <v>819750</v>
      </c>
      <c r="AC200" s="9" t="s">
        <v>169</v>
      </c>
      <c r="AD200" s="101" t="str">
        <f t="shared" si="268"/>
        <v>#REF!</v>
      </c>
      <c r="AE200" s="21"/>
      <c r="AF200" s="110"/>
      <c r="AG200" s="110"/>
      <c r="AH200" s="110"/>
      <c r="AI200" s="110"/>
      <c r="AJ200" s="110"/>
      <c r="AK200" s="110"/>
      <c r="AL200" s="110"/>
      <c r="AM200" s="110"/>
      <c r="AN200" s="110"/>
      <c r="AO200" s="110"/>
      <c r="AP200" s="110"/>
      <c r="AQ200" s="110"/>
      <c r="AR200" s="110"/>
      <c r="AS200" s="110"/>
      <c r="AT200" s="110"/>
      <c r="AU200" s="110"/>
      <c r="AV200" s="110"/>
      <c r="AW200" s="27"/>
      <c r="AX200" s="110"/>
      <c r="AY200" s="110"/>
      <c r="AZ200" s="110"/>
      <c r="BA200" s="110"/>
      <c r="BB200" s="110"/>
      <c r="BC200" s="110"/>
      <c r="BD200" s="110"/>
      <c r="BE200" s="110"/>
      <c r="BF200" s="110"/>
      <c r="BG200" s="110"/>
      <c r="BH200" s="110"/>
      <c r="BI200" s="110"/>
      <c r="BJ200" s="110"/>
      <c r="BK200" s="110"/>
      <c r="BL200" s="110"/>
      <c r="BM200" s="110"/>
      <c r="BN200" s="110"/>
      <c r="BO200" s="110"/>
      <c r="BP200" s="110"/>
      <c r="BQ200" s="110"/>
      <c r="BR200" s="110"/>
      <c r="BS200" s="110"/>
      <c r="BT200" s="110"/>
      <c r="BU200" s="110"/>
      <c r="BV200" s="110"/>
      <c r="BW200" s="110"/>
      <c r="BX200" s="110"/>
      <c r="BY200" s="110"/>
      <c r="BZ200" s="110"/>
    </row>
    <row r="201" ht="15.0" customHeight="1">
      <c r="B201" s="26" t="s">
        <v>25</v>
      </c>
      <c r="C201" s="27">
        <f t="shared" ref="C201:H201" si="271">212*L131</f>
        <v>0</v>
      </c>
      <c r="D201" s="27">
        <f t="shared" si="271"/>
        <v>0</v>
      </c>
      <c r="E201" s="27">
        <f t="shared" si="271"/>
        <v>4664</v>
      </c>
      <c r="F201" s="27">
        <f t="shared" si="271"/>
        <v>6572</v>
      </c>
      <c r="G201" s="27">
        <f t="shared" si="271"/>
        <v>215816</v>
      </c>
      <c r="H201" s="27">
        <f t="shared" si="271"/>
        <v>24380</v>
      </c>
      <c r="I201" s="27">
        <f t="shared" ref="I201:I206" si="275">SUM(C201:H201)</f>
        <v>251432</v>
      </c>
      <c r="L201" s="106" t="s">
        <v>153</v>
      </c>
      <c r="M201" s="107">
        <v>800.0</v>
      </c>
      <c r="N201" s="107">
        <f t="shared" si="272"/>
        <v>266.6666667</v>
      </c>
      <c r="O201" s="108">
        <v>25.0</v>
      </c>
      <c r="R201" s="26" t="s">
        <v>9</v>
      </c>
      <c r="S201" s="27">
        <f t="shared" ref="S201:X201" si="273">S216*L133</f>
        <v>754800</v>
      </c>
      <c r="T201" s="27">
        <f t="shared" si="273"/>
        <v>127750</v>
      </c>
      <c r="U201" s="27">
        <f t="shared" si="273"/>
        <v>0</v>
      </c>
      <c r="V201" s="27">
        <f t="shared" si="273"/>
        <v>0</v>
      </c>
      <c r="W201" s="27">
        <f t="shared" si="273"/>
        <v>46250</v>
      </c>
      <c r="X201" s="27">
        <f t="shared" si="273"/>
        <v>68400</v>
      </c>
      <c r="Y201" s="27">
        <f t="shared" si="270"/>
        <v>997200</v>
      </c>
      <c r="AC201" s="9" t="s">
        <v>185</v>
      </c>
      <c r="AD201" s="101" t="str">
        <f>N209*(#REF!+AE30+AE40)</f>
        <v>#REF!</v>
      </c>
      <c r="AE201" s="21"/>
      <c r="AF201" s="110"/>
      <c r="AG201" s="110"/>
      <c r="AH201" s="110"/>
      <c r="AI201" s="110"/>
      <c r="AJ201" s="110"/>
      <c r="AK201" s="110"/>
      <c r="AL201" s="110"/>
      <c r="AM201" s="110"/>
      <c r="AN201" s="110"/>
      <c r="AO201" s="110"/>
      <c r="AP201" s="110"/>
      <c r="AQ201" s="110"/>
      <c r="AR201" s="110"/>
      <c r="AS201" s="110"/>
      <c r="AT201" s="110"/>
      <c r="AU201" s="110"/>
      <c r="AV201" s="110"/>
      <c r="AW201" s="27"/>
      <c r="AX201" s="110"/>
      <c r="AY201" s="110"/>
      <c r="AZ201" s="110"/>
      <c r="BA201" s="110"/>
      <c r="BB201" s="110"/>
      <c r="BC201" s="110"/>
      <c r="BD201" s="110"/>
      <c r="BE201" s="110"/>
      <c r="BF201" s="110"/>
      <c r="BG201" s="110"/>
      <c r="BH201" s="110"/>
      <c r="BI201" s="110"/>
      <c r="BJ201" s="110"/>
      <c r="BK201" s="110"/>
      <c r="BL201" s="110"/>
      <c r="BM201" s="110"/>
      <c r="BN201" s="110"/>
      <c r="BO201" s="110"/>
      <c r="BP201" s="110"/>
      <c r="BQ201" s="110"/>
      <c r="BR201" s="110"/>
      <c r="BS201" s="110"/>
      <c r="BT201" s="110"/>
      <c r="BU201" s="110"/>
      <c r="BV201" s="110"/>
      <c r="BW201" s="110"/>
      <c r="BX201" s="110"/>
      <c r="BY201" s="110"/>
      <c r="BZ201" s="110"/>
    </row>
    <row r="202" ht="15.0" customHeight="1">
      <c r="B202" s="26" t="s">
        <v>28</v>
      </c>
      <c r="C202" s="27">
        <f t="shared" ref="C202:H202" si="274">212*L132</f>
        <v>96884</v>
      </c>
      <c r="D202" s="27">
        <f t="shared" si="274"/>
        <v>0</v>
      </c>
      <c r="E202" s="27">
        <f t="shared" si="274"/>
        <v>0</v>
      </c>
      <c r="F202" s="27">
        <f t="shared" si="274"/>
        <v>0</v>
      </c>
      <c r="G202" s="27">
        <f t="shared" si="274"/>
        <v>23956</v>
      </c>
      <c r="H202" s="27">
        <f t="shared" si="274"/>
        <v>3180</v>
      </c>
      <c r="I202" s="27">
        <f t="shared" si="275"/>
        <v>124020</v>
      </c>
      <c r="L202" s="106" t="s">
        <v>157</v>
      </c>
      <c r="M202" s="107">
        <v>850.0</v>
      </c>
      <c r="N202" s="107">
        <f t="shared" si="272"/>
        <v>283.3333333</v>
      </c>
      <c r="O202" s="108">
        <v>25.0</v>
      </c>
      <c r="R202" s="26" t="s">
        <v>33</v>
      </c>
      <c r="S202" s="27">
        <f t="shared" ref="S202:X202" si="276">S217*L134</f>
        <v>97500</v>
      </c>
      <c r="T202" s="27">
        <f t="shared" si="276"/>
        <v>77000</v>
      </c>
      <c r="U202" s="27">
        <f t="shared" si="276"/>
        <v>79550</v>
      </c>
      <c r="V202" s="27">
        <f t="shared" si="276"/>
        <v>0</v>
      </c>
      <c r="W202" s="27">
        <f t="shared" si="276"/>
        <v>0</v>
      </c>
      <c r="X202" s="27">
        <f t="shared" si="276"/>
        <v>23250</v>
      </c>
      <c r="Y202" s="27">
        <f t="shared" si="270"/>
        <v>277300</v>
      </c>
      <c r="AC202" s="9" t="s">
        <v>193</v>
      </c>
      <c r="AD202" s="101" t="str">
        <f>N211*(#REF!+AE31+AE41)</f>
        <v>#REF!</v>
      </c>
      <c r="AE202" s="21"/>
      <c r="AF202" s="110"/>
      <c r="AG202" s="110"/>
      <c r="AH202" s="110"/>
      <c r="AI202" s="110"/>
      <c r="AJ202" s="110"/>
      <c r="AK202" s="110"/>
      <c r="AL202" s="110"/>
      <c r="AM202" s="110"/>
      <c r="AN202" s="110"/>
      <c r="AO202" s="110"/>
      <c r="AP202" s="110"/>
      <c r="AQ202" s="110"/>
      <c r="AR202" s="110"/>
      <c r="AS202" s="110"/>
      <c r="AT202" s="110"/>
      <c r="AU202" s="110"/>
      <c r="AV202" s="110"/>
      <c r="AW202" s="27"/>
      <c r="AX202" s="110"/>
      <c r="AY202" s="110"/>
      <c r="AZ202" s="110"/>
      <c r="BA202" s="110"/>
      <c r="BB202" s="110"/>
      <c r="BC202" s="110"/>
      <c r="BD202" s="110"/>
      <c r="BE202" s="110"/>
      <c r="BF202" s="110"/>
      <c r="BG202" s="110"/>
      <c r="BH202" s="110"/>
      <c r="BI202" s="110"/>
      <c r="BJ202" s="110"/>
      <c r="BK202" s="110"/>
      <c r="BL202" s="110"/>
      <c r="BM202" s="110"/>
      <c r="BN202" s="110"/>
      <c r="BO202" s="110"/>
      <c r="BP202" s="110"/>
      <c r="BQ202" s="110"/>
      <c r="BR202" s="110"/>
      <c r="BS202" s="110"/>
      <c r="BT202" s="110"/>
      <c r="BU202" s="110"/>
      <c r="BV202" s="110"/>
      <c r="BW202" s="110"/>
      <c r="BX202" s="110"/>
      <c r="BY202" s="110"/>
      <c r="BZ202" s="110"/>
    </row>
    <row r="203" ht="15.0" customHeight="1">
      <c r="B203" s="26" t="s">
        <v>9</v>
      </c>
      <c r="C203" s="27">
        <f t="shared" ref="C203:H203" si="277">212*L133</f>
        <v>86496</v>
      </c>
      <c r="D203" s="27">
        <f t="shared" si="277"/>
        <v>15476</v>
      </c>
      <c r="E203" s="27">
        <f t="shared" si="277"/>
        <v>0</v>
      </c>
      <c r="F203" s="27">
        <f t="shared" si="277"/>
        <v>0</v>
      </c>
      <c r="G203" s="27">
        <f t="shared" si="277"/>
        <v>5300</v>
      </c>
      <c r="H203" s="27">
        <f t="shared" si="277"/>
        <v>7632</v>
      </c>
      <c r="I203" s="27">
        <f t="shared" si="275"/>
        <v>114904</v>
      </c>
      <c r="L203" s="103" t="s">
        <v>161</v>
      </c>
      <c r="M203" s="104">
        <v>650.0</v>
      </c>
      <c r="N203" s="104">
        <f t="shared" si="272"/>
        <v>216.6666667</v>
      </c>
      <c r="O203" s="105">
        <v>40.0</v>
      </c>
      <c r="R203" s="26" t="s">
        <v>8</v>
      </c>
      <c r="S203" s="27">
        <f t="shared" ref="S203:X203" si="278">S218*L135</f>
        <v>163500</v>
      </c>
      <c r="T203" s="27">
        <f t="shared" si="278"/>
        <v>275800</v>
      </c>
      <c r="U203" s="27">
        <f t="shared" si="278"/>
        <v>431050</v>
      </c>
      <c r="V203" s="27">
        <f t="shared" si="278"/>
        <v>147000</v>
      </c>
      <c r="W203" s="27">
        <f t="shared" si="278"/>
        <v>0</v>
      </c>
      <c r="X203" s="27">
        <f t="shared" si="278"/>
        <v>0</v>
      </c>
      <c r="Y203" s="27">
        <f t="shared" si="270"/>
        <v>1017350</v>
      </c>
      <c r="AC203" s="32" t="s">
        <v>220</v>
      </c>
      <c r="AD203" s="101" t="str">
        <f>SUM(AD197:AE202)</f>
        <v>#REF!</v>
      </c>
      <c r="AE203" s="21"/>
      <c r="AF203" s="110"/>
      <c r="AG203" s="110"/>
      <c r="AH203" s="110"/>
      <c r="AI203" s="110"/>
      <c r="AJ203" s="110"/>
      <c r="AK203" s="110"/>
      <c r="AL203" s="110"/>
      <c r="AM203" s="110"/>
      <c r="AN203" s="110"/>
      <c r="AO203" s="110"/>
      <c r="AP203" s="110"/>
      <c r="AQ203" s="110"/>
      <c r="AR203" s="110"/>
      <c r="AS203" s="110"/>
      <c r="AT203" s="110"/>
      <c r="AU203" s="110"/>
      <c r="AV203" s="110"/>
      <c r="AW203" s="27"/>
      <c r="AX203" s="110"/>
      <c r="AY203" s="110"/>
      <c r="AZ203" s="110"/>
      <c r="BA203" s="110"/>
      <c r="BB203" s="110"/>
      <c r="BC203" s="110"/>
      <c r="BD203" s="110"/>
      <c r="BE203" s="110"/>
      <c r="BF203" s="110"/>
      <c r="BG203" s="110"/>
      <c r="BH203" s="110"/>
      <c r="BI203" s="110"/>
      <c r="BJ203" s="110"/>
      <c r="BK203" s="110"/>
      <c r="BL203" s="110"/>
      <c r="BM203" s="110"/>
      <c r="BN203" s="110"/>
      <c r="BO203" s="110"/>
      <c r="BP203" s="110"/>
      <c r="BQ203" s="110"/>
      <c r="BR203" s="110"/>
      <c r="BS203" s="110"/>
      <c r="BT203" s="110"/>
      <c r="BU203" s="110"/>
      <c r="BV203" s="110"/>
      <c r="BW203" s="110"/>
      <c r="BX203" s="110"/>
      <c r="BY203" s="110"/>
      <c r="BZ203" s="110"/>
    </row>
    <row r="204" ht="15.0" customHeight="1">
      <c r="B204" s="26" t="s">
        <v>33</v>
      </c>
      <c r="C204" s="27">
        <f t="shared" ref="C204:H204" si="279">212*L134</f>
        <v>13780</v>
      </c>
      <c r="D204" s="27">
        <f t="shared" si="279"/>
        <v>11660</v>
      </c>
      <c r="E204" s="27">
        <f t="shared" si="279"/>
        <v>9116</v>
      </c>
      <c r="F204" s="27">
        <f t="shared" si="279"/>
        <v>0</v>
      </c>
      <c r="G204" s="27">
        <f t="shared" si="279"/>
        <v>0</v>
      </c>
      <c r="H204" s="27">
        <f t="shared" si="279"/>
        <v>3180</v>
      </c>
      <c r="I204" s="27">
        <f t="shared" si="275"/>
        <v>37736</v>
      </c>
      <c r="L204" s="103" t="s">
        <v>165</v>
      </c>
      <c r="M204" s="104">
        <v>1100.0</v>
      </c>
      <c r="N204" s="104">
        <f t="shared" si="272"/>
        <v>366.6666667</v>
      </c>
      <c r="O204" s="105">
        <v>45.0</v>
      </c>
      <c r="R204" s="26" t="s">
        <v>31</v>
      </c>
      <c r="S204" s="27">
        <f t="shared" ref="S204:X204" si="280">S219*L136</f>
        <v>204600</v>
      </c>
      <c r="T204" s="27">
        <f t="shared" si="280"/>
        <v>377000</v>
      </c>
      <c r="U204" s="27">
        <f t="shared" si="280"/>
        <v>505400</v>
      </c>
      <c r="V204" s="27">
        <f t="shared" si="280"/>
        <v>80600</v>
      </c>
      <c r="W204" s="27">
        <f t="shared" si="280"/>
        <v>0</v>
      </c>
      <c r="X204" s="27">
        <f t="shared" si="280"/>
        <v>0</v>
      </c>
      <c r="Y204" s="27">
        <f t="shared" si="270"/>
        <v>1167600</v>
      </c>
      <c r="AC204" s="32" t="s">
        <v>210</v>
      </c>
      <c r="AD204" s="101" t="str">
        <f>AD203*52</f>
        <v>#REF!</v>
      </c>
      <c r="AE204" s="21"/>
      <c r="AF204" s="110"/>
      <c r="AG204" s="110"/>
      <c r="AH204" s="110"/>
      <c r="AI204" s="110"/>
      <c r="AJ204" s="110"/>
      <c r="AK204" s="110"/>
      <c r="AL204" s="110"/>
      <c r="AM204" s="110"/>
      <c r="AN204" s="110"/>
      <c r="AO204" s="110"/>
      <c r="AP204" s="110"/>
      <c r="AQ204" s="110"/>
      <c r="AR204" s="110"/>
      <c r="AS204" s="110"/>
      <c r="AT204" s="110"/>
      <c r="AU204" s="110"/>
      <c r="AV204" s="110"/>
      <c r="AW204" s="27"/>
      <c r="AX204" s="110"/>
      <c r="AY204" s="110"/>
      <c r="AZ204" s="110"/>
      <c r="BA204" s="110"/>
      <c r="BB204" s="110"/>
      <c r="BC204" s="110"/>
      <c r="BD204" s="110"/>
      <c r="BE204" s="110"/>
      <c r="BF204" s="110"/>
      <c r="BG204" s="110"/>
      <c r="BH204" s="110"/>
      <c r="BI204" s="110"/>
      <c r="BJ204" s="110"/>
      <c r="BK204" s="110"/>
      <c r="BL204" s="110"/>
      <c r="BM204" s="110"/>
      <c r="BN204" s="110"/>
      <c r="BO204" s="110"/>
      <c r="BP204" s="110"/>
      <c r="BQ204" s="110"/>
      <c r="BR204" s="110"/>
      <c r="BS204" s="110"/>
      <c r="BT204" s="110"/>
      <c r="BU204" s="110"/>
      <c r="BV204" s="110"/>
      <c r="BW204" s="110"/>
      <c r="BX204" s="110"/>
      <c r="BY204" s="110"/>
      <c r="BZ204" s="110"/>
    </row>
    <row r="205" ht="15.0" customHeight="1">
      <c r="B205" s="26" t="s">
        <v>8</v>
      </c>
      <c r="C205" s="27">
        <f t="shared" ref="C205:H205" si="281">212*L135</f>
        <v>23108</v>
      </c>
      <c r="D205" s="27">
        <f t="shared" si="281"/>
        <v>41764</v>
      </c>
      <c r="E205" s="27">
        <f t="shared" si="281"/>
        <v>49396</v>
      </c>
      <c r="F205" s="27">
        <f t="shared" si="281"/>
        <v>20776</v>
      </c>
      <c r="G205" s="27">
        <f t="shared" si="281"/>
        <v>0</v>
      </c>
      <c r="H205" s="27">
        <f t="shared" si="281"/>
        <v>0</v>
      </c>
      <c r="I205" s="27">
        <f t="shared" si="275"/>
        <v>135044</v>
      </c>
      <c r="L205" s="103" t="s">
        <v>169</v>
      </c>
      <c r="M205" s="104">
        <v>750.0</v>
      </c>
      <c r="N205" s="104">
        <f t="shared" si="272"/>
        <v>250</v>
      </c>
      <c r="O205" s="105">
        <v>50.0</v>
      </c>
      <c r="R205" s="32" t="s">
        <v>48</v>
      </c>
      <c r="S205" s="33">
        <f t="shared" ref="S205:Y205" si="282">SUM(S199:S204)</f>
        <v>1860200</v>
      </c>
      <c r="T205" s="33">
        <f t="shared" si="282"/>
        <v>857550</v>
      </c>
      <c r="U205" s="33">
        <f t="shared" si="282"/>
        <v>1056700</v>
      </c>
      <c r="V205" s="33">
        <f t="shared" si="282"/>
        <v>274100</v>
      </c>
      <c r="W205" s="33">
        <f t="shared" si="282"/>
        <v>1731450</v>
      </c>
      <c r="X205" s="33">
        <f t="shared" si="282"/>
        <v>291650</v>
      </c>
      <c r="Y205" s="33">
        <f t="shared" si="282"/>
        <v>6071650</v>
      </c>
      <c r="AW205" s="33"/>
    </row>
    <row r="206" ht="15.0" customHeight="1">
      <c r="B206" s="26" t="s">
        <v>31</v>
      </c>
      <c r="C206" s="27">
        <f t="shared" ref="C206:H206" si="283">212*L136</f>
        <v>27984</v>
      </c>
      <c r="D206" s="27">
        <f t="shared" si="283"/>
        <v>55120</v>
      </c>
      <c r="E206" s="27">
        <f t="shared" si="283"/>
        <v>56392</v>
      </c>
      <c r="F206" s="27">
        <f t="shared" si="283"/>
        <v>11024</v>
      </c>
      <c r="G206" s="27">
        <f t="shared" si="283"/>
        <v>0</v>
      </c>
      <c r="H206" s="27">
        <f t="shared" si="283"/>
        <v>0</v>
      </c>
      <c r="I206" s="27">
        <f t="shared" si="275"/>
        <v>150520</v>
      </c>
      <c r="L206" s="106" t="s">
        <v>173</v>
      </c>
      <c r="M206" s="107">
        <v>850.0</v>
      </c>
      <c r="N206" s="107">
        <f t="shared" si="272"/>
        <v>283.3333333</v>
      </c>
      <c r="O206" s="108">
        <v>35.0</v>
      </c>
      <c r="Y206" s="4" t="s">
        <v>210</v>
      </c>
      <c r="Z206" s="33">
        <f>Y205*52</f>
        <v>315725800</v>
      </c>
    </row>
    <row r="207" ht="15.0" customHeight="1">
      <c r="B207" s="32" t="s">
        <v>48</v>
      </c>
      <c r="C207" s="27">
        <f>212*L137</f>
        <v>248252</v>
      </c>
      <c r="D207" s="33">
        <f t="shared" ref="D207:I207" si="284">SUM(D201:D206)</f>
        <v>124020</v>
      </c>
      <c r="E207" s="33">
        <f t="shared" si="284"/>
        <v>119568</v>
      </c>
      <c r="F207" s="33">
        <f t="shared" si="284"/>
        <v>38372</v>
      </c>
      <c r="G207" s="33">
        <f t="shared" si="284"/>
        <v>245072</v>
      </c>
      <c r="H207" s="33">
        <f t="shared" si="284"/>
        <v>38372</v>
      </c>
      <c r="I207" s="33">
        <f t="shared" si="284"/>
        <v>813656</v>
      </c>
      <c r="L207" s="106" t="s">
        <v>177</v>
      </c>
      <c r="M207" s="107">
        <v>850.0</v>
      </c>
      <c r="N207" s="107">
        <f t="shared" si="272"/>
        <v>283.3333333</v>
      </c>
      <c r="O207" s="108">
        <v>50.0</v>
      </c>
    </row>
    <row r="208" ht="15.0" customHeight="1">
      <c r="I208" s="4" t="s">
        <v>210</v>
      </c>
      <c r="J208" s="33">
        <f>I207*52</f>
        <v>42310112</v>
      </c>
      <c r="L208" s="106" t="s">
        <v>180</v>
      </c>
      <c r="M208" s="107">
        <v>850.0</v>
      </c>
      <c r="N208" s="107">
        <f t="shared" si="272"/>
        <v>283.3333333</v>
      </c>
      <c r="O208" s="108">
        <v>50.0</v>
      </c>
    </row>
    <row r="209" ht="15.0" customHeight="1">
      <c r="L209" s="103" t="s">
        <v>185</v>
      </c>
      <c r="M209" s="104">
        <v>750.0</v>
      </c>
      <c r="N209" s="104">
        <f t="shared" si="272"/>
        <v>250</v>
      </c>
      <c r="O209" s="105">
        <v>50.0</v>
      </c>
    </row>
    <row r="210" ht="15.0" customHeight="1">
      <c r="L210" s="106" t="s">
        <v>189</v>
      </c>
      <c r="M210" s="107">
        <v>750.0</v>
      </c>
      <c r="N210" s="107">
        <f t="shared" si="272"/>
        <v>250</v>
      </c>
      <c r="O210" s="108">
        <v>50.0</v>
      </c>
    </row>
    <row r="211" ht="15.0" customHeight="1">
      <c r="L211" s="103" t="s">
        <v>193</v>
      </c>
      <c r="M211" s="104">
        <v>800.0</v>
      </c>
      <c r="N211" s="104">
        <f t="shared" si="272"/>
        <v>266.6666667</v>
      </c>
      <c r="O211" s="105">
        <v>50.0</v>
      </c>
    </row>
    <row r="212" ht="15.0" customHeight="1">
      <c r="L212" s="106" t="s">
        <v>196</v>
      </c>
      <c r="M212" s="107">
        <v>800.0</v>
      </c>
      <c r="N212" s="107">
        <f t="shared" si="272"/>
        <v>266.6666667</v>
      </c>
      <c r="O212" s="108">
        <v>45.0</v>
      </c>
      <c r="R212" s="42" t="s">
        <v>221</v>
      </c>
      <c r="S212" s="20"/>
      <c r="T212" s="20"/>
      <c r="U212" s="20"/>
      <c r="V212" s="20"/>
      <c r="W212" s="20"/>
      <c r="X212" s="58"/>
    </row>
    <row r="213" ht="15.0" customHeight="1">
      <c r="L213" s="106" t="s">
        <v>199</v>
      </c>
      <c r="M213" s="107">
        <v>800.0</v>
      </c>
      <c r="N213" s="107">
        <f t="shared" si="272"/>
        <v>266.6666667</v>
      </c>
      <c r="O213" s="109">
        <v>50.0</v>
      </c>
      <c r="R213" s="4" t="s">
        <v>42</v>
      </c>
      <c r="S213" s="4" t="s">
        <v>25</v>
      </c>
      <c r="T213" s="4" t="s">
        <v>28</v>
      </c>
      <c r="U213" s="4" t="s">
        <v>9</v>
      </c>
      <c r="V213" s="49" t="s">
        <v>33</v>
      </c>
      <c r="W213" s="4" t="s">
        <v>8</v>
      </c>
      <c r="X213" s="4" t="s">
        <v>31</v>
      </c>
      <c r="AW213" s="4"/>
    </row>
    <row r="214" ht="15.0" customHeight="1">
      <c r="L214" s="106" t="s">
        <v>202</v>
      </c>
      <c r="M214" s="107">
        <v>850.0</v>
      </c>
      <c r="N214" s="107">
        <f t="shared" si="272"/>
        <v>283.3333333</v>
      </c>
      <c r="O214" s="109">
        <v>40.0</v>
      </c>
      <c r="R214" s="26" t="s">
        <v>25</v>
      </c>
      <c r="S214" s="27"/>
      <c r="T214" s="27">
        <f>S215</f>
        <v>1400</v>
      </c>
      <c r="U214" s="27">
        <f>S216</f>
        <v>1850</v>
      </c>
      <c r="V214" s="27">
        <f>S217</f>
        <v>1500</v>
      </c>
      <c r="W214" s="27">
        <f>S218</f>
        <v>1500</v>
      </c>
      <c r="X214" s="27">
        <f>S219</f>
        <v>1550</v>
      </c>
      <c r="AW214" s="27"/>
    </row>
    <row r="215" ht="15.0" customHeight="1">
      <c r="L215" s="106" t="s">
        <v>207</v>
      </c>
      <c r="M215" s="107">
        <v>950.0</v>
      </c>
      <c r="N215" s="107">
        <f t="shared" si="272"/>
        <v>316.6666667</v>
      </c>
      <c r="O215" s="109">
        <v>50.0</v>
      </c>
      <c r="R215" s="26" t="s">
        <v>28</v>
      </c>
      <c r="S215" s="27">
        <f>M200+M203</f>
        <v>1400</v>
      </c>
      <c r="T215" s="27"/>
      <c r="U215" s="27">
        <f>T216</f>
        <v>1750</v>
      </c>
      <c r="V215" s="27">
        <f>T217</f>
        <v>1400</v>
      </c>
      <c r="W215" s="27">
        <f>T218</f>
        <v>1400</v>
      </c>
      <c r="X215" s="27">
        <f>T219</f>
        <v>1450</v>
      </c>
      <c r="AW215" s="27"/>
    </row>
    <row r="216" ht="15.0" customHeight="1">
      <c r="R216" s="26" t="s">
        <v>9</v>
      </c>
      <c r="S216" s="27">
        <f>M204+M200</f>
        <v>1850</v>
      </c>
      <c r="T216" s="27">
        <f>M204+M203</f>
        <v>1750</v>
      </c>
      <c r="U216" s="27"/>
      <c r="V216" s="27">
        <f>U217</f>
        <v>1850</v>
      </c>
      <c r="W216" s="27">
        <f>U218</f>
        <v>1850</v>
      </c>
      <c r="X216" s="27">
        <f>U219</f>
        <v>1900</v>
      </c>
      <c r="AW216" s="27"/>
    </row>
    <row r="217" ht="15.0" customHeight="1">
      <c r="R217" s="26" t="s">
        <v>33</v>
      </c>
      <c r="S217" s="27">
        <f>M205+M200</f>
        <v>1500</v>
      </c>
      <c r="T217" s="27">
        <f>M205+M203</f>
        <v>1400</v>
      </c>
      <c r="U217" s="27">
        <f>M204+M205</f>
        <v>1850</v>
      </c>
      <c r="V217" s="27"/>
      <c r="W217" s="27">
        <f>V218</f>
        <v>1500</v>
      </c>
      <c r="X217" s="27">
        <f>V219</f>
        <v>1550</v>
      </c>
      <c r="AW217" s="27"/>
    </row>
    <row r="218" ht="15.0" customHeight="1">
      <c r="R218" s="26" t="s">
        <v>8</v>
      </c>
      <c r="S218" s="27">
        <f>M209+M200</f>
        <v>1500</v>
      </c>
      <c r="T218" s="27">
        <f>M209+M203</f>
        <v>1400</v>
      </c>
      <c r="U218" s="27">
        <f>M209+M204</f>
        <v>1850</v>
      </c>
      <c r="V218" s="27">
        <f>M209+M205</f>
        <v>1500</v>
      </c>
      <c r="W218" s="27"/>
      <c r="X218" s="27">
        <f>W219</f>
        <v>1550</v>
      </c>
      <c r="AW218" s="27"/>
    </row>
    <row r="219" ht="15.0" customHeight="1">
      <c r="R219" s="26" t="s">
        <v>31</v>
      </c>
      <c r="S219" s="27">
        <f>M211+M200</f>
        <v>1550</v>
      </c>
      <c r="T219" s="27">
        <f>M211+M203</f>
        <v>1450</v>
      </c>
      <c r="U219" s="27">
        <f>M211+M204</f>
        <v>1900</v>
      </c>
      <c r="V219" s="27">
        <f>M211+M205</f>
        <v>1550</v>
      </c>
      <c r="W219" s="27">
        <f>M211+M209</f>
        <v>1550</v>
      </c>
      <c r="X219" s="27"/>
      <c r="AW219" s="27"/>
    </row>
    <row r="220" ht="15.75" customHeight="1"/>
    <row r="221" ht="15.75" customHeight="1"/>
    <row r="222" ht="15.0" customHeight="1">
      <c r="L222" s="19" t="s">
        <v>222</v>
      </c>
      <c r="M222" s="20"/>
      <c r="N222" s="21"/>
    </row>
    <row r="223" ht="15.0" customHeight="1">
      <c r="L223" s="102" t="s">
        <v>44</v>
      </c>
      <c r="M223" s="82" t="s">
        <v>223</v>
      </c>
      <c r="N223" s="82" t="s">
        <v>224</v>
      </c>
      <c r="P223" s="29">
        <f>210*2</f>
        <v>420</v>
      </c>
    </row>
    <row r="224" ht="15.0" customHeight="1">
      <c r="L224" s="103" t="s">
        <v>149</v>
      </c>
      <c r="M224" s="104">
        <v>100.0</v>
      </c>
      <c r="N224" s="104">
        <v>210.0</v>
      </c>
      <c r="O224" s="110">
        <f>M224+2*N224</f>
        <v>520</v>
      </c>
      <c r="R224" s="42" t="s">
        <v>225</v>
      </c>
      <c r="S224" s="20"/>
      <c r="T224" s="20"/>
      <c r="U224" s="20"/>
      <c r="V224" s="20"/>
      <c r="W224" s="20"/>
      <c r="X224" s="20"/>
      <c r="Y224" s="21"/>
      <c r="AC224" s="97" t="s">
        <v>226</v>
      </c>
      <c r="AD224" s="98"/>
      <c r="AE224" s="99"/>
      <c r="AF224" s="137"/>
      <c r="AG224" s="137"/>
      <c r="AH224" s="137"/>
      <c r="AI224" s="137"/>
      <c r="AJ224" s="137"/>
      <c r="AK224" s="137"/>
      <c r="AL224" s="137"/>
      <c r="AM224" s="137"/>
      <c r="AN224" s="137"/>
      <c r="AO224" s="137"/>
      <c r="AP224" s="137"/>
      <c r="AQ224" s="137"/>
      <c r="AR224" s="137"/>
      <c r="AS224" s="137"/>
      <c r="AT224" s="137"/>
      <c r="AU224" s="137"/>
      <c r="AV224" s="13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  <c r="BV224" s="57"/>
      <c r="BW224" s="57"/>
      <c r="BX224" s="57"/>
      <c r="BY224" s="57"/>
      <c r="BZ224" s="57"/>
    </row>
    <row r="225" ht="15.0" customHeight="1">
      <c r="L225" s="106" t="s">
        <v>153</v>
      </c>
      <c r="M225" s="107">
        <v>100.0</v>
      </c>
      <c r="N225" s="107">
        <v>210.0</v>
      </c>
      <c r="R225" s="4" t="s">
        <v>42</v>
      </c>
      <c r="S225" s="4" t="s">
        <v>25</v>
      </c>
      <c r="T225" s="4" t="s">
        <v>28</v>
      </c>
      <c r="U225" s="4" t="s">
        <v>9</v>
      </c>
      <c r="V225" s="49" t="s">
        <v>33</v>
      </c>
      <c r="W225" s="4" t="s">
        <v>8</v>
      </c>
      <c r="X225" s="4" t="s">
        <v>31</v>
      </c>
      <c r="Y225" s="4" t="s">
        <v>43</v>
      </c>
      <c r="AC225" s="9" t="s">
        <v>212</v>
      </c>
      <c r="AD225" s="100" t="s">
        <v>213</v>
      </c>
      <c r="AE225" s="2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4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</row>
    <row r="226" ht="15.0" customHeight="1">
      <c r="L226" s="106" t="s">
        <v>227</v>
      </c>
      <c r="M226" s="107">
        <v>100.0</v>
      </c>
      <c r="N226" s="107">
        <v>210.0</v>
      </c>
      <c r="R226" s="26" t="s">
        <v>25</v>
      </c>
      <c r="S226" s="27">
        <f t="shared" ref="S226:X226" si="285">L131*$P$223</f>
        <v>0</v>
      </c>
      <c r="T226" s="27">
        <f t="shared" si="285"/>
        <v>0</v>
      </c>
      <c r="U226" s="27">
        <f t="shared" si="285"/>
        <v>9240</v>
      </c>
      <c r="V226" s="27">
        <f t="shared" si="285"/>
        <v>13020</v>
      </c>
      <c r="W226" s="27">
        <f t="shared" si="285"/>
        <v>427560</v>
      </c>
      <c r="X226" s="27">
        <f t="shared" si="285"/>
        <v>48300</v>
      </c>
      <c r="Y226" s="27">
        <f t="shared" ref="Y226:Y231" si="287">SUM(S226:X226)</f>
        <v>498120</v>
      </c>
      <c r="AC226" s="9" t="s">
        <v>149</v>
      </c>
      <c r="AD226" s="101" t="str">
        <f t="shared" ref="AD226:AD231" si="288">$O$224*(#REF!+AE26+AE36)</f>
        <v>#REF!</v>
      </c>
      <c r="AE226" s="21"/>
      <c r="AF226" s="110"/>
      <c r="AG226" s="110"/>
      <c r="AH226" s="110"/>
      <c r="AI226" s="110"/>
      <c r="AJ226" s="110"/>
      <c r="AK226" s="110"/>
      <c r="AL226" s="110"/>
      <c r="AM226" s="110"/>
      <c r="AN226" s="110"/>
      <c r="AO226" s="110"/>
      <c r="AP226" s="110"/>
      <c r="AQ226" s="110"/>
      <c r="AR226" s="110"/>
      <c r="AS226" s="110"/>
      <c r="AT226" s="110"/>
      <c r="AU226" s="110"/>
      <c r="AV226" s="110"/>
      <c r="AW226" s="27"/>
      <c r="AX226" s="110"/>
      <c r="AY226" s="110"/>
      <c r="AZ226" s="110"/>
      <c r="BA226" s="110"/>
      <c r="BB226" s="110"/>
      <c r="BC226" s="110"/>
      <c r="BD226" s="110"/>
      <c r="BE226" s="110"/>
      <c r="BF226" s="110"/>
      <c r="BG226" s="110"/>
      <c r="BH226" s="110"/>
      <c r="BI226" s="110"/>
      <c r="BJ226" s="110"/>
      <c r="BK226" s="110"/>
      <c r="BL226" s="110"/>
      <c r="BM226" s="110"/>
      <c r="BN226" s="110"/>
      <c r="BO226" s="110"/>
      <c r="BP226" s="110"/>
      <c r="BQ226" s="110"/>
      <c r="BR226" s="110"/>
      <c r="BS226" s="110"/>
      <c r="BT226" s="110"/>
      <c r="BU226" s="110"/>
      <c r="BV226" s="110"/>
      <c r="BW226" s="110"/>
      <c r="BX226" s="110"/>
      <c r="BY226" s="110"/>
      <c r="BZ226" s="110"/>
    </row>
    <row r="227" ht="15.0" customHeight="1">
      <c r="L227" s="103" t="s">
        <v>161</v>
      </c>
      <c r="M227" s="104">
        <v>100.0</v>
      </c>
      <c r="N227" s="104">
        <v>210.0</v>
      </c>
      <c r="R227" s="26" t="s">
        <v>28</v>
      </c>
      <c r="S227" s="27">
        <f t="shared" ref="S227:X227" si="286">L132*$P$223</f>
        <v>191940</v>
      </c>
      <c r="T227" s="27">
        <f t="shared" si="286"/>
        <v>0</v>
      </c>
      <c r="U227" s="27">
        <f t="shared" si="286"/>
        <v>0</v>
      </c>
      <c r="V227" s="27">
        <f t="shared" si="286"/>
        <v>0</v>
      </c>
      <c r="W227" s="27">
        <f t="shared" si="286"/>
        <v>47460</v>
      </c>
      <c r="X227" s="27">
        <f t="shared" si="286"/>
        <v>6300</v>
      </c>
      <c r="Y227" s="27">
        <f t="shared" si="287"/>
        <v>245700</v>
      </c>
      <c r="AC227" s="9" t="s">
        <v>161</v>
      </c>
      <c r="AD227" s="101" t="str">
        <f t="shared" si="288"/>
        <v>#REF!</v>
      </c>
      <c r="AE227" s="21"/>
      <c r="AF227" s="110"/>
      <c r="AG227" s="110"/>
      <c r="AH227" s="110"/>
      <c r="AI227" s="110"/>
      <c r="AJ227" s="110"/>
      <c r="AK227" s="110"/>
      <c r="AL227" s="110"/>
      <c r="AM227" s="110"/>
      <c r="AN227" s="110"/>
      <c r="AO227" s="110"/>
      <c r="AP227" s="110"/>
      <c r="AQ227" s="110"/>
      <c r="AR227" s="110"/>
      <c r="AS227" s="110"/>
      <c r="AT227" s="110"/>
      <c r="AU227" s="110"/>
      <c r="AV227" s="110"/>
      <c r="AW227" s="27"/>
      <c r="AX227" s="110"/>
      <c r="AY227" s="110"/>
      <c r="AZ227" s="110"/>
      <c r="BA227" s="110"/>
      <c r="BB227" s="110"/>
      <c r="BC227" s="110"/>
      <c r="BD227" s="110"/>
      <c r="BE227" s="110"/>
      <c r="BF227" s="110"/>
      <c r="BG227" s="110"/>
      <c r="BH227" s="110"/>
      <c r="BI227" s="110"/>
      <c r="BJ227" s="110"/>
      <c r="BK227" s="110"/>
      <c r="BL227" s="110"/>
      <c r="BM227" s="110"/>
      <c r="BN227" s="110"/>
      <c r="BO227" s="110"/>
      <c r="BP227" s="110"/>
      <c r="BQ227" s="110"/>
      <c r="BR227" s="110"/>
      <c r="BS227" s="110"/>
      <c r="BT227" s="110"/>
      <c r="BU227" s="110"/>
      <c r="BV227" s="110"/>
      <c r="BW227" s="110"/>
      <c r="BX227" s="110"/>
      <c r="BY227" s="110"/>
      <c r="BZ227" s="110"/>
    </row>
    <row r="228" ht="15.0" customHeight="1">
      <c r="L228" s="103" t="s">
        <v>165</v>
      </c>
      <c r="M228" s="104">
        <v>100.0</v>
      </c>
      <c r="N228" s="104">
        <v>210.0</v>
      </c>
      <c r="R228" s="26" t="s">
        <v>9</v>
      </c>
      <c r="S228" s="27">
        <f t="shared" ref="S228:X228" si="289">L133*$P$223</f>
        <v>171360</v>
      </c>
      <c r="T228" s="27">
        <f t="shared" si="289"/>
        <v>30660</v>
      </c>
      <c r="U228" s="27">
        <f t="shared" si="289"/>
        <v>0</v>
      </c>
      <c r="V228" s="27">
        <f t="shared" si="289"/>
        <v>0</v>
      </c>
      <c r="W228" s="27">
        <f t="shared" si="289"/>
        <v>10500</v>
      </c>
      <c r="X228" s="27">
        <f t="shared" si="289"/>
        <v>15120</v>
      </c>
      <c r="Y228" s="27">
        <f t="shared" si="287"/>
        <v>227640</v>
      </c>
      <c r="AC228" s="9" t="s">
        <v>165</v>
      </c>
      <c r="AD228" s="101" t="str">
        <f t="shared" si="288"/>
        <v>#REF!</v>
      </c>
      <c r="AE228" s="21"/>
      <c r="AF228" s="110"/>
      <c r="AG228" s="110"/>
      <c r="AH228" s="110"/>
      <c r="AI228" s="110"/>
      <c r="AJ228" s="110"/>
      <c r="AK228" s="110"/>
      <c r="AL228" s="110"/>
      <c r="AM228" s="110"/>
      <c r="AN228" s="110"/>
      <c r="AO228" s="110"/>
      <c r="AP228" s="110"/>
      <c r="AQ228" s="110"/>
      <c r="AR228" s="110"/>
      <c r="AS228" s="110"/>
      <c r="AT228" s="110"/>
      <c r="AU228" s="110"/>
      <c r="AV228" s="110"/>
      <c r="AW228" s="27"/>
      <c r="AX228" s="110"/>
      <c r="AY228" s="110"/>
      <c r="AZ228" s="110"/>
      <c r="BA228" s="110"/>
      <c r="BB228" s="110"/>
      <c r="BC228" s="110"/>
      <c r="BD228" s="110"/>
      <c r="BE228" s="110"/>
      <c r="BF228" s="110"/>
      <c r="BG228" s="110"/>
      <c r="BH228" s="110"/>
      <c r="BI228" s="110"/>
      <c r="BJ228" s="110"/>
      <c r="BK228" s="110"/>
      <c r="BL228" s="110"/>
      <c r="BM228" s="110"/>
      <c r="BN228" s="110"/>
      <c r="BO228" s="110"/>
      <c r="BP228" s="110"/>
      <c r="BQ228" s="110"/>
      <c r="BR228" s="110"/>
      <c r="BS228" s="110"/>
      <c r="BT228" s="110"/>
      <c r="BU228" s="110"/>
      <c r="BV228" s="110"/>
      <c r="BW228" s="110"/>
      <c r="BX228" s="110"/>
      <c r="BY228" s="110"/>
      <c r="BZ228" s="110"/>
    </row>
    <row r="229" ht="15.0" customHeight="1">
      <c r="L229" s="103" t="s">
        <v>169</v>
      </c>
      <c r="M229" s="104">
        <v>100.0</v>
      </c>
      <c r="N229" s="104">
        <v>210.0</v>
      </c>
      <c r="R229" s="26" t="s">
        <v>33</v>
      </c>
      <c r="S229" s="27">
        <f t="shared" ref="S229:X229" si="290">L134*$P$223</f>
        <v>27300</v>
      </c>
      <c r="T229" s="27">
        <f t="shared" si="290"/>
        <v>23100</v>
      </c>
      <c r="U229" s="27">
        <f t="shared" si="290"/>
        <v>18060</v>
      </c>
      <c r="V229" s="27">
        <f t="shared" si="290"/>
        <v>0</v>
      </c>
      <c r="W229" s="27">
        <f t="shared" si="290"/>
        <v>0</v>
      </c>
      <c r="X229" s="27">
        <f t="shared" si="290"/>
        <v>6300</v>
      </c>
      <c r="Y229" s="27">
        <f t="shared" si="287"/>
        <v>74760</v>
      </c>
      <c r="AC229" s="9" t="s">
        <v>169</v>
      </c>
      <c r="AD229" s="101" t="str">
        <f t="shared" si="288"/>
        <v>#REF!</v>
      </c>
      <c r="AE229" s="21"/>
      <c r="AF229" s="110"/>
      <c r="AG229" s="110"/>
      <c r="AH229" s="110"/>
      <c r="AI229" s="110"/>
      <c r="AJ229" s="110"/>
      <c r="AK229" s="110"/>
      <c r="AL229" s="110"/>
      <c r="AM229" s="110"/>
      <c r="AN229" s="110"/>
      <c r="AO229" s="110"/>
      <c r="AP229" s="110"/>
      <c r="AQ229" s="110"/>
      <c r="AR229" s="110"/>
      <c r="AS229" s="110"/>
      <c r="AT229" s="110"/>
      <c r="AU229" s="110"/>
      <c r="AV229" s="110"/>
      <c r="AW229" s="27"/>
      <c r="AX229" s="110"/>
      <c r="AY229" s="110"/>
      <c r="AZ229" s="110"/>
      <c r="BA229" s="110"/>
      <c r="BB229" s="110"/>
      <c r="BC229" s="110"/>
      <c r="BD229" s="110"/>
      <c r="BE229" s="110"/>
      <c r="BF229" s="110"/>
      <c r="BG229" s="110"/>
      <c r="BH229" s="110"/>
      <c r="BI229" s="110"/>
      <c r="BJ229" s="110"/>
      <c r="BK229" s="110"/>
      <c r="BL229" s="110"/>
      <c r="BM229" s="110"/>
      <c r="BN229" s="110"/>
      <c r="BO229" s="110"/>
      <c r="BP229" s="110"/>
      <c r="BQ229" s="110"/>
      <c r="BR229" s="110"/>
      <c r="BS229" s="110"/>
      <c r="BT229" s="110"/>
      <c r="BU229" s="110"/>
      <c r="BV229" s="110"/>
      <c r="BW229" s="110"/>
      <c r="BX229" s="110"/>
      <c r="BY229" s="110"/>
      <c r="BZ229" s="110"/>
    </row>
    <row r="230" ht="15.0" customHeight="1">
      <c r="L230" s="106" t="s">
        <v>173</v>
      </c>
      <c r="M230" s="107">
        <v>100.0</v>
      </c>
      <c r="N230" s="107">
        <v>210.0</v>
      </c>
      <c r="R230" s="26" t="s">
        <v>8</v>
      </c>
      <c r="S230" s="27">
        <f t="shared" ref="S230:X230" si="291">L135*$P$223</f>
        <v>45780</v>
      </c>
      <c r="T230" s="27">
        <f t="shared" si="291"/>
        <v>82740</v>
      </c>
      <c r="U230" s="27">
        <f t="shared" si="291"/>
        <v>97860</v>
      </c>
      <c r="V230" s="27">
        <f t="shared" si="291"/>
        <v>41160</v>
      </c>
      <c r="W230" s="27">
        <f t="shared" si="291"/>
        <v>0</v>
      </c>
      <c r="X230" s="27">
        <f t="shared" si="291"/>
        <v>0</v>
      </c>
      <c r="Y230" s="27">
        <f t="shared" si="287"/>
        <v>267540</v>
      </c>
      <c r="AC230" s="9" t="s">
        <v>185</v>
      </c>
      <c r="AD230" s="101" t="str">
        <f t="shared" si="288"/>
        <v>#REF!</v>
      </c>
      <c r="AE230" s="21"/>
      <c r="AF230" s="110"/>
      <c r="AG230" s="110"/>
      <c r="AH230" s="110"/>
      <c r="AI230" s="110"/>
      <c r="AJ230" s="110"/>
      <c r="AK230" s="110"/>
      <c r="AL230" s="110"/>
      <c r="AM230" s="110"/>
      <c r="AN230" s="110"/>
      <c r="AO230" s="110"/>
      <c r="AP230" s="110"/>
      <c r="AQ230" s="110"/>
      <c r="AR230" s="110"/>
      <c r="AS230" s="110"/>
      <c r="AT230" s="110"/>
      <c r="AU230" s="110"/>
      <c r="AV230" s="110"/>
      <c r="AW230" s="27"/>
      <c r="AX230" s="110"/>
      <c r="AY230" s="110"/>
      <c r="AZ230" s="110"/>
      <c r="BA230" s="110"/>
      <c r="BB230" s="110"/>
      <c r="BC230" s="110"/>
      <c r="BD230" s="110"/>
      <c r="BE230" s="110"/>
      <c r="BF230" s="110"/>
      <c r="BG230" s="110"/>
      <c r="BH230" s="110"/>
      <c r="BI230" s="110"/>
      <c r="BJ230" s="110"/>
      <c r="BK230" s="110"/>
      <c r="BL230" s="110"/>
      <c r="BM230" s="110"/>
      <c r="BN230" s="110"/>
      <c r="BO230" s="110"/>
      <c r="BP230" s="110"/>
      <c r="BQ230" s="110"/>
      <c r="BR230" s="110"/>
      <c r="BS230" s="110"/>
      <c r="BT230" s="110"/>
      <c r="BU230" s="110"/>
      <c r="BV230" s="110"/>
      <c r="BW230" s="110"/>
      <c r="BX230" s="110"/>
      <c r="BY230" s="110"/>
      <c r="BZ230" s="110"/>
    </row>
    <row r="231" ht="15.0" customHeight="1">
      <c r="L231" s="106" t="s">
        <v>228</v>
      </c>
      <c r="M231" s="107">
        <v>100.0</v>
      </c>
      <c r="N231" s="107">
        <v>210.0</v>
      </c>
      <c r="R231" s="26" t="s">
        <v>31</v>
      </c>
      <c r="S231" s="27">
        <f t="shared" ref="S231:X231" si="292">L136*$P$223</f>
        <v>55440</v>
      </c>
      <c r="T231" s="27">
        <f t="shared" si="292"/>
        <v>109200</v>
      </c>
      <c r="U231" s="27">
        <f t="shared" si="292"/>
        <v>111720</v>
      </c>
      <c r="V231" s="27">
        <f t="shared" si="292"/>
        <v>21840</v>
      </c>
      <c r="W231" s="27">
        <f t="shared" si="292"/>
        <v>0</v>
      </c>
      <c r="X231" s="27">
        <f t="shared" si="292"/>
        <v>0</v>
      </c>
      <c r="Y231" s="27">
        <f t="shared" si="287"/>
        <v>298200</v>
      </c>
      <c r="AC231" s="9" t="s">
        <v>193</v>
      </c>
      <c r="AD231" s="101" t="str">
        <f t="shared" si="288"/>
        <v>#REF!</v>
      </c>
      <c r="AE231" s="21"/>
      <c r="AF231" s="110"/>
      <c r="AG231" s="110"/>
      <c r="AH231" s="110"/>
      <c r="AI231" s="110"/>
      <c r="AJ231" s="110"/>
      <c r="AK231" s="110"/>
      <c r="AL231" s="110"/>
      <c r="AM231" s="110"/>
      <c r="AN231" s="110"/>
      <c r="AO231" s="110"/>
      <c r="AP231" s="110"/>
      <c r="AQ231" s="110"/>
      <c r="AR231" s="110"/>
      <c r="AS231" s="110"/>
      <c r="AT231" s="110"/>
      <c r="AU231" s="110"/>
      <c r="AV231" s="110"/>
      <c r="AW231" s="27"/>
      <c r="AX231" s="110"/>
      <c r="AY231" s="110"/>
      <c r="AZ231" s="110"/>
      <c r="BA231" s="110"/>
      <c r="BB231" s="110"/>
      <c r="BC231" s="110"/>
      <c r="BD231" s="110"/>
      <c r="BE231" s="110"/>
      <c r="BF231" s="110"/>
      <c r="BG231" s="110"/>
      <c r="BH231" s="110"/>
      <c r="BI231" s="110"/>
      <c r="BJ231" s="110"/>
      <c r="BK231" s="110"/>
      <c r="BL231" s="110"/>
      <c r="BM231" s="110"/>
      <c r="BN231" s="110"/>
      <c r="BO231" s="110"/>
      <c r="BP231" s="110"/>
      <c r="BQ231" s="110"/>
      <c r="BR231" s="110"/>
      <c r="BS231" s="110"/>
      <c r="BT231" s="110"/>
      <c r="BU231" s="110"/>
      <c r="BV231" s="110"/>
      <c r="BW231" s="110"/>
      <c r="BX231" s="110"/>
      <c r="BY231" s="110"/>
      <c r="BZ231" s="110"/>
    </row>
    <row r="232" ht="15.0" customHeight="1">
      <c r="L232" s="106" t="s">
        <v>180</v>
      </c>
      <c r="M232" s="107">
        <v>100.0</v>
      </c>
      <c r="N232" s="107">
        <v>210.0</v>
      </c>
      <c r="R232" s="32" t="s">
        <v>48</v>
      </c>
      <c r="S232" s="33">
        <f t="shared" ref="S232:Y232" si="293">SUM(S226:S231)</f>
        <v>491820</v>
      </c>
      <c r="T232" s="33">
        <f t="shared" si="293"/>
        <v>245700</v>
      </c>
      <c r="U232" s="33">
        <f t="shared" si="293"/>
        <v>236880</v>
      </c>
      <c r="V232" s="33">
        <f t="shared" si="293"/>
        <v>76020</v>
      </c>
      <c r="W232" s="33">
        <f t="shared" si="293"/>
        <v>485520</v>
      </c>
      <c r="X232" s="33">
        <f t="shared" si="293"/>
        <v>76020</v>
      </c>
      <c r="Y232" s="33">
        <f t="shared" si="293"/>
        <v>1611960</v>
      </c>
      <c r="AC232" s="32" t="s">
        <v>220</v>
      </c>
      <c r="AD232" s="101" t="str">
        <f>SUM(AD226:AE231)</f>
        <v>#REF!</v>
      </c>
      <c r="AE232" s="21"/>
      <c r="AF232" s="110"/>
      <c r="AG232" s="110"/>
      <c r="AH232" s="110"/>
      <c r="AI232" s="110"/>
      <c r="AJ232" s="110"/>
      <c r="AK232" s="110"/>
      <c r="AL232" s="110"/>
      <c r="AM232" s="110"/>
      <c r="AN232" s="110"/>
      <c r="AO232" s="110"/>
      <c r="AP232" s="110"/>
      <c r="AQ232" s="110"/>
      <c r="AR232" s="110"/>
      <c r="AS232" s="110"/>
      <c r="AT232" s="110"/>
      <c r="AU232" s="110"/>
      <c r="AV232" s="110"/>
      <c r="AW232" s="33"/>
      <c r="AX232" s="110"/>
      <c r="AY232" s="110"/>
      <c r="AZ232" s="110"/>
      <c r="BA232" s="110"/>
      <c r="BB232" s="110"/>
      <c r="BC232" s="110"/>
      <c r="BD232" s="110"/>
      <c r="BE232" s="110"/>
      <c r="BF232" s="110"/>
      <c r="BG232" s="110"/>
      <c r="BH232" s="110"/>
      <c r="BI232" s="110"/>
      <c r="BJ232" s="110"/>
      <c r="BK232" s="110"/>
      <c r="BL232" s="110"/>
      <c r="BM232" s="110"/>
      <c r="BN232" s="110"/>
      <c r="BO232" s="110"/>
      <c r="BP232" s="110"/>
      <c r="BQ232" s="110"/>
      <c r="BR232" s="110"/>
      <c r="BS232" s="110"/>
      <c r="BT232" s="110"/>
      <c r="BU232" s="110"/>
      <c r="BV232" s="110"/>
      <c r="BW232" s="110"/>
      <c r="BX232" s="110"/>
      <c r="BY232" s="110"/>
      <c r="BZ232" s="110"/>
    </row>
    <row r="233" ht="15.0" customHeight="1">
      <c r="L233" s="103" t="s">
        <v>185</v>
      </c>
      <c r="M233" s="104">
        <v>100.0</v>
      </c>
      <c r="N233" s="104">
        <v>210.0</v>
      </c>
      <c r="Y233" s="4" t="s">
        <v>210</v>
      </c>
      <c r="Z233" s="33">
        <f>Y232*52</f>
        <v>83821920</v>
      </c>
      <c r="AC233" s="32" t="s">
        <v>210</v>
      </c>
      <c r="AD233" s="101" t="str">
        <f>AD232*52</f>
        <v>#REF!</v>
      </c>
      <c r="AE233" s="21"/>
      <c r="AF233" s="110"/>
      <c r="AG233" s="110"/>
      <c r="AH233" s="110"/>
      <c r="AI233" s="110"/>
      <c r="AJ233" s="110"/>
      <c r="AK233" s="110"/>
      <c r="AL233" s="110"/>
      <c r="AM233" s="110"/>
      <c r="AN233" s="110"/>
      <c r="AO233" s="110"/>
      <c r="AP233" s="110"/>
      <c r="AQ233" s="110"/>
      <c r="AR233" s="110"/>
      <c r="AS233" s="110"/>
      <c r="AT233" s="110"/>
      <c r="AU233" s="110"/>
      <c r="AV233" s="110"/>
      <c r="AX233" s="110"/>
      <c r="AY233" s="110"/>
      <c r="AZ233" s="110"/>
      <c r="BA233" s="110"/>
      <c r="BB233" s="110"/>
      <c r="BC233" s="110"/>
      <c r="BD233" s="110"/>
      <c r="BE233" s="110"/>
      <c r="BF233" s="110"/>
      <c r="BG233" s="110"/>
      <c r="BH233" s="110"/>
      <c r="BI233" s="110"/>
      <c r="BJ233" s="110"/>
      <c r="BK233" s="110"/>
      <c r="BL233" s="110"/>
      <c r="BM233" s="110"/>
      <c r="BN233" s="110"/>
      <c r="BO233" s="110"/>
      <c r="BP233" s="110"/>
      <c r="BQ233" s="110"/>
      <c r="BR233" s="110"/>
      <c r="BS233" s="110"/>
      <c r="BT233" s="110"/>
      <c r="BU233" s="110"/>
      <c r="BV233" s="110"/>
      <c r="BW233" s="110"/>
      <c r="BX233" s="110"/>
      <c r="BY233" s="110"/>
      <c r="BZ233" s="110"/>
    </row>
    <row r="234" ht="15.0" customHeight="1">
      <c r="L234" s="106" t="s">
        <v>189</v>
      </c>
      <c r="M234" s="107">
        <v>100.0</v>
      </c>
      <c r="N234" s="107">
        <v>210.0</v>
      </c>
    </row>
    <row r="235" ht="15.0" customHeight="1">
      <c r="L235" s="103" t="s">
        <v>193</v>
      </c>
      <c r="M235" s="104">
        <v>100.0</v>
      </c>
      <c r="N235" s="104">
        <v>210.0</v>
      </c>
    </row>
    <row r="236" ht="15.0" customHeight="1">
      <c r="L236" s="106" t="s">
        <v>196</v>
      </c>
      <c r="M236" s="107">
        <v>100.0</v>
      </c>
      <c r="N236" s="107">
        <v>210.0</v>
      </c>
    </row>
    <row r="237" ht="15.0" customHeight="1">
      <c r="L237" s="106" t="s">
        <v>199</v>
      </c>
      <c r="M237" s="107">
        <v>100.0</v>
      </c>
      <c r="N237" s="107">
        <v>210.0</v>
      </c>
    </row>
    <row r="238" ht="15.0" customHeight="1">
      <c r="L238" s="106" t="s">
        <v>202</v>
      </c>
      <c r="M238" s="107">
        <v>100.0</v>
      </c>
      <c r="N238" s="107">
        <v>210.0</v>
      </c>
    </row>
    <row r="239" ht="15.0" customHeight="1">
      <c r="L239" s="106" t="s">
        <v>207</v>
      </c>
      <c r="M239" s="107">
        <v>100.0</v>
      </c>
      <c r="N239" s="107">
        <v>210.0</v>
      </c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1">
    <mergeCell ref="K87:Q87"/>
    <mergeCell ref="K101:P101"/>
    <mergeCell ref="B106:H106"/>
    <mergeCell ref="K115:P115"/>
    <mergeCell ref="K118:R118"/>
    <mergeCell ref="B125:H125"/>
    <mergeCell ref="K129:R129"/>
    <mergeCell ref="K140:R140"/>
    <mergeCell ref="J154:N154"/>
    <mergeCell ref="J169:P169"/>
    <mergeCell ref="J181:Q181"/>
    <mergeCell ref="AC195:AE195"/>
    <mergeCell ref="AD196:AE196"/>
    <mergeCell ref="AD197:AE197"/>
    <mergeCell ref="R197:Y197"/>
    <mergeCell ref="M198:O198"/>
    <mergeCell ref="AD198:AE198"/>
    <mergeCell ref="B199:I199"/>
    <mergeCell ref="AD199:AE199"/>
    <mergeCell ref="AD200:AE200"/>
    <mergeCell ref="AD201:AE201"/>
    <mergeCell ref="AD202:AE202"/>
    <mergeCell ref="AD203:AE203"/>
    <mergeCell ref="AD204:AE204"/>
    <mergeCell ref="R212:X212"/>
    <mergeCell ref="L222:N222"/>
    <mergeCell ref="R224:Y224"/>
    <mergeCell ref="AC224:AE224"/>
    <mergeCell ref="AD232:AE232"/>
    <mergeCell ref="AD233:AE233"/>
    <mergeCell ref="AD225:AE225"/>
    <mergeCell ref="AD226:AE226"/>
    <mergeCell ref="AD227:AE227"/>
    <mergeCell ref="AD228:AE228"/>
    <mergeCell ref="AD229:AE229"/>
    <mergeCell ref="AD230:AE230"/>
    <mergeCell ref="AD231:AE231"/>
    <mergeCell ref="AF4:AM4"/>
    <mergeCell ref="AO4:AV4"/>
    <mergeCell ref="AX4:BE4"/>
    <mergeCell ref="BG4:BN4"/>
    <mergeCell ref="B14:I14"/>
    <mergeCell ref="K14:R14"/>
    <mergeCell ref="T14:Z14"/>
    <mergeCell ref="AX14:BE14"/>
    <mergeCell ref="BG14:BN14"/>
    <mergeCell ref="B2:I2"/>
    <mergeCell ref="K2:R2"/>
    <mergeCell ref="T2:AD2"/>
    <mergeCell ref="B4:I4"/>
    <mergeCell ref="K4:R4"/>
    <mergeCell ref="T4:U4"/>
    <mergeCell ref="W4:AD4"/>
    <mergeCell ref="K24:R24"/>
    <mergeCell ref="T24:U24"/>
    <mergeCell ref="W24:AD24"/>
    <mergeCell ref="AF24:AM24"/>
    <mergeCell ref="AO24:AV24"/>
    <mergeCell ref="AX24:BE24"/>
    <mergeCell ref="BG24:BN24"/>
    <mergeCell ref="W44:AD44"/>
    <mergeCell ref="AF44:AM44"/>
    <mergeCell ref="AO44:AV44"/>
    <mergeCell ref="AX44:BE44"/>
    <mergeCell ref="BG44:BN44"/>
    <mergeCell ref="BP44:BW44"/>
    <mergeCell ref="AX55:BE55"/>
    <mergeCell ref="B24:I24"/>
    <mergeCell ref="B34:I34"/>
    <mergeCell ref="K34:R34"/>
    <mergeCell ref="T34:Z34"/>
    <mergeCell ref="B44:I44"/>
    <mergeCell ref="K44:R44"/>
    <mergeCell ref="T44:U44"/>
    <mergeCell ref="B54:I54"/>
    <mergeCell ref="B64:H64"/>
    <mergeCell ref="AA64:AF64"/>
    <mergeCell ref="K67:R67"/>
    <mergeCell ref="B74:H74"/>
    <mergeCell ref="K77:R77"/>
    <mergeCell ref="B88:G88"/>
  </mergeCells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43"/>
  </cols>
  <sheetData>
    <row r="1">
      <c r="A1" s="138" t="s">
        <v>0</v>
      </c>
      <c r="B1" s="139" t="s">
        <v>1</v>
      </c>
      <c r="C1" s="139" t="s">
        <v>2</v>
      </c>
      <c r="D1" s="139" t="s">
        <v>3</v>
      </c>
      <c r="E1" s="140" t="s">
        <v>4</v>
      </c>
      <c r="F1" s="141" t="s">
        <v>5</v>
      </c>
    </row>
    <row r="2">
      <c r="A2" s="142" t="s">
        <v>6</v>
      </c>
      <c r="B2" s="143" t="s">
        <v>30</v>
      </c>
      <c r="C2" s="143" t="s">
        <v>31</v>
      </c>
      <c r="D2" s="143" t="s">
        <v>25</v>
      </c>
      <c r="E2" s="144">
        <v>1328.0</v>
      </c>
      <c r="F2" s="145">
        <v>664.0</v>
      </c>
    </row>
    <row r="3">
      <c r="A3" s="142" t="s">
        <v>6</v>
      </c>
      <c r="B3" s="143" t="s">
        <v>30</v>
      </c>
      <c r="C3" s="143" t="s">
        <v>8</v>
      </c>
      <c r="D3" s="143" t="s">
        <v>25</v>
      </c>
      <c r="E3" s="144">
        <v>332.0</v>
      </c>
      <c r="F3" s="145">
        <v>166.0</v>
      </c>
    </row>
    <row r="4">
      <c r="A4" s="142" t="s">
        <v>6</v>
      </c>
      <c r="B4" s="143" t="s">
        <v>30</v>
      </c>
      <c r="C4" s="143" t="s">
        <v>9</v>
      </c>
      <c r="D4" s="143" t="s">
        <v>25</v>
      </c>
      <c r="E4" s="144">
        <v>320.0</v>
      </c>
      <c r="F4" s="145">
        <v>160.0</v>
      </c>
    </row>
    <row r="5">
      <c r="A5" s="142" t="s">
        <v>6</v>
      </c>
      <c r="B5" s="143" t="s">
        <v>30</v>
      </c>
      <c r="C5" s="143" t="s">
        <v>28</v>
      </c>
      <c r="D5" s="143" t="s">
        <v>25</v>
      </c>
      <c r="E5" s="144">
        <v>14.0</v>
      </c>
      <c r="F5" s="145">
        <v>7.0</v>
      </c>
    </row>
    <row r="6">
      <c r="A6" s="142" t="s">
        <v>6</v>
      </c>
      <c r="B6" s="143" t="s">
        <v>30</v>
      </c>
      <c r="C6" s="143" t="s">
        <v>33</v>
      </c>
      <c r="D6" s="143" t="s">
        <v>25</v>
      </c>
      <c r="E6" s="144">
        <v>4.0</v>
      </c>
      <c r="F6" s="145">
        <v>2.0</v>
      </c>
    </row>
    <row r="7">
      <c r="A7" s="142" t="s">
        <v>15</v>
      </c>
      <c r="B7" s="143" t="s">
        <v>30</v>
      </c>
      <c r="C7" s="143" t="s">
        <v>31</v>
      </c>
      <c r="D7" s="143" t="s">
        <v>25</v>
      </c>
      <c r="E7" s="144">
        <v>832.0</v>
      </c>
      <c r="F7" s="145">
        <v>416.0</v>
      </c>
    </row>
    <row r="8">
      <c r="A8" s="142" t="s">
        <v>15</v>
      </c>
      <c r="B8" s="143" t="s">
        <v>30</v>
      </c>
      <c r="C8" s="143" t="s">
        <v>8</v>
      </c>
      <c r="D8" s="143" t="s">
        <v>25</v>
      </c>
      <c r="E8" s="144">
        <v>434.0</v>
      </c>
      <c r="F8" s="145">
        <v>217.0</v>
      </c>
    </row>
    <row r="9">
      <c r="A9" s="142" t="s">
        <v>15</v>
      </c>
      <c r="B9" s="143" t="s">
        <v>30</v>
      </c>
      <c r="C9" s="143" t="s">
        <v>9</v>
      </c>
      <c r="D9" s="143" t="s">
        <v>25</v>
      </c>
      <c r="E9" s="144">
        <v>290.0</v>
      </c>
      <c r="F9" s="145">
        <v>145.0</v>
      </c>
    </row>
    <row r="10">
      <c r="A10" s="142" t="s">
        <v>15</v>
      </c>
      <c r="B10" s="143" t="s">
        <v>30</v>
      </c>
      <c r="C10" s="143" t="s">
        <v>28</v>
      </c>
      <c r="D10" s="143" t="s">
        <v>25</v>
      </c>
      <c r="E10" s="144">
        <v>14.0</v>
      </c>
      <c r="F10" s="145">
        <v>7.0</v>
      </c>
    </row>
    <row r="11">
      <c r="A11" s="142" t="s">
        <v>15</v>
      </c>
      <c r="B11" s="143" t="s">
        <v>30</v>
      </c>
      <c r="C11" s="143" t="s">
        <v>33</v>
      </c>
      <c r="D11" s="143" t="s">
        <v>25</v>
      </c>
      <c r="E11" s="144">
        <v>10.0</v>
      </c>
      <c r="F11" s="145">
        <v>5.0</v>
      </c>
    </row>
    <row r="12">
      <c r="A12" s="142" t="s">
        <v>15</v>
      </c>
      <c r="B12" s="143" t="s">
        <v>30</v>
      </c>
      <c r="C12" s="143" t="s">
        <v>10</v>
      </c>
      <c r="D12" s="143" t="s">
        <v>25</v>
      </c>
      <c r="E12" s="144">
        <v>4.0</v>
      </c>
      <c r="F12" s="145">
        <v>2.0</v>
      </c>
    </row>
    <row r="13">
      <c r="A13" s="142" t="s">
        <v>15</v>
      </c>
      <c r="B13" s="143" t="s">
        <v>30</v>
      </c>
      <c r="C13" s="143" t="s">
        <v>32</v>
      </c>
      <c r="D13" s="143" t="s">
        <v>25</v>
      </c>
      <c r="E13" s="144">
        <v>4.0</v>
      </c>
      <c r="F13" s="145">
        <v>2.0</v>
      </c>
    </row>
    <row r="14">
      <c r="A14" s="142" t="s">
        <v>19</v>
      </c>
      <c r="B14" s="143" t="s">
        <v>30</v>
      </c>
      <c r="C14" s="143" t="s">
        <v>31</v>
      </c>
      <c r="D14" s="143" t="s">
        <v>25</v>
      </c>
      <c r="E14" s="144">
        <v>1572.0</v>
      </c>
      <c r="F14" s="145">
        <v>786.0</v>
      </c>
    </row>
    <row r="15">
      <c r="A15" s="142" t="s">
        <v>19</v>
      </c>
      <c r="B15" s="143" t="s">
        <v>30</v>
      </c>
      <c r="C15" s="143" t="s">
        <v>8</v>
      </c>
      <c r="D15" s="143" t="s">
        <v>25</v>
      </c>
      <c r="E15" s="144">
        <v>466.0</v>
      </c>
      <c r="F15" s="145">
        <v>233.0</v>
      </c>
    </row>
    <row r="16">
      <c r="A16" s="142" t="s">
        <v>19</v>
      </c>
      <c r="B16" s="143" t="s">
        <v>30</v>
      </c>
      <c r="C16" s="143" t="s">
        <v>9</v>
      </c>
      <c r="D16" s="143" t="s">
        <v>25</v>
      </c>
      <c r="E16" s="144">
        <v>384.0</v>
      </c>
      <c r="F16" s="145">
        <v>192.0</v>
      </c>
    </row>
    <row r="17">
      <c r="A17" s="142" t="s">
        <v>19</v>
      </c>
      <c r="B17" s="143" t="s">
        <v>30</v>
      </c>
      <c r="C17" s="143" t="s">
        <v>28</v>
      </c>
      <c r="D17" s="143" t="s">
        <v>25</v>
      </c>
      <c r="E17" s="144">
        <v>36.0</v>
      </c>
      <c r="F17" s="145">
        <v>18.0</v>
      </c>
    </row>
    <row r="18">
      <c r="A18" s="142" t="s">
        <v>19</v>
      </c>
      <c r="B18" s="143" t="s">
        <v>30</v>
      </c>
      <c r="C18" s="143" t="s">
        <v>33</v>
      </c>
      <c r="D18" s="143" t="s">
        <v>25</v>
      </c>
      <c r="E18" s="144">
        <v>18.0</v>
      </c>
      <c r="F18" s="145">
        <v>9.0</v>
      </c>
    </row>
    <row r="19">
      <c r="A19" s="142" t="s">
        <v>19</v>
      </c>
      <c r="B19" s="143" t="s">
        <v>30</v>
      </c>
      <c r="C19" s="143" t="s">
        <v>10</v>
      </c>
      <c r="D19" s="143" t="s">
        <v>25</v>
      </c>
      <c r="E19" s="144">
        <v>12.0</v>
      </c>
      <c r="F19" s="145">
        <v>6.0</v>
      </c>
    </row>
    <row r="20">
      <c r="A20" s="142" t="s">
        <v>19</v>
      </c>
      <c r="B20" s="143" t="s">
        <v>30</v>
      </c>
      <c r="C20" s="143" t="s">
        <v>32</v>
      </c>
      <c r="D20" s="143" t="s">
        <v>25</v>
      </c>
      <c r="E20" s="144">
        <v>6.0</v>
      </c>
      <c r="F20" s="145">
        <v>3.0</v>
      </c>
    </row>
    <row r="21" ht="15.75" customHeight="1">
      <c r="A21" s="142" t="s">
        <v>19</v>
      </c>
      <c r="B21" s="143" t="s">
        <v>30</v>
      </c>
      <c r="C21" s="143" t="s">
        <v>32</v>
      </c>
      <c r="D21" s="143" t="s">
        <v>25</v>
      </c>
      <c r="E21" s="144">
        <v>6.0</v>
      </c>
      <c r="F21" s="145">
        <v>3.0</v>
      </c>
    </row>
    <row r="22" ht="15.75" customHeight="1">
      <c r="A22" s="142" t="s">
        <v>19</v>
      </c>
      <c r="B22" s="143" t="s">
        <v>30</v>
      </c>
      <c r="C22" s="143" t="s">
        <v>33</v>
      </c>
      <c r="D22" s="143" t="s">
        <v>25</v>
      </c>
      <c r="E22" s="144">
        <v>2.0</v>
      </c>
      <c r="F22" s="145">
        <v>1.0</v>
      </c>
    </row>
    <row r="23" ht="15.75" customHeight="1">
      <c r="A23" s="142" t="s">
        <v>12</v>
      </c>
      <c r="B23" s="143" t="s">
        <v>30</v>
      </c>
      <c r="C23" s="143" t="s">
        <v>31</v>
      </c>
      <c r="D23" s="143" t="s">
        <v>25</v>
      </c>
      <c r="E23" s="144">
        <v>810.0</v>
      </c>
      <c r="F23" s="145">
        <v>405.0</v>
      </c>
    </row>
    <row r="24" ht="15.75" customHeight="1">
      <c r="A24" s="142" t="s">
        <v>12</v>
      </c>
      <c r="B24" s="143" t="s">
        <v>30</v>
      </c>
      <c r="C24" s="143" t="s">
        <v>8</v>
      </c>
      <c r="D24" s="143" t="s">
        <v>25</v>
      </c>
      <c r="E24" s="144">
        <v>262.0</v>
      </c>
      <c r="F24" s="145">
        <v>131.0</v>
      </c>
    </row>
    <row r="25" ht="15.75" customHeight="1">
      <c r="A25" s="142" t="s">
        <v>12</v>
      </c>
      <c r="B25" s="143" t="s">
        <v>30</v>
      </c>
      <c r="C25" s="143" t="s">
        <v>9</v>
      </c>
      <c r="D25" s="143" t="s">
        <v>25</v>
      </c>
      <c r="E25" s="144">
        <v>190.0</v>
      </c>
      <c r="F25" s="145">
        <v>95.0</v>
      </c>
    </row>
    <row r="26" ht="15.75" customHeight="1">
      <c r="A26" s="142" t="s">
        <v>12</v>
      </c>
      <c r="B26" s="143" t="s">
        <v>30</v>
      </c>
      <c r="C26" s="143" t="s">
        <v>33</v>
      </c>
      <c r="D26" s="143" t="s">
        <v>25</v>
      </c>
      <c r="E26" s="144">
        <v>18.0</v>
      </c>
      <c r="F26" s="145">
        <v>9.0</v>
      </c>
    </row>
    <row r="27" ht="15.75" customHeight="1">
      <c r="A27" s="142" t="s">
        <v>12</v>
      </c>
      <c r="B27" s="143" t="s">
        <v>30</v>
      </c>
      <c r="C27" s="143" t="s">
        <v>28</v>
      </c>
      <c r="D27" s="143" t="s">
        <v>25</v>
      </c>
      <c r="E27" s="144">
        <v>10.0</v>
      </c>
      <c r="F27" s="145">
        <v>5.0</v>
      </c>
    </row>
    <row r="28" ht="15.75" customHeight="1">
      <c r="A28" s="142" t="s">
        <v>12</v>
      </c>
      <c r="B28" s="143" t="s">
        <v>30</v>
      </c>
      <c r="C28" s="143" t="s">
        <v>10</v>
      </c>
      <c r="D28" s="143" t="s">
        <v>25</v>
      </c>
      <c r="E28" s="144">
        <v>4.0</v>
      </c>
      <c r="F28" s="145">
        <v>2.0</v>
      </c>
    </row>
    <row r="29" ht="15.75" customHeight="1">
      <c r="A29" s="142" t="s">
        <v>12</v>
      </c>
      <c r="B29" s="143" t="s">
        <v>30</v>
      </c>
      <c r="C29" s="143" t="s">
        <v>32</v>
      </c>
      <c r="D29" s="143" t="s">
        <v>25</v>
      </c>
      <c r="E29" s="144">
        <v>2.0</v>
      </c>
      <c r="F29" s="145">
        <v>1.0</v>
      </c>
    </row>
    <row r="30" ht="15.75" customHeight="1">
      <c r="A30" s="142" t="s">
        <v>18</v>
      </c>
      <c r="B30" s="143" t="s">
        <v>30</v>
      </c>
      <c r="C30" s="143" t="s">
        <v>31</v>
      </c>
      <c r="D30" s="143" t="s">
        <v>25</v>
      </c>
      <c r="E30" s="144">
        <v>1002.0</v>
      </c>
      <c r="F30" s="145">
        <v>501.0</v>
      </c>
    </row>
    <row r="31" ht="15.75" customHeight="1">
      <c r="A31" s="142" t="s">
        <v>18</v>
      </c>
      <c r="B31" s="143" t="s">
        <v>30</v>
      </c>
      <c r="C31" s="143" t="s">
        <v>8</v>
      </c>
      <c r="D31" s="143" t="s">
        <v>25</v>
      </c>
      <c r="E31" s="144">
        <v>372.0</v>
      </c>
      <c r="F31" s="145">
        <v>186.0</v>
      </c>
    </row>
    <row r="32" ht="15.75" customHeight="1">
      <c r="A32" s="142" t="s">
        <v>18</v>
      </c>
      <c r="B32" s="143" t="s">
        <v>30</v>
      </c>
      <c r="C32" s="143" t="s">
        <v>9</v>
      </c>
      <c r="D32" s="143" t="s">
        <v>25</v>
      </c>
      <c r="E32" s="144">
        <v>318.0</v>
      </c>
      <c r="F32" s="145">
        <v>159.0</v>
      </c>
    </row>
    <row r="33" ht="15.75" customHeight="1">
      <c r="A33" s="142" t="s">
        <v>18</v>
      </c>
      <c r="B33" s="143" t="s">
        <v>30</v>
      </c>
      <c r="C33" s="143" t="s">
        <v>28</v>
      </c>
      <c r="D33" s="143" t="s">
        <v>25</v>
      </c>
      <c r="E33" s="144">
        <v>36.0</v>
      </c>
      <c r="F33" s="145">
        <v>18.0</v>
      </c>
    </row>
    <row r="34" ht="15.75" customHeight="1">
      <c r="A34" s="142" t="s">
        <v>18</v>
      </c>
      <c r="B34" s="143" t="s">
        <v>30</v>
      </c>
      <c r="C34" s="143" t="s">
        <v>33</v>
      </c>
      <c r="D34" s="143" t="s">
        <v>25</v>
      </c>
      <c r="E34" s="144">
        <v>16.0</v>
      </c>
      <c r="F34" s="145">
        <v>8.0</v>
      </c>
    </row>
    <row r="35" ht="15.75" customHeight="1">
      <c r="A35" s="142" t="s">
        <v>18</v>
      </c>
      <c r="B35" s="143" t="s">
        <v>30</v>
      </c>
      <c r="C35" s="143" t="s">
        <v>10</v>
      </c>
      <c r="D35" s="143" t="s">
        <v>25</v>
      </c>
      <c r="E35" s="144">
        <v>14.0</v>
      </c>
      <c r="F35" s="145">
        <v>7.0</v>
      </c>
    </row>
    <row r="36" ht="15.75" customHeight="1">
      <c r="A36" s="142" t="s">
        <v>18</v>
      </c>
      <c r="B36" s="143" t="s">
        <v>30</v>
      </c>
      <c r="C36" s="143" t="s">
        <v>11</v>
      </c>
      <c r="D36" s="143" t="s">
        <v>25</v>
      </c>
      <c r="E36" s="144">
        <v>2.0</v>
      </c>
      <c r="F36" s="145">
        <v>1.0</v>
      </c>
    </row>
    <row r="37" ht="15.75" customHeight="1">
      <c r="A37" s="142" t="s">
        <v>17</v>
      </c>
      <c r="B37" s="143" t="s">
        <v>30</v>
      </c>
      <c r="C37" s="143" t="s">
        <v>31</v>
      </c>
      <c r="D37" s="143" t="s">
        <v>25</v>
      </c>
      <c r="E37" s="144">
        <v>1078.0</v>
      </c>
      <c r="F37" s="145">
        <v>539.0</v>
      </c>
    </row>
    <row r="38" ht="15.75" customHeight="1">
      <c r="A38" s="142" t="s">
        <v>17</v>
      </c>
      <c r="B38" s="143" t="s">
        <v>30</v>
      </c>
      <c r="C38" s="143" t="s">
        <v>8</v>
      </c>
      <c r="D38" s="143" t="s">
        <v>25</v>
      </c>
      <c r="E38" s="144">
        <v>438.0</v>
      </c>
      <c r="F38" s="145">
        <v>219.0</v>
      </c>
    </row>
    <row r="39" ht="15.75" customHeight="1">
      <c r="A39" s="142" t="s">
        <v>17</v>
      </c>
      <c r="B39" s="143" t="s">
        <v>30</v>
      </c>
      <c r="C39" s="143" t="s">
        <v>9</v>
      </c>
      <c r="D39" s="143" t="s">
        <v>25</v>
      </c>
      <c r="E39" s="144">
        <v>266.0</v>
      </c>
      <c r="F39" s="145">
        <v>133.0</v>
      </c>
    </row>
    <row r="40" ht="15.75" customHeight="1">
      <c r="A40" s="142" t="s">
        <v>17</v>
      </c>
      <c r="B40" s="143" t="s">
        <v>30</v>
      </c>
      <c r="C40" s="143" t="s">
        <v>33</v>
      </c>
      <c r="D40" s="143" t="s">
        <v>25</v>
      </c>
      <c r="E40" s="144">
        <v>56.0</v>
      </c>
      <c r="F40" s="145">
        <v>28.0</v>
      </c>
    </row>
    <row r="41" ht="15.75" customHeight="1">
      <c r="A41" s="142" t="s">
        <v>17</v>
      </c>
      <c r="B41" s="143" t="s">
        <v>30</v>
      </c>
      <c r="C41" s="143" t="s">
        <v>10</v>
      </c>
      <c r="D41" s="143" t="s">
        <v>25</v>
      </c>
      <c r="E41" s="144">
        <v>26.0</v>
      </c>
      <c r="F41" s="145">
        <v>13.0</v>
      </c>
    </row>
    <row r="42" ht="15.75" customHeight="1">
      <c r="A42" s="142" t="s">
        <v>17</v>
      </c>
      <c r="B42" s="143" t="s">
        <v>30</v>
      </c>
      <c r="C42" s="143" t="s">
        <v>28</v>
      </c>
      <c r="D42" s="143" t="s">
        <v>25</v>
      </c>
      <c r="E42" s="144">
        <v>10.0</v>
      </c>
      <c r="F42" s="145">
        <v>5.0</v>
      </c>
    </row>
    <row r="43" ht="15.75" customHeight="1">
      <c r="A43" s="142" t="s">
        <v>16</v>
      </c>
      <c r="B43" s="143" t="s">
        <v>30</v>
      </c>
      <c r="C43" s="143" t="s">
        <v>31</v>
      </c>
      <c r="D43" s="143" t="s">
        <v>25</v>
      </c>
      <c r="E43" s="144">
        <v>1060.0</v>
      </c>
      <c r="F43" s="145">
        <v>530.0</v>
      </c>
    </row>
    <row r="44" ht="15.75" customHeight="1">
      <c r="A44" s="142" t="s">
        <v>16</v>
      </c>
      <c r="B44" s="143" t="s">
        <v>30</v>
      </c>
      <c r="C44" s="143" t="s">
        <v>8</v>
      </c>
      <c r="D44" s="143" t="s">
        <v>25</v>
      </c>
      <c r="E44" s="144">
        <v>516.0</v>
      </c>
      <c r="F44" s="145">
        <v>258.0</v>
      </c>
    </row>
    <row r="45" ht="15.75" customHeight="1">
      <c r="A45" s="142" t="s">
        <v>16</v>
      </c>
      <c r="B45" s="143" t="s">
        <v>30</v>
      </c>
      <c r="C45" s="143" t="s">
        <v>9</v>
      </c>
      <c r="D45" s="143" t="s">
        <v>25</v>
      </c>
      <c r="E45" s="144">
        <v>332.0</v>
      </c>
      <c r="F45" s="145">
        <v>166.0</v>
      </c>
    </row>
    <row r="46" ht="15.75" customHeight="1">
      <c r="A46" s="142" t="s">
        <v>16</v>
      </c>
      <c r="B46" s="143" t="s">
        <v>30</v>
      </c>
      <c r="C46" s="143" t="s">
        <v>33</v>
      </c>
      <c r="D46" s="143" t="s">
        <v>25</v>
      </c>
      <c r="E46" s="144">
        <v>54.0</v>
      </c>
      <c r="F46" s="145">
        <v>27.0</v>
      </c>
    </row>
    <row r="47" ht="15.75" customHeight="1">
      <c r="A47" s="142" t="s">
        <v>16</v>
      </c>
      <c r="B47" s="143" t="s">
        <v>30</v>
      </c>
      <c r="C47" s="143" t="s">
        <v>28</v>
      </c>
      <c r="D47" s="143" t="s">
        <v>25</v>
      </c>
      <c r="E47" s="144">
        <v>36.0</v>
      </c>
      <c r="F47" s="145">
        <v>18.0</v>
      </c>
    </row>
    <row r="48" ht="15.75" customHeight="1">
      <c r="A48" s="142" t="s">
        <v>16</v>
      </c>
      <c r="B48" s="143" t="s">
        <v>30</v>
      </c>
      <c r="C48" s="143" t="s">
        <v>10</v>
      </c>
      <c r="D48" s="143" t="s">
        <v>25</v>
      </c>
      <c r="E48" s="144">
        <v>20.0</v>
      </c>
      <c r="F48" s="145">
        <v>10.0</v>
      </c>
    </row>
    <row r="49" ht="15.75" customHeight="1">
      <c r="A49" s="142" t="s">
        <v>13</v>
      </c>
      <c r="B49" s="143" t="s">
        <v>30</v>
      </c>
      <c r="C49" s="143" t="s">
        <v>31</v>
      </c>
      <c r="D49" s="143" t="s">
        <v>25</v>
      </c>
      <c r="E49" s="144">
        <v>778.0</v>
      </c>
      <c r="F49" s="145">
        <v>389.0</v>
      </c>
    </row>
    <row r="50" ht="15.75" customHeight="1">
      <c r="A50" s="142" t="s">
        <v>13</v>
      </c>
      <c r="B50" s="143" t="s">
        <v>30</v>
      </c>
      <c r="C50" s="143" t="s">
        <v>8</v>
      </c>
      <c r="D50" s="143" t="s">
        <v>25</v>
      </c>
      <c r="E50" s="144">
        <v>424.0</v>
      </c>
      <c r="F50" s="145">
        <v>212.0</v>
      </c>
    </row>
    <row r="51" ht="15.75" customHeight="1">
      <c r="A51" s="142" t="s">
        <v>13</v>
      </c>
      <c r="B51" s="143" t="s">
        <v>30</v>
      </c>
      <c r="C51" s="143" t="s">
        <v>9</v>
      </c>
      <c r="D51" s="143" t="s">
        <v>25</v>
      </c>
      <c r="E51" s="144">
        <v>270.0</v>
      </c>
      <c r="F51" s="145">
        <v>135.0</v>
      </c>
    </row>
    <row r="52" ht="15.75" customHeight="1">
      <c r="A52" s="142" t="s">
        <v>13</v>
      </c>
      <c r="B52" s="143" t="s">
        <v>30</v>
      </c>
      <c r="C52" s="143" t="s">
        <v>33</v>
      </c>
      <c r="D52" s="143" t="s">
        <v>25</v>
      </c>
      <c r="E52" s="144">
        <v>72.0</v>
      </c>
      <c r="F52" s="145">
        <v>36.0</v>
      </c>
    </row>
    <row r="53" ht="15.75" customHeight="1">
      <c r="A53" s="142" t="s">
        <v>13</v>
      </c>
      <c r="B53" s="143" t="s">
        <v>30</v>
      </c>
      <c r="C53" s="143" t="s">
        <v>28</v>
      </c>
      <c r="D53" s="143" t="s">
        <v>25</v>
      </c>
      <c r="E53" s="144">
        <v>24.0</v>
      </c>
      <c r="F53" s="145">
        <v>12.0</v>
      </c>
    </row>
    <row r="54" ht="15.75" customHeight="1">
      <c r="A54" s="142" t="s">
        <v>13</v>
      </c>
      <c r="B54" s="143" t="s">
        <v>30</v>
      </c>
      <c r="C54" s="143" t="s">
        <v>10</v>
      </c>
      <c r="D54" s="143" t="s">
        <v>25</v>
      </c>
      <c r="E54" s="144">
        <v>18.0</v>
      </c>
      <c r="F54" s="145">
        <v>9.0</v>
      </c>
    </row>
    <row r="55" ht="15.75" customHeight="1">
      <c r="A55" s="142" t="s">
        <v>22</v>
      </c>
      <c r="B55" s="143" t="s">
        <v>30</v>
      </c>
      <c r="C55" s="143" t="s">
        <v>31</v>
      </c>
      <c r="D55" s="143" t="s">
        <v>25</v>
      </c>
      <c r="E55" s="144">
        <v>1246.0</v>
      </c>
      <c r="F55" s="145">
        <v>623.0</v>
      </c>
    </row>
    <row r="56" ht="15.75" customHeight="1">
      <c r="A56" s="142" t="s">
        <v>22</v>
      </c>
      <c r="B56" s="143" t="s">
        <v>30</v>
      </c>
      <c r="C56" s="143" t="s">
        <v>8</v>
      </c>
      <c r="D56" s="143" t="s">
        <v>25</v>
      </c>
      <c r="E56" s="144">
        <v>360.0</v>
      </c>
      <c r="F56" s="145">
        <v>180.0</v>
      </c>
    </row>
    <row r="57" ht="15.75" customHeight="1">
      <c r="A57" s="142" t="s">
        <v>22</v>
      </c>
      <c r="B57" s="143" t="s">
        <v>30</v>
      </c>
      <c r="C57" s="143" t="s">
        <v>9</v>
      </c>
      <c r="D57" s="143" t="s">
        <v>25</v>
      </c>
      <c r="E57" s="144">
        <v>304.0</v>
      </c>
      <c r="F57" s="145">
        <v>152.0</v>
      </c>
    </row>
    <row r="58" ht="15.75" customHeight="1">
      <c r="A58" s="142" t="s">
        <v>22</v>
      </c>
      <c r="B58" s="143" t="s">
        <v>30</v>
      </c>
      <c r="C58" s="143" t="s">
        <v>33</v>
      </c>
      <c r="D58" s="143" t="s">
        <v>25</v>
      </c>
      <c r="E58" s="144">
        <v>80.0</v>
      </c>
      <c r="F58" s="145">
        <v>40.0</v>
      </c>
    </row>
    <row r="59" ht="15.75" customHeight="1">
      <c r="A59" s="142" t="s">
        <v>22</v>
      </c>
      <c r="B59" s="143" t="s">
        <v>30</v>
      </c>
      <c r="C59" s="143" t="s">
        <v>28</v>
      </c>
      <c r="D59" s="143" t="s">
        <v>25</v>
      </c>
      <c r="E59" s="144">
        <v>42.0</v>
      </c>
      <c r="F59" s="145">
        <v>21.0</v>
      </c>
    </row>
    <row r="60" ht="15.75" customHeight="1">
      <c r="A60" s="142" t="s">
        <v>22</v>
      </c>
      <c r="B60" s="143" t="s">
        <v>30</v>
      </c>
      <c r="C60" s="143" t="s">
        <v>10</v>
      </c>
      <c r="D60" s="143" t="s">
        <v>25</v>
      </c>
      <c r="E60" s="144">
        <v>16.0</v>
      </c>
      <c r="F60" s="145">
        <v>8.0</v>
      </c>
    </row>
    <row r="61" ht="15.75" customHeight="1">
      <c r="A61" s="142" t="s">
        <v>22</v>
      </c>
      <c r="B61" s="143" t="s">
        <v>30</v>
      </c>
      <c r="C61" s="143" t="s">
        <v>32</v>
      </c>
      <c r="D61" s="143" t="s">
        <v>25</v>
      </c>
      <c r="E61" s="144">
        <v>2.0</v>
      </c>
      <c r="F61" s="145">
        <v>1.0</v>
      </c>
    </row>
    <row r="62" ht="15.75" customHeight="1">
      <c r="A62" s="142" t="s">
        <v>21</v>
      </c>
      <c r="B62" s="143" t="s">
        <v>30</v>
      </c>
      <c r="C62" s="143" t="s">
        <v>31</v>
      </c>
      <c r="D62" s="143" t="s">
        <v>25</v>
      </c>
      <c r="E62" s="144">
        <v>1252.0</v>
      </c>
      <c r="F62" s="145">
        <v>626.0</v>
      </c>
    </row>
    <row r="63" ht="15.75" customHeight="1">
      <c r="A63" s="142" t="s">
        <v>21</v>
      </c>
      <c r="B63" s="143" t="s">
        <v>30</v>
      </c>
      <c r="C63" s="143" t="s">
        <v>8</v>
      </c>
      <c r="D63" s="143" t="s">
        <v>25</v>
      </c>
      <c r="E63" s="144">
        <v>446.0</v>
      </c>
      <c r="F63" s="145">
        <v>223.0</v>
      </c>
    </row>
    <row r="64" ht="15.75" customHeight="1">
      <c r="A64" s="142" t="s">
        <v>21</v>
      </c>
      <c r="B64" s="143" t="s">
        <v>30</v>
      </c>
      <c r="C64" s="143" t="s">
        <v>9</v>
      </c>
      <c r="D64" s="143" t="s">
        <v>25</v>
      </c>
      <c r="E64" s="144">
        <v>312.0</v>
      </c>
      <c r="F64" s="145">
        <v>156.0</v>
      </c>
    </row>
    <row r="65" ht="15.75" customHeight="1">
      <c r="A65" s="142" t="s">
        <v>21</v>
      </c>
      <c r="B65" s="143" t="s">
        <v>30</v>
      </c>
      <c r="C65" s="143" t="s">
        <v>33</v>
      </c>
      <c r="D65" s="143" t="s">
        <v>25</v>
      </c>
      <c r="E65" s="144">
        <v>48.0</v>
      </c>
      <c r="F65" s="145">
        <v>24.0</v>
      </c>
    </row>
    <row r="66" ht="15.75" customHeight="1">
      <c r="A66" s="142" t="s">
        <v>21</v>
      </c>
      <c r="B66" s="143" t="s">
        <v>30</v>
      </c>
      <c r="C66" s="143" t="s">
        <v>28</v>
      </c>
      <c r="D66" s="143" t="s">
        <v>25</v>
      </c>
      <c r="E66" s="144">
        <v>34.0</v>
      </c>
      <c r="F66" s="145">
        <v>17.0</v>
      </c>
    </row>
    <row r="67" ht="15.75" customHeight="1">
      <c r="A67" s="142" t="s">
        <v>21</v>
      </c>
      <c r="B67" s="143" t="s">
        <v>30</v>
      </c>
      <c r="C67" s="143" t="s">
        <v>10</v>
      </c>
      <c r="D67" s="143" t="s">
        <v>25</v>
      </c>
      <c r="E67" s="144">
        <v>4.0</v>
      </c>
      <c r="F67" s="145">
        <v>2.0</v>
      </c>
    </row>
    <row r="68" ht="15.75" customHeight="1">
      <c r="A68" s="142" t="s">
        <v>21</v>
      </c>
      <c r="B68" s="143" t="s">
        <v>30</v>
      </c>
      <c r="C68" s="143" t="s">
        <v>32</v>
      </c>
      <c r="D68" s="143" t="s">
        <v>25</v>
      </c>
      <c r="E68" s="144">
        <v>4.0</v>
      </c>
      <c r="F68" s="145">
        <v>2.0</v>
      </c>
    </row>
    <row r="69" ht="15.75" customHeight="1">
      <c r="A69" s="142" t="s">
        <v>20</v>
      </c>
      <c r="B69" s="143" t="s">
        <v>30</v>
      </c>
      <c r="C69" s="143" t="s">
        <v>31</v>
      </c>
      <c r="D69" s="143" t="s">
        <v>25</v>
      </c>
      <c r="E69" s="144">
        <v>602.0</v>
      </c>
      <c r="F69" s="145">
        <v>301.0</v>
      </c>
    </row>
    <row r="70" ht="15.75" customHeight="1">
      <c r="A70" s="142" t="s">
        <v>20</v>
      </c>
      <c r="B70" s="143" t="s">
        <v>30</v>
      </c>
      <c r="C70" s="143" t="s">
        <v>8</v>
      </c>
      <c r="D70" s="143" t="s">
        <v>25</v>
      </c>
      <c r="E70" s="144">
        <v>304.0</v>
      </c>
      <c r="F70" s="145">
        <v>152.0</v>
      </c>
    </row>
    <row r="71" ht="15.75" customHeight="1">
      <c r="A71" s="142" t="s">
        <v>20</v>
      </c>
      <c r="B71" s="143" t="s">
        <v>30</v>
      </c>
      <c r="C71" s="143" t="s">
        <v>9</v>
      </c>
      <c r="D71" s="143" t="s">
        <v>25</v>
      </c>
      <c r="E71" s="144">
        <v>142.0</v>
      </c>
      <c r="F71" s="145">
        <v>71.0</v>
      </c>
    </row>
    <row r="72" ht="15.75" customHeight="1">
      <c r="A72" s="142" t="s">
        <v>20</v>
      </c>
      <c r="B72" s="143" t="s">
        <v>30</v>
      </c>
      <c r="C72" s="143" t="s">
        <v>33</v>
      </c>
      <c r="D72" s="143" t="s">
        <v>25</v>
      </c>
      <c r="E72" s="144">
        <v>40.0</v>
      </c>
      <c r="F72" s="145">
        <v>20.0</v>
      </c>
    </row>
    <row r="73" ht="15.75" customHeight="1">
      <c r="A73" s="142" t="s">
        <v>20</v>
      </c>
      <c r="B73" s="143" t="s">
        <v>30</v>
      </c>
      <c r="C73" s="143" t="s">
        <v>28</v>
      </c>
      <c r="D73" s="143" t="s">
        <v>25</v>
      </c>
      <c r="E73" s="144">
        <v>30.0</v>
      </c>
      <c r="F73" s="145">
        <v>15.0</v>
      </c>
    </row>
    <row r="74" ht="15.75" customHeight="1">
      <c r="A74" s="142" t="s">
        <v>14</v>
      </c>
      <c r="B74" s="143" t="s">
        <v>30</v>
      </c>
      <c r="C74" s="143" t="s">
        <v>31</v>
      </c>
      <c r="D74" s="143" t="s">
        <v>25</v>
      </c>
      <c r="E74" s="144">
        <v>892.0</v>
      </c>
      <c r="F74" s="145">
        <v>446.0</v>
      </c>
    </row>
    <row r="75" ht="15.75" customHeight="1">
      <c r="A75" s="142" t="s">
        <v>14</v>
      </c>
      <c r="B75" s="143" t="s">
        <v>30</v>
      </c>
      <c r="C75" s="143" t="s">
        <v>8</v>
      </c>
      <c r="D75" s="143" t="s">
        <v>25</v>
      </c>
      <c r="E75" s="144">
        <v>262.0</v>
      </c>
      <c r="F75" s="145">
        <v>131.0</v>
      </c>
    </row>
    <row r="76" ht="15.75" customHeight="1">
      <c r="A76" s="142" t="s">
        <v>14</v>
      </c>
      <c r="B76" s="143" t="s">
        <v>30</v>
      </c>
      <c r="C76" s="143" t="s">
        <v>9</v>
      </c>
      <c r="D76" s="143" t="s">
        <v>25</v>
      </c>
      <c r="E76" s="144">
        <v>58.0</v>
      </c>
      <c r="F76" s="145">
        <v>29.0</v>
      </c>
    </row>
    <row r="77" ht="15.75" customHeight="1">
      <c r="A77" s="142" t="s">
        <v>14</v>
      </c>
      <c r="B77" s="143" t="s">
        <v>30</v>
      </c>
      <c r="C77" s="143" t="s">
        <v>28</v>
      </c>
      <c r="D77" s="143" t="s">
        <v>25</v>
      </c>
      <c r="E77" s="144">
        <v>24.0</v>
      </c>
      <c r="F77" s="145">
        <v>12.0</v>
      </c>
    </row>
    <row r="78" ht="15.75" customHeight="1">
      <c r="A78" s="142" t="s">
        <v>14</v>
      </c>
      <c r="B78" s="143" t="s">
        <v>30</v>
      </c>
      <c r="C78" s="143" t="s">
        <v>33</v>
      </c>
      <c r="D78" s="143" t="s">
        <v>25</v>
      </c>
      <c r="E78" s="144">
        <v>10.0</v>
      </c>
      <c r="F78" s="145">
        <v>5.0</v>
      </c>
    </row>
    <row r="79" ht="15.75" customHeight="1">
      <c r="A79" s="142" t="s">
        <v>14</v>
      </c>
      <c r="B79" s="143" t="s">
        <v>30</v>
      </c>
      <c r="C79" s="143" t="s">
        <v>10</v>
      </c>
      <c r="D79" s="143" t="s">
        <v>25</v>
      </c>
      <c r="E79" s="144">
        <v>2.0</v>
      </c>
      <c r="F79" s="145">
        <v>1.0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8.71"/>
    <col customWidth="1" min="4" max="4" width="16.71"/>
    <col customWidth="1" min="5" max="6" width="8.71"/>
  </cols>
  <sheetData>
    <row r="1" ht="14.25" customHeight="1"/>
    <row r="2" ht="14.25" customHeight="1"/>
    <row r="3" ht="14.25" customHeight="1">
      <c r="B3" s="4" t="s">
        <v>294</v>
      </c>
      <c r="C3" s="4" t="s">
        <v>295</v>
      </c>
      <c r="D3" s="4" t="s">
        <v>296</v>
      </c>
    </row>
    <row r="4" ht="14.25" customHeight="1">
      <c r="B4" s="26">
        <v>1.0</v>
      </c>
      <c r="C4" s="146">
        <v>0.6</v>
      </c>
      <c r="D4" s="146">
        <f>C4</f>
        <v>0.6</v>
      </c>
    </row>
    <row r="5" ht="14.25" customHeight="1">
      <c r="B5" s="26">
        <v>2.0</v>
      </c>
      <c r="C5" s="146">
        <v>0.1</v>
      </c>
      <c r="D5" s="146">
        <f t="shared" ref="D5:D8" si="1">C5+D4</f>
        <v>0.7</v>
      </c>
    </row>
    <row r="6" ht="14.25" customHeight="1">
      <c r="B6" s="26">
        <v>3.0</v>
      </c>
      <c r="C6" s="146">
        <v>0.1</v>
      </c>
      <c r="D6" s="146">
        <f t="shared" si="1"/>
        <v>0.8</v>
      </c>
    </row>
    <row r="7" ht="14.25" customHeight="1">
      <c r="B7" s="26">
        <v>4.0</v>
      </c>
      <c r="C7" s="146">
        <v>0.1</v>
      </c>
      <c r="D7" s="146">
        <f t="shared" si="1"/>
        <v>0.9</v>
      </c>
    </row>
    <row r="8" ht="14.25" customHeight="1">
      <c r="B8" s="26">
        <v>5.0</v>
      </c>
      <c r="C8" s="146">
        <v>0.1</v>
      </c>
      <c r="D8" s="146">
        <f t="shared" si="1"/>
        <v>1</v>
      </c>
    </row>
    <row r="9" ht="14.25" customHeight="1">
      <c r="C9" s="147"/>
      <c r="D9" s="147"/>
    </row>
    <row r="10" ht="14.25" customHeight="1">
      <c r="C10" s="147"/>
      <c r="D10" s="147"/>
    </row>
    <row r="11" ht="14.25" customHeight="1">
      <c r="C11" s="147"/>
      <c r="D11" s="147"/>
    </row>
    <row r="12" ht="14.25" customHeight="1">
      <c r="C12" s="147"/>
      <c r="D12" s="147"/>
    </row>
    <row r="13" ht="14.25" customHeight="1">
      <c r="C13" s="147"/>
      <c r="D13" s="147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25.43"/>
    <col customWidth="1" min="4" max="4" width="13.86"/>
    <col customWidth="1" min="5" max="5" width="26.29"/>
    <col customWidth="1" min="6" max="6" width="24.43"/>
    <col customWidth="1" min="7" max="7" width="42.14"/>
  </cols>
  <sheetData>
    <row r="1" ht="14.25" customHeight="1">
      <c r="F1" s="148"/>
    </row>
    <row r="2" ht="14.25" customHeight="1">
      <c r="F2" s="148"/>
    </row>
    <row r="3" ht="14.25" customHeight="1">
      <c r="B3" s="82" t="s">
        <v>143</v>
      </c>
      <c r="C3" s="82" t="s">
        <v>144</v>
      </c>
      <c r="D3" s="82" t="s">
        <v>44</v>
      </c>
      <c r="E3" s="82" t="s">
        <v>145</v>
      </c>
      <c r="F3" s="83" t="s">
        <v>146</v>
      </c>
      <c r="G3" s="84" t="s">
        <v>147</v>
      </c>
    </row>
    <row r="4" ht="14.25" customHeight="1">
      <c r="B4" s="85" t="s">
        <v>25</v>
      </c>
      <c r="C4" s="86" t="s">
        <v>148</v>
      </c>
      <c r="D4" s="85" t="s">
        <v>149</v>
      </c>
      <c r="E4" s="85" t="s">
        <v>150</v>
      </c>
      <c r="F4" s="87" t="s">
        <v>151</v>
      </c>
      <c r="G4" s="88">
        <v>10.0</v>
      </c>
    </row>
    <row r="5" ht="14.25" customHeight="1">
      <c r="B5" s="89" t="s">
        <v>34</v>
      </c>
      <c r="C5" s="90" t="s">
        <v>152</v>
      </c>
      <c r="D5" s="89" t="s">
        <v>153</v>
      </c>
      <c r="E5" s="89" t="s">
        <v>154</v>
      </c>
      <c r="F5" s="91" t="s">
        <v>155</v>
      </c>
      <c r="G5" s="92">
        <v>115.0</v>
      </c>
    </row>
    <row r="6" ht="14.25" customHeight="1">
      <c r="B6" s="89" t="s">
        <v>35</v>
      </c>
      <c r="C6" s="90" t="s">
        <v>156</v>
      </c>
      <c r="D6" s="89" t="s">
        <v>157</v>
      </c>
      <c r="E6" s="89" t="s">
        <v>158</v>
      </c>
      <c r="F6" s="91" t="s">
        <v>159</v>
      </c>
      <c r="G6" s="92">
        <v>15.0</v>
      </c>
    </row>
    <row r="7" ht="14.25" customHeight="1">
      <c r="B7" s="85" t="s">
        <v>28</v>
      </c>
      <c r="C7" s="86" t="s">
        <v>160</v>
      </c>
      <c r="D7" s="85" t="s">
        <v>161</v>
      </c>
      <c r="E7" s="85" t="s">
        <v>162</v>
      </c>
      <c r="F7" s="87" t="s">
        <v>163</v>
      </c>
      <c r="G7" s="86">
        <v>60.0</v>
      </c>
    </row>
    <row r="8" ht="14.25" customHeight="1">
      <c r="B8" s="85" t="s">
        <v>9</v>
      </c>
      <c r="C8" s="86" t="s">
        <v>164</v>
      </c>
      <c r="D8" s="85" t="s">
        <v>165</v>
      </c>
      <c r="E8" s="85" t="s">
        <v>166</v>
      </c>
      <c r="F8" s="87" t="s">
        <v>167</v>
      </c>
      <c r="G8" s="86">
        <v>51.0</v>
      </c>
    </row>
    <row r="9" ht="14.25" customHeight="1">
      <c r="B9" s="89" t="s">
        <v>33</v>
      </c>
      <c r="C9" s="90" t="s">
        <v>168</v>
      </c>
      <c r="D9" s="89" t="s">
        <v>169</v>
      </c>
      <c r="E9" s="89" t="s">
        <v>170</v>
      </c>
      <c r="F9" s="91" t="s">
        <v>171</v>
      </c>
      <c r="G9" s="90">
        <v>10.0</v>
      </c>
    </row>
    <row r="10" ht="14.25" customHeight="1">
      <c r="B10" s="89" t="s">
        <v>11</v>
      </c>
      <c r="C10" s="90" t="s">
        <v>172</v>
      </c>
      <c r="D10" s="89" t="s">
        <v>173</v>
      </c>
      <c r="E10" s="89" t="s">
        <v>174</v>
      </c>
      <c r="F10" s="91" t="s">
        <v>175</v>
      </c>
      <c r="G10" s="92">
        <v>12.0</v>
      </c>
    </row>
    <row r="11" ht="14.25" customHeight="1">
      <c r="B11" s="89" t="s">
        <v>10</v>
      </c>
      <c r="C11" s="90" t="s">
        <v>176</v>
      </c>
      <c r="D11" s="89" t="s">
        <v>177</v>
      </c>
      <c r="E11" s="89" t="s">
        <v>178</v>
      </c>
      <c r="F11" s="91" t="s">
        <v>179</v>
      </c>
      <c r="G11" s="92">
        <v>100.0</v>
      </c>
    </row>
    <row r="12" ht="14.25" customHeight="1">
      <c r="B12" s="85" t="s">
        <v>10</v>
      </c>
      <c r="C12" s="86" t="s">
        <v>176</v>
      </c>
      <c r="D12" s="85" t="s">
        <v>180</v>
      </c>
      <c r="E12" s="85" t="s">
        <v>181</v>
      </c>
      <c r="F12" s="87" t="s">
        <v>182</v>
      </c>
      <c r="G12" s="88">
        <v>10.0</v>
      </c>
    </row>
    <row r="13" ht="14.25" customHeight="1">
      <c r="B13" s="85" t="s">
        <v>8</v>
      </c>
      <c r="C13" s="86" t="s">
        <v>184</v>
      </c>
      <c r="D13" s="85" t="s">
        <v>185</v>
      </c>
      <c r="E13" s="85" t="s">
        <v>186</v>
      </c>
      <c r="F13" s="87" t="s">
        <v>187</v>
      </c>
      <c r="G13" s="88">
        <v>100.0</v>
      </c>
    </row>
    <row r="14" ht="14.25" customHeight="1">
      <c r="B14" s="89" t="s">
        <v>24</v>
      </c>
      <c r="C14" s="90" t="s">
        <v>188</v>
      </c>
      <c r="D14" s="89" t="s">
        <v>189</v>
      </c>
      <c r="E14" s="89" t="s">
        <v>190</v>
      </c>
      <c r="F14" s="91" t="s">
        <v>191</v>
      </c>
      <c r="G14" s="92">
        <v>95.0</v>
      </c>
    </row>
    <row r="15" ht="14.25" customHeight="1">
      <c r="B15" s="85" t="s">
        <v>31</v>
      </c>
      <c r="C15" s="86" t="s">
        <v>192</v>
      </c>
      <c r="D15" s="85" t="s">
        <v>193</v>
      </c>
      <c r="E15" s="85" t="s">
        <v>194</v>
      </c>
      <c r="F15" s="87" t="s">
        <v>195</v>
      </c>
      <c r="G15" s="88">
        <v>258.0</v>
      </c>
    </row>
    <row r="16" ht="14.25" customHeight="1">
      <c r="B16" s="89" t="s">
        <v>31</v>
      </c>
      <c r="C16" s="90" t="s">
        <v>192</v>
      </c>
      <c r="D16" s="89" t="s">
        <v>196</v>
      </c>
      <c r="E16" s="89" t="s">
        <v>197</v>
      </c>
      <c r="F16" s="91" t="s">
        <v>198</v>
      </c>
      <c r="G16" s="92">
        <v>105.0</v>
      </c>
    </row>
    <row r="17" ht="14.25" customHeight="1">
      <c r="B17" s="89" t="s">
        <v>31</v>
      </c>
      <c r="C17" s="90" t="s">
        <v>192</v>
      </c>
      <c r="D17" s="89" t="s">
        <v>199</v>
      </c>
      <c r="E17" s="89" t="s">
        <v>200</v>
      </c>
      <c r="F17" s="91" t="s">
        <v>201</v>
      </c>
      <c r="G17" s="92">
        <v>118.0</v>
      </c>
    </row>
    <row r="18" ht="14.25" customHeight="1">
      <c r="B18" s="89" t="s">
        <v>31</v>
      </c>
      <c r="C18" s="90" t="s">
        <v>192</v>
      </c>
      <c r="D18" s="89" t="s">
        <v>202</v>
      </c>
      <c r="E18" s="89" t="s">
        <v>203</v>
      </c>
      <c r="F18" s="91" t="s">
        <v>204</v>
      </c>
      <c r="G18" s="92">
        <v>98.0</v>
      </c>
    </row>
    <row r="19" ht="14.25" customHeight="1">
      <c r="B19" s="89" t="s">
        <v>205</v>
      </c>
      <c r="C19" s="90" t="s">
        <v>206</v>
      </c>
      <c r="D19" s="89" t="s">
        <v>207</v>
      </c>
      <c r="E19" s="89" t="s">
        <v>208</v>
      </c>
      <c r="F19" s="91" t="s">
        <v>209</v>
      </c>
      <c r="G19" s="92">
        <v>320.0</v>
      </c>
    </row>
    <row r="20" ht="14.25" customHeight="1">
      <c r="F20" s="148"/>
    </row>
    <row r="21" ht="14.25" customHeight="1">
      <c r="F21" s="148"/>
    </row>
    <row r="22" ht="14.25" customHeight="1">
      <c r="F22" s="148"/>
    </row>
    <row r="23" ht="14.25" customHeight="1">
      <c r="F23" s="148"/>
    </row>
    <row r="24" ht="14.25" customHeight="1">
      <c r="F24" s="148"/>
    </row>
    <row r="25" ht="14.25" customHeight="1">
      <c r="F25" s="148"/>
    </row>
    <row r="26" ht="14.25" customHeight="1">
      <c r="F26" s="148"/>
    </row>
    <row r="27" ht="14.25" customHeight="1">
      <c r="F27" s="148"/>
    </row>
    <row r="28" ht="14.25" customHeight="1">
      <c r="F28" s="148"/>
    </row>
    <row r="29" ht="14.25" customHeight="1">
      <c r="F29" s="148"/>
    </row>
    <row r="30" ht="14.25" customHeight="1">
      <c r="F30" s="148"/>
    </row>
    <row r="31" ht="14.25" customHeight="1">
      <c r="F31" s="148"/>
    </row>
    <row r="32" ht="14.25" customHeight="1">
      <c r="F32" s="148"/>
    </row>
    <row r="33" ht="14.25" customHeight="1">
      <c r="F33" s="148"/>
    </row>
    <row r="34" ht="14.25" customHeight="1">
      <c r="F34" s="148"/>
    </row>
    <row r="35" ht="14.25" customHeight="1">
      <c r="F35" s="148"/>
    </row>
    <row r="36" ht="14.25" customHeight="1">
      <c r="F36" s="148"/>
    </row>
    <row r="37" ht="14.25" customHeight="1">
      <c r="F37" s="148"/>
    </row>
    <row r="38" ht="14.25" customHeight="1">
      <c r="F38" s="148"/>
    </row>
    <row r="39" ht="14.25" customHeight="1">
      <c r="F39" s="148"/>
    </row>
    <row r="40" ht="14.25" customHeight="1">
      <c r="F40" s="148"/>
    </row>
    <row r="41" ht="14.25" customHeight="1">
      <c r="F41" s="148"/>
    </row>
    <row r="42" ht="14.25" customHeight="1">
      <c r="F42" s="148"/>
    </row>
    <row r="43" ht="14.25" customHeight="1">
      <c r="F43" s="148"/>
    </row>
    <row r="44" ht="14.25" customHeight="1">
      <c r="F44" s="148"/>
    </row>
    <row r="45" ht="14.25" customHeight="1">
      <c r="F45" s="148"/>
    </row>
    <row r="46" ht="14.25" customHeight="1">
      <c r="F46" s="148"/>
    </row>
    <row r="47" ht="14.25" customHeight="1">
      <c r="F47" s="148"/>
    </row>
    <row r="48" ht="14.25" customHeight="1">
      <c r="F48" s="148"/>
    </row>
    <row r="49" ht="14.25" customHeight="1">
      <c r="F49" s="148"/>
    </row>
    <row r="50" ht="14.25" customHeight="1">
      <c r="F50" s="148"/>
    </row>
    <row r="51" ht="14.25" customHeight="1">
      <c r="F51" s="148"/>
    </row>
    <row r="52" ht="14.25" customHeight="1">
      <c r="F52" s="148"/>
    </row>
    <row r="53" ht="14.25" customHeight="1">
      <c r="F53" s="148"/>
    </row>
    <row r="54" ht="14.25" customHeight="1">
      <c r="F54" s="148"/>
    </row>
    <row r="55" ht="14.25" customHeight="1">
      <c r="F55" s="148"/>
    </row>
    <row r="56" ht="14.25" customHeight="1">
      <c r="F56" s="148"/>
    </row>
    <row r="57" ht="14.25" customHeight="1">
      <c r="F57" s="148"/>
    </row>
    <row r="58" ht="14.25" customHeight="1">
      <c r="F58" s="148"/>
    </row>
    <row r="59" ht="14.25" customHeight="1">
      <c r="F59" s="148"/>
    </row>
    <row r="60" ht="14.25" customHeight="1">
      <c r="F60" s="148"/>
    </row>
    <row r="61" ht="14.25" customHeight="1">
      <c r="F61" s="148"/>
    </row>
    <row r="62" ht="14.25" customHeight="1">
      <c r="F62" s="148"/>
    </row>
    <row r="63" ht="14.25" customHeight="1">
      <c r="F63" s="148"/>
    </row>
    <row r="64" ht="14.25" customHeight="1">
      <c r="F64" s="148"/>
    </row>
    <row r="65" ht="14.25" customHeight="1">
      <c r="F65" s="148"/>
    </row>
    <row r="66" ht="14.25" customHeight="1">
      <c r="F66" s="148"/>
    </row>
    <row r="67" ht="14.25" customHeight="1">
      <c r="F67" s="148"/>
    </row>
    <row r="68" ht="14.25" customHeight="1">
      <c r="F68" s="148"/>
    </row>
    <row r="69" ht="14.25" customHeight="1">
      <c r="F69" s="148"/>
    </row>
    <row r="70" ht="14.25" customHeight="1">
      <c r="F70" s="148"/>
    </row>
    <row r="71" ht="14.25" customHeight="1">
      <c r="F71" s="148"/>
    </row>
    <row r="72" ht="14.25" customHeight="1">
      <c r="F72" s="148"/>
    </row>
    <row r="73" ht="14.25" customHeight="1">
      <c r="F73" s="148"/>
    </row>
    <row r="74" ht="14.25" customHeight="1">
      <c r="F74" s="148"/>
    </row>
    <row r="75" ht="14.25" customHeight="1">
      <c r="F75" s="148"/>
    </row>
    <row r="76" ht="14.25" customHeight="1">
      <c r="F76" s="148"/>
    </row>
    <row r="77" ht="14.25" customHeight="1">
      <c r="F77" s="148"/>
    </row>
    <row r="78" ht="14.25" customHeight="1">
      <c r="F78" s="148"/>
    </row>
    <row r="79" ht="14.25" customHeight="1">
      <c r="F79" s="148"/>
    </row>
    <row r="80" ht="14.25" customHeight="1">
      <c r="F80" s="148"/>
    </row>
    <row r="81" ht="14.25" customHeight="1">
      <c r="F81" s="148"/>
    </row>
    <row r="82" ht="14.25" customHeight="1">
      <c r="F82" s="148"/>
    </row>
    <row r="83" ht="14.25" customHeight="1">
      <c r="F83" s="148"/>
    </row>
    <row r="84" ht="14.25" customHeight="1">
      <c r="F84" s="148"/>
    </row>
    <row r="85" ht="14.25" customHeight="1">
      <c r="F85" s="148"/>
    </row>
    <row r="86" ht="14.25" customHeight="1">
      <c r="F86" s="148"/>
    </row>
    <row r="87" ht="14.25" customHeight="1">
      <c r="F87" s="148"/>
    </row>
    <row r="88" ht="14.25" customHeight="1">
      <c r="F88" s="148"/>
    </row>
    <row r="89" ht="14.25" customHeight="1">
      <c r="F89" s="148"/>
    </row>
    <row r="90" ht="14.25" customHeight="1">
      <c r="F90" s="148"/>
    </row>
    <row r="91" ht="14.25" customHeight="1">
      <c r="F91" s="148"/>
    </row>
    <row r="92" ht="14.25" customHeight="1">
      <c r="F92" s="148"/>
    </row>
    <row r="93" ht="14.25" customHeight="1">
      <c r="F93" s="148"/>
    </row>
    <row r="94" ht="14.25" customHeight="1">
      <c r="F94" s="148"/>
    </row>
    <row r="95" ht="14.25" customHeight="1">
      <c r="F95" s="148"/>
    </row>
    <row r="96" ht="14.25" customHeight="1">
      <c r="F96" s="148"/>
    </row>
    <row r="97" ht="14.25" customHeight="1">
      <c r="F97" s="148"/>
    </row>
    <row r="98" ht="14.25" customHeight="1">
      <c r="F98" s="148"/>
    </row>
    <row r="99" ht="14.25" customHeight="1">
      <c r="F99" s="148"/>
    </row>
    <row r="100" ht="14.25" customHeight="1">
      <c r="F100" s="148"/>
    </row>
    <row r="101" ht="14.25" customHeight="1">
      <c r="F101" s="148"/>
    </row>
    <row r="102" ht="14.25" customHeight="1">
      <c r="F102" s="148"/>
    </row>
    <row r="103" ht="14.25" customHeight="1">
      <c r="F103" s="148"/>
    </row>
    <row r="104" ht="14.25" customHeight="1">
      <c r="F104" s="148"/>
    </row>
    <row r="105" ht="14.25" customHeight="1">
      <c r="F105" s="148"/>
    </row>
    <row r="106" ht="14.25" customHeight="1">
      <c r="F106" s="148"/>
    </row>
    <row r="107" ht="14.25" customHeight="1">
      <c r="F107" s="148"/>
    </row>
    <row r="108" ht="14.25" customHeight="1">
      <c r="F108" s="148"/>
    </row>
    <row r="109" ht="14.25" customHeight="1">
      <c r="F109" s="148"/>
    </row>
    <row r="110" ht="14.25" customHeight="1">
      <c r="F110" s="148"/>
    </row>
    <row r="111" ht="14.25" customHeight="1">
      <c r="F111" s="148"/>
    </row>
    <row r="112" ht="14.25" customHeight="1">
      <c r="F112" s="148"/>
    </row>
    <row r="113" ht="14.25" customHeight="1">
      <c r="F113" s="148"/>
    </row>
    <row r="114" ht="14.25" customHeight="1">
      <c r="F114" s="148"/>
    </row>
    <row r="115" ht="14.25" customHeight="1">
      <c r="F115" s="148"/>
    </row>
    <row r="116" ht="14.25" customHeight="1">
      <c r="F116" s="148"/>
    </row>
    <row r="117" ht="14.25" customHeight="1">
      <c r="F117" s="148"/>
    </row>
    <row r="118" ht="14.25" customHeight="1">
      <c r="F118" s="148"/>
    </row>
    <row r="119" ht="14.25" customHeight="1">
      <c r="F119" s="148"/>
    </row>
    <row r="120" ht="14.25" customHeight="1">
      <c r="F120" s="148"/>
    </row>
    <row r="121" ht="14.25" customHeight="1">
      <c r="F121" s="148"/>
    </row>
    <row r="122" ht="14.25" customHeight="1">
      <c r="F122" s="148"/>
    </row>
    <row r="123" ht="14.25" customHeight="1">
      <c r="F123" s="148"/>
    </row>
    <row r="124" ht="14.25" customHeight="1">
      <c r="F124" s="148"/>
    </row>
    <row r="125" ht="14.25" customHeight="1">
      <c r="F125" s="148"/>
    </row>
    <row r="126" ht="14.25" customHeight="1">
      <c r="F126" s="148"/>
    </row>
    <row r="127" ht="14.25" customHeight="1">
      <c r="F127" s="148"/>
    </row>
    <row r="128" ht="14.25" customHeight="1">
      <c r="F128" s="148"/>
    </row>
    <row r="129" ht="14.25" customHeight="1">
      <c r="F129" s="148"/>
    </row>
    <row r="130" ht="14.25" customHeight="1">
      <c r="F130" s="148"/>
    </row>
    <row r="131" ht="14.25" customHeight="1">
      <c r="F131" s="148"/>
    </row>
    <row r="132" ht="14.25" customHeight="1">
      <c r="F132" s="148"/>
    </row>
    <row r="133" ht="14.25" customHeight="1">
      <c r="F133" s="148"/>
    </row>
    <row r="134" ht="14.25" customHeight="1">
      <c r="F134" s="148"/>
    </row>
    <row r="135" ht="14.25" customHeight="1">
      <c r="F135" s="148"/>
    </row>
    <row r="136" ht="14.25" customHeight="1">
      <c r="F136" s="148"/>
    </row>
    <row r="137" ht="14.25" customHeight="1">
      <c r="F137" s="148"/>
    </row>
    <row r="138" ht="14.25" customHeight="1">
      <c r="F138" s="148"/>
    </row>
    <row r="139" ht="14.25" customHeight="1">
      <c r="F139" s="148"/>
    </row>
    <row r="140" ht="14.25" customHeight="1">
      <c r="F140" s="148"/>
    </row>
    <row r="141" ht="14.25" customHeight="1">
      <c r="F141" s="148"/>
    </row>
    <row r="142" ht="14.25" customHeight="1">
      <c r="F142" s="148"/>
    </row>
    <row r="143" ht="14.25" customHeight="1">
      <c r="F143" s="148"/>
    </row>
    <row r="144" ht="14.25" customHeight="1">
      <c r="F144" s="148"/>
    </row>
    <row r="145" ht="14.25" customHeight="1">
      <c r="F145" s="148"/>
    </row>
    <row r="146" ht="14.25" customHeight="1">
      <c r="F146" s="148"/>
    </row>
    <row r="147" ht="14.25" customHeight="1">
      <c r="F147" s="148"/>
    </row>
    <row r="148" ht="14.25" customHeight="1">
      <c r="F148" s="148"/>
    </row>
    <row r="149" ht="14.25" customHeight="1">
      <c r="F149" s="148"/>
    </row>
    <row r="150" ht="14.25" customHeight="1">
      <c r="F150" s="148"/>
    </row>
    <row r="151" ht="14.25" customHeight="1">
      <c r="F151" s="148"/>
    </row>
    <row r="152" ht="14.25" customHeight="1">
      <c r="F152" s="148"/>
    </row>
    <row r="153" ht="14.25" customHeight="1">
      <c r="F153" s="148"/>
    </row>
    <row r="154" ht="14.25" customHeight="1">
      <c r="F154" s="148"/>
    </row>
    <row r="155" ht="14.25" customHeight="1">
      <c r="F155" s="148"/>
    </row>
    <row r="156" ht="14.25" customHeight="1">
      <c r="F156" s="148"/>
    </row>
    <row r="157" ht="14.25" customHeight="1">
      <c r="F157" s="148"/>
    </row>
    <row r="158" ht="14.25" customHeight="1">
      <c r="F158" s="148"/>
    </row>
    <row r="159" ht="14.25" customHeight="1">
      <c r="F159" s="148"/>
    </row>
    <row r="160" ht="14.25" customHeight="1">
      <c r="F160" s="148"/>
    </row>
    <row r="161" ht="14.25" customHeight="1">
      <c r="F161" s="148"/>
    </row>
    <row r="162" ht="14.25" customHeight="1">
      <c r="F162" s="148"/>
    </row>
    <row r="163" ht="14.25" customHeight="1">
      <c r="F163" s="148"/>
    </row>
    <row r="164" ht="14.25" customHeight="1">
      <c r="F164" s="148"/>
    </row>
    <row r="165" ht="14.25" customHeight="1">
      <c r="F165" s="148"/>
    </row>
    <row r="166" ht="14.25" customHeight="1">
      <c r="F166" s="148"/>
    </row>
    <row r="167" ht="14.25" customHeight="1">
      <c r="F167" s="148"/>
    </row>
    <row r="168" ht="14.25" customHeight="1">
      <c r="F168" s="148"/>
    </row>
    <row r="169" ht="14.25" customHeight="1">
      <c r="F169" s="148"/>
    </row>
    <row r="170" ht="14.25" customHeight="1">
      <c r="F170" s="148"/>
    </row>
    <row r="171" ht="14.25" customHeight="1">
      <c r="F171" s="148"/>
    </row>
    <row r="172" ht="14.25" customHeight="1">
      <c r="F172" s="148"/>
    </row>
    <row r="173" ht="14.25" customHeight="1">
      <c r="F173" s="148"/>
    </row>
    <row r="174" ht="14.25" customHeight="1">
      <c r="F174" s="148"/>
    </row>
    <row r="175" ht="14.25" customHeight="1">
      <c r="F175" s="148"/>
    </row>
    <row r="176" ht="14.25" customHeight="1">
      <c r="F176" s="148"/>
    </row>
    <row r="177" ht="14.25" customHeight="1">
      <c r="F177" s="148"/>
    </row>
    <row r="178" ht="14.25" customHeight="1">
      <c r="F178" s="148"/>
    </row>
    <row r="179" ht="14.25" customHeight="1">
      <c r="F179" s="148"/>
    </row>
    <row r="180" ht="14.25" customHeight="1">
      <c r="F180" s="148"/>
    </row>
    <row r="181" ht="14.25" customHeight="1">
      <c r="F181" s="148"/>
    </row>
    <row r="182" ht="14.25" customHeight="1">
      <c r="F182" s="148"/>
    </row>
    <row r="183" ht="14.25" customHeight="1">
      <c r="F183" s="148"/>
    </row>
    <row r="184" ht="14.25" customHeight="1">
      <c r="F184" s="148"/>
    </row>
    <row r="185" ht="14.25" customHeight="1">
      <c r="F185" s="148"/>
    </row>
    <row r="186" ht="14.25" customHeight="1">
      <c r="F186" s="148"/>
    </row>
    <row r="187" ht="14.25" customHeight="1">
      <c r="F187" s="148"/>
    </row>
    <row r="188" ht="14.25" customHeight="1">
      <c r="F188" s="148"/>
    </row>
    <row r="189" ht="14.25" customHeight="1">
      <c r="F189" s="148"/>
    </row>
    <row r="190" ht="14.25" customHeight="1">
      <c r="F190" s="148"/>
    </row>
    <row r="191" ht="14.25" customHeight="1">
      <c r="F191" s="148"/>
    </row>
    <row r="192" ht="14.25" customHeight="1">
      <c r="F192" s="148"/>
    </row>
    <row r="193" ht="14.25" customHeight="1">
      <c r="F193" s="148"/>
    </row>
    <row r="194" ht="14.25" customHeight="1">
      <c r="F194" s="148"/>
    </row>
    <row r="195" ht="14.25" customHeight="1">
      <c r="F195" s="148"/>
    </row>
    <row r="196" ht="14.25" customHeight="1">
      <c r="F196" s="148"/>
    </row>
    <row r="197" ht="14.25" customHeight="1">
      <c r="F197" s="148"/>
    </row>
    <row r="198" ht="14.25" customHeight="1">
      <c r="F198" s="148"/>
    </row>
    <row r="199" ht="14.25" customHeight="1">
      <c r="F199" s="148"/>
    </row>
    <row r="200" ht="14.25" customHeight="1">
      <c r="F200" s="148"/>
    </row>
    <row r="201" ht="14.25" customHeight="1">
      <c r="F201" s="148"/>
    </row>
    <row r="202" ht="14.25" customHeight="1">
      <c r="F202" s="148"/>
    </row>
    <row r="203" ht="14.25" customHeight="1">
      <c r="F203" s="148"/>
    </row>
    <row r="204" ht="14.25" customHeight="1">
      <c r="F204" s="148"/>
    </row>
    <row r="205" ht="14.25" customHeight="1">
      <c r="F205" s="148"/>
    </row>
    <row r="206" ht="14.25" customHeight="1">
      <c r="F206" s="148"/>
    </row>
    <row r="207" ht="14.25" customHeight="1">
      <c r="F207" s="148"/>
    </row>
    <row r="208" ht="14.25" customHeight="1">
      <c r="F208" s="148"/>
    </row>
    <row r="209" ht="14.25" customHeight="1">
      <c r="F209" s="148"/>
    </row>
    <row r="210" ht="14.25" customHeight="1">
      <c r="F210" s="148"/>
    </row>
    <row r="211" ht="14.25" customHeight="1">
      <c r="F211" s="148"/>
    </row>
    <row r="212" ht="14.25" customHeight="1">
      <c r="F212" s="148"/>
    </row>
    <row r="213" ht="14.25" customHeight="1">
      <c r="F213" s="148"/>
    </row>
    <row r="214" ht="14.25" customHeight="1">
      <c r="F214" s="148"/>
    </row>
    <row r="215" ht="14.25" customHeight="1">
      <c r="F215" s="148"/>
    </row>
    <row r="216" ht="14.25" customHeight="1">
      <c r="F216" s="148"/>
    </row>
    <row r="217" ht="14.25" customHeight="1">
      <c r="F217" s="148"/>
    </row>
    <row r="218" ht="14.25" customHeight="1">
      <c r="F218" s="148"/>
    </row>
    <row r="219" ht="14.25" customHeight="1">
      <c r="F219" s="148"/>
    </row>
    <row r="220" ht="14.25" customHeight="1">
      <c r="F220" s="14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3.86"/>
    <col customWidth="1" min="3" max="3" width="11.0"/>
    <col customWidth="1" min="4" max="4" width="15.29"/>
    <col customWidth="1" min="5" max="5" width="10.86"/>
    <col customWidth="1" min="6" max="6" width="12.14"/>
    <col customWidth="1" min="7" max="7" width="16.86"/>
    <col customWidth="1" min="8" max="8" width="12.0"/>
  </cols>
  <sheetData>
    <row r="1" ht="14.25" customHeight="1"/>
    <row r="2" ht="14.25" customHeight="1">
      <c r="C2" s="149" t="s">
        <v>297</v>
      </c>
      <c r="D2" s="121"/>
      <c r="E2" s="121"/>
      <c r="F2" s="121"/>
      <c r="G2" s="121"/>
      <c r="H2" s="150"/>
    </row>
    <row r="3" ht="14.25" customHeight="1">
      <c r="B3" s="82" t="s">
        <v>44</v>
      </c>
      <c r="C3" s="151" t="s">
        <v>298</v>
      </c>
      <c r="D3" s="84" t="s">
        <v>299</v>
      </c>
      <c r="E3" s="152" t="s">
        <v>300</v>
      </c>
      <c r="F3" s="82" t="s">
        <v>301</v>
      </c>
      <c r="G3" s="84" t="s">
        <v>302</v>
      </c>
      <c r="H3" s="82" t="s">
        <v>303</v>
      </c>
    </row>
    <row r="4" ht="14.25" customHeight="1">
      <c r="B4" s="89" t="s">
        <v>149</v>
      </c>
      <c r="C4" s="90">
        <v>1.0</v>
      </c>
      <c r="D4" s="92">
        <v>1.0</v>
      </c>
      <c r="E4" s="92">
        <v>1.0</v>
      </c>
      <c r="F4" s="92">
        <v>1.0</v>
      </c>
      <c r="G4" s="92">
        <v>1.0</v>
      </c>
      <c r="H4" s="92">
        <v>1.0</v>
      </c>
    </row>
    <row r="5" ht="14.25" customHeight="1">
      <c r="B5" s="89" t="s">
        <v>153</v>
      </c>
      <c r="C5" s="90">
        <v>1.0</v>
      </c>
      <c r="D5" s="92">
        <v>2.0</v>
      </c>
      <c r="E5" s="92">
        <v>1.0</v>
      </c>
      <c r="F5" s="92">
        <v>1.0</v>
      </c>
      <c r="G5" s="92">
        <v>2.0</v>
      </c>
      <c r="H5" s="92">
        <v>1.0</v>
      </c>
    </row>
    <row r="6" ht="14.25" customHeight="1">
      <c r="B6" s="89" t="s">
        <v>157</v>
      </c>
      <c r="C6" s="90">
        <v>1.0</v>
      </c>
      <c r="D6" s="92">
        <v>2.0</v>
      </c>
      <c r="E6" s="92">
        <v>1.0</v>
      </c>
      <c r="F6" s="92">
        <v>1.0</v>
      </c>
      <c r="G6" s="92">
        <v>2.0</v>
      </c>
      <c r="H6" s="92">
        <v>1.0</v>
      </c>
    </row>
    <row r="7" ht="14.25" customHeight="1">
      <c r="B7" s="89" t="s">
        <v>161</v>
      </c>
      <c r="C7" s="90">
        <v>1.0</v>
      </c>
      <c r="D7" s="90">
        <v>0.5</v>
      </c>
      <c r="E7" s="92">
        <v>1.0</v>
      </c>
      <c r="F7" s="92">
        <v>1.0</v>
      </c>
      <c r="G7" s="90">
        <v>0.5</v>
      </c>
      <c r="H7" s="92">
        <v>1.0</v>
      </c>
    </row>
    <row r="8" ht="14.25" customHeight="1">
      <c r="B8" s="89" t="s">
        <v>165</v>
      </c>
      <c r="C8" s="90">
        <v>1.0</v>
      </c>
      <c r="D8" s="90">
        <v>0.5</v>
      </c>
      <c r="E8" s="92">
        <v>1.0</v>
      </c>
      <c r="F8" s="92">
        <v>1.0</v>
      </c>
      <c r="G8" s="90">
        <v>0.5</v>
      </c>
      <c r="H8" s="92">
        <v>1.0</v>
      </c>
    </row>
    <row r="9" ht="14.25" customHeight="1">
      <c r="B9" s="89" t="s">
        <v>169</v>
      </c>
      <c r="C9" s="90">
        <v>1.0</v>
      </c>
      <c r="D9" s="90">
        <v>0.5</v>
      </c>
      <c r="E9" s="92">
        <v>1.0</v>
      </c>
      <c r="F9" s="92">
        <v>1.0</v>
      </c>
      <c r="G9" s="90">
        <v>0.5</v>
      </c>
      <c r="H9" s="92">
        <v>1.0</v>
      </c>
    </row>
    <row r="10" ht="14.25" customHeight="1">
      <c r="B10" s="89" t="s">
        <v>173</v>
      </c>
      <c r="C10" s="90">
        <v>1.0</v>
      </c>
      <c r="D10" s="92">
        <v>1.0</v>
      </c>
      <c r="E10" s="92">
        <v>1.0</v>
      </c>
      <c r="F10" s="92">
        <v>1.0</v>
      </c>
      <c r="G10" s="92">
        <v>1.0</v>
      </c>
      <c r="H10" s="92">
        <v>1.0</v>
      </c>
    </row>
    <row r="11" ht="14.25" customHeight="1">
      <c r="B11" s="89" t="s">
        <v>177</v>
      </c>
      <c r="C11" s="90">
        <v>1.0</v>
      </c>
      <c r="D11" s="92">
        <v>2.0</v>
      </c>
      <c r="E11" s="92">
        <v>1.0</v>
      </c>
      <c r="F11" s="92">
        <v>1.0</v>
      </c>
      <c r="G11" s="92">
        <v>2.0</v>
      </c>
      <c r="H11" s="92">
        <v>1.0</v>
      </c>
    </row>
    <row r="12" ht="14.25" customHeight="1">
      <c r="B12" s="89" t="s">
        <v>180</v>
      </c>
      <c r="C12" s="90">
        <v>1.0</v>
      </c>
      <c r="D12" s="92">
        <v>1.0</v>
      </c>
      <c r="E12" s="92">
        <v>1.0</v>
      </c>
      <c r="F12" s="92">
        <v>1.0</v>
      </c>
      <c r="G12" s="92">
        <v>1.0</v>
      </c>
      <c r="H12" s="92">
        <v>1.0</v>
      </c>
    </row>
    <row r="13" ht="14.25" customHeight="1">
      <c r="B13" s="89" t="s">
        <v>185</v>
      </c>
      <c r="C13" s="90">
        <v>1.0</v>
      </c>
      <c r="D13" s="92">
        <v>1.0</v>
      </c>
      <c r="E13" s="92">
        <v>1.0</v>
      </c>
      <c r="F13" s="92">
        <v>1.0</v>
      </c>
      <c r="G13" s="92">
        <v>1.0</v>
      </c>
      <c r="H13" s="92">
        <v>1.0</v>
      </c>
    </row>
    <row r="14" ht="14.25" customHeight="1">
      <c r="B14" s="89" t="s">
        <v>189</v>
      </c>
      <c r="C14" s="90">
        <v>1.0</v>
      </c>
      <c r="D14" s="92">
        <v>1.0</v>
      </c>
      <c r="E14" s="92">
        <v>1.0</v>
      </c>
      <c r="F14" s="92">
        <v>1.0</v>
      </c>
      <c r="G14" s="92">
        <v>1.0</v>
      </c>
      <c r="H14" s="92">
        <v>1.0</v>
      </c>
    </row>
    <row r="15" ht="14.25" customHeight="1">
      <c r="B15" s="89" t="s">
        <v>193</v>
      </c>
      <c r="C15" s="90">
        <v>1.0</v>
      </c>
      <c r="D15" s="92">
        <v>1.0</v>
      </c>
      <c r="E15" s="92">
        <v>1.0</v>
      </c>
      <c r="F15" s="92">
        <v>1.0</v>
      </c>
      <c r="G15" s="92">
        <v>1.0</v>
      </c>
      <c r="H15" s="92">
        <v>1.0</v>
      </c>
    </row>
    <row r="16" ht="14.25" customHeight="1">
      <c r="B16" s="89" t="s">
        <v>196</v>
      </c>
      <c r="C16" s="90">
        <v>1.0</v>
      </c>
      <c r="D16" s="92">
        <v>1.0</v>
      </c>
      <c r="E16" s="92">
        <v>1.0</v>
      </c>
      <c r="F16" s="92">
        <v>1.0</v>
      </c>
      <c r="G16" s="92">
        <v>1.0</v>
      </c>
      <c r="H16" s="92">
        <v>1.0</v>
      </c>
    </row>
    <row r="17" ht="14.25" customHeight="1">
      <c r="B17" s="89" t="s">
        <v>199</v>
      </c>
      <c r="C17" s="90">
        <v>1.0</v>
      </c>
      <c r="D17" s="92">
        <v>1.0</v>
      </c>
      <c r="E17" s="92">
        <v>1.0</v>
      </c>
      <c r="F17" s="92">
        <v>1.0</v>
      </c>
      <c r="G17" s="92">
        <v>1.0</v>
      </c>
      <c r="H17" s="92">
        <v>1.0</v>
      </c>
    </row>
    <row r="18" ht="14.25" customHeight="1">
      <c r="B18" s="89" t="s">
        <v>202</v>
      </c>
      <c r="C18" s="90">
        <v>1.0</v>
      </c>
      <c r="D18" s="92">
        <v>1.0</v>
      </c>
      <c r="E18" s="92">
        <v>1.0</v>
      </c>
      <c r="F18" s="92">
        <v>1.0</v>
      </c>
      <c r="G18" s="92">
        <v>1.0</v>
      </c>
      <c r="H18" s="92">
        <v>1.0</v>
      </c>
    </row>
    <row r="19" ht="14.25" customHeight="1">
      <c r="B19" s="89" t="s">
        <v>207</v>
      </c>
      <c r="C19" s="90">
        <v>1.0</v>
      </c>
      <c r="D19" s="92">
        <v>1.0</v>
      </c>
      <c r="E19" s="92">
        <v>1.0</v>
      </c>
      <c r="F19" s="92">
        <v>1.0</v>
      </c>
      <c r="G19" s="92">
        <v>1.0</v>
      </c>
      <c r="H19" s="92">
        <v>1.0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H2"/>
  </mergeCells>
  <printOptions/>
  <pageMargins bottom="0.787401575" footer="0.0" header="0.0" left="0.511811024" right="0.511811024" top="0.7874015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8" width="7.43"/>
    <col customWidth="1" min="29" max="29" width="28.71"/>
    <col customWidth="1" min="30" max="30" width="10.86"/>
  </cols>
  <sheetData>
    <row r="1" ht="14.25" customHeight="1">
      <c r="A1" s="153" t="s">
        <v>304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1"/>
      <c r="AD1" s="154"/>
    </row>
    <row r="2" ht="129.75" customHeight="1">
      <c r="B2" s="155" t="s">
        <v>305</v>
      </c>
      <c r="C2" s="155" t="s">
        <v>306</v>
      </c>
      <c r="D2" s="155" t="s">
        <v>307</v>
      </c>
      <c r="E2" s="155" t="s">
        <v>308</v>
      </c>
      <c r="F2" s="155" t="s">
        <v>309</v>
      </c>
      <c r="G2" s="155" t="s">
        <v>310</v>
      </c>
      <c r="H2" s="155" t="s">
        <v>311</v>
      </c>
      <c r="I2" s="155" t="s">
        <v>312</v>
      </c>
      <c r="J2" s="155" t="s">
        <v>76</v>
      </c>
      <c r="K2" s="155" t="s">
        <v>72</v>
      </c>
      <c r="L2" s="155" t="s">
        <v>313</v>
      </c>
      <c r="M2" s="155" t="s">
        <v>314</v>
      </c>
      <c r="N2" s="155" t="s">
        <v>315</v>
      </c>
      <c r="O2" s="155" t="s">
        <v>71</v>
      </c>
      <c r="P2" s="155" t="s">
        <v>316</v>
      </c>
      <c r="Q2" s="155" t="s">
        <v>317</v>
      </c>
      <c r="R2" s="155" t="s">
        <v>318</v>
      </c>
      <c r="S2" s="155" t="s">
        <v>319</v>
      </c>
      <c r="T2" s="155" t="s">
        <v>73</v>
      </c>
      <c r="U2" s="155" t="s">
        <v>320</v>
      </c>
      <c r="V2" s="155" t="s">
        <v>321</v>
      </c>
      <c r="W2" s="155" t="s">
        <v>74</v>
      </c>
      <c r="X2" s="155" t="s">
        <v>322</v>
      </c>
      <c r="Y2" s="155" t="s">
        <v>323</v>
      </c>
      <c r="Z2" s="155" t="s">
        <v>75</v>
      </c>
      <c r="AA2" s="155" t="s">
        <v>324</v>
      </c>
      <c r="AB2" s="155" t="s">
        <v>325</v>
      </c>
      <c r="AC2" s="156"/>
      <c r="AD2" s="157"/>
    </row>
    <row r="3" ht="14.25" customHeight="1">
      <c r="A3" s="158" t="s">
        <v>305</v>
      </c>
      <c r="B3" s="159"/>
      <c r="C3" s="160">
        <v>2079.0</v>
      </c>
      <c r="D3" s="160">
        <v>1578.0</v>
      </c>
      <c r="E3" s="160">
        <v>6000.0</v>
      </c>
      <c r="F3" s="160">
        <v>1652.0</v>
      </c>
      <c r="G3" s="160">
        <v>2765.0</v>
      </c>
      <c r="H3" s="160">
        <v>2775.0</v>
      </c>
      <c r="I3" s="160">
        <v>2595.0</v>
      </c>
      <c r="J3" s="160">
        <v>2892.0</v>
      </c>
      <c r="K3" s="160">
        <v>1183.0</v>
      </c>
      <c r="L3" s="160">
        <v>1848.0</v>
      </c>
      <c r="M3" s="160">
        <v>611.0</v>
      </c>
      <c r="N3" s="160">
        <v>294.0</v>
      </c>
      <c r="O3" s="160">
        <v>5215.0</v>
      </c>
      <c r="P3" s="160">
        <v>788.0</v>
      </c>
      <c r="Q3" s="160">
        <v>1662.0</v>
      </c>
      <c r="R3" s="160">
        <v>3296.0</v>
      </c>
      <c r="S3" s="160">
        <v>4230.0</v>
      </c>
      <c r="T3" s="160">
        <v>501.0</v>
      </c>
      <c r="U3" s="160">
        <v>4763.0</v>
      </c>
      <c r="V3" s="160">
        <v>1855.0</v>
      </c>
      <c r="W3" s="160">
        <v>356.0</v>
      </c>
      <c r="X3" s="160">
        <v>2249.0</v>
      </c>
      <c r="Y3" s="160">
        <v>1578.0</v>
      </c>
      <c r="Z3" s="160">
        <v>2187.0</v>
      </c>
      <c r="AA3" s="160">
        <v>1142.0</v>
      </c>
      <c r="AB3" s="160">
        <v>1408.0</v>
      </c>
      <c r="AC3" s="161" t="s">
        <v>305</v>
      </c>
      <c r="AD3" s="154"/>
    </row>
    <row r="4" ht="14.25" customHeight="1">
      <c r="A4" s="158" t="s">
        <v>306</v>
      </c>
      <c r="B4" s="160">
        <v>2079.0</v>
      </c>
      <c r="C4" s="159"/>
      <c r="D4" s="160">
        <v>2824.0</v>
      </c>
      <c r="E4" s="160">
        <v>6083.0</v>
      </c>
      <c r="F4" s="160">
        <v>2120.0</v>
      </c>
      <c r="G4" s="160">
        <v>2942.0</v>
      </c>
      <c r="H4" s="160">
        <v>2941.0</v>
      </c>
      <c r="I4" s="160">
        <v>3193.0</v>
      </c>
      <c r="J4" s="160">
        <v>3500.0</v>
      </c>
      <c r="K4" s="160">
        <v>1610.0</v>
      </c>
      <c r="L4" s="160">
        <v>2017.0</v>
      </c>
      <c r="M4" s="160">
        <v>2161.0</v>
      </c>
      <c r="N4" s="160">
        <v>2173.0</v>
      </c>
      <c r="O4" s="160">
        <v>5298.0</v>
      </c>
      <c r="P4" s="160">
        <v>2108.0</v>
      </c>
      <c r="Q4" s="160">
        <v>1283.0</v>
      </c>
      <c r="R4" s="160">
        <v>3852.0</v>
      </c>
      <c r="S4" s="160">
        <v>4397.0</v>
      </c>
      <c r="T4" s="160">
        <v>2074.0</v>
      </c>
      <c r="U4" s="160">
        <v>4931.0</v>
      </c>
      <c r="V4" s="160">
        <v>3250.0</v>
      </c>
      <c r="W4" s="160">
        <v>2100.0</v>
      </c>
      <c r="X4" s="160">
        <v>3005.0</v>
      </c>
      <c r="Y4" s="160">
        <v>806.0</v>
      </c>
      <c r="Z4" s="160">
        <v>2933.0</v>
      </c>
      <c r="AA4" s="160">
        <v>947.0</v>
      </c>
      <c r="AB4" s="160">
        <v>3108.0</v>
      </c>
      <c r="AC4" s="161" t="s">
        <v>306</v>
      </c>
      <c r="AD4" s="154"/>
    </row>
    <row r="5" ht="14.25" customHeight="1">
      <c r="A5" s="158" t="s">
        <v>307</v>
      </c>
      <c r="B5" s="160">
        <v>1578.0</v>
      </c>
      <c r="C5" s="160">
        <v>2824.0</v>
      </c>
      <c r="D5" s="159"/>
      <c r="E5" s="160">
        <v>4736.0</v>
      </c>
      <c r="F5" s="160">
        <v>716.0</v>
      </c>
      <c r="G5" s="160">
        <v>1453.0</v>
      </c>
      <c r="H5" s="160">
        <v>1594.0</v>
      </c>
      <c r="I5" s="160">
        <v>1004.0</v>
      </c>
      <c r="J5" s="160">
        <v>1301.0</v>
      </c>
      <c r="K5" s="160">
        <v>2528.0</v>
      </c>
      <c r="L5" s="160">
        <v>906.0</v>
      </c>
      <c r="M5" s="160">
        <v>2171.0</v>
      </c>
      <c r="N5" s="160">
        <v>1854.0</v>
      </c>
      <c r="O5" s="160">
        <v>3951.0</v>
      </c>
      <c r="P5" s="160">
        <v>2348.0</v>
      </c>
      <c r="Q5" s="160">
        <v>1690.0</v>
      </c>
      <c r="R5" s="160">
        <v>1712.0</v>
      </c>
      <c r="S5" s="160">
        <v>3050.0</v>
      </c>
      <c r="T5" s="160">
        <v>2061.0</v>
      </c>
      <c r="U5" s="160">
        <v>3584.0</v>
      </c>
      <c r="V5" s="160">
        <v>434.0</v>
      </c>
      <c r="W5" s="160">
        <v>1372.0</v>
      </c>
      <c r="X5" s="160">
        <v>658.0</v>
      </c>
      <c r="Y5" s="160">
        <v>2738.0</v>
      </c>
      <c r="Z5" s="160">
        <v>586.0</v>
      </c>
      <c r="AA5" s="160">
        <v>2302.0</v>
      </c>
      <c r="AB5" s="160">
        <v>524.0</v>
      </c>
      <c r="AC5" s="161" t="s">
        <v>307</v>
      </c>
      <c r="AD5" s="154"/>
    </row>
    <row r="6" ht="14.25" customHeight="1">
      <c r="A6" s="158" t="s">
        <v>309</v>
      </c>
      <c r="B6" s="160">
        <v>1650.0</v>
      </c>
      <c r="C6" s="160">
        <v>2140.0</v>
      </c>
      <c r="D6" s="160">
        <v>741.0</v>
      </c>
      <c r="E6" s="160">
        <v>4275.0</v>
      </c>
      <c r="F6" s="159"/>
      <c r="G6" s="160">
        <v>1134.0</v>
      </c>
      <c r="H6" s="160">
        <v>1133.0</v>
      </c>
      <c r="I6" s="160">
        <v>1366.0</v>
      </c>
      <c r="J6" s="160">
        <v>1673.0</v>
      </c>
      <c r="K6" s="160">
        <v>2200.0</v>
      </c>
      <c r="L6" s="160">
        <v>209.0</v>
      </c>
      <c r="M6" s="160">
        <v>2245.0</v>
      </c>
      <c r="N6" s="160">
        <v>1930.0</v>
      </c>
      <c r="O6" s="160">
        <v>3490.0</v>
      </c>
      <c r="P6" s="160">
        <v>2422.0</v>
      </c>
      <c r="Q6" s="160">
        <v>973.0</v>
      </c>
      <c r="R6" s="160">
        <v>2027.0</v>
      </c>
      <c r="S6" s="160">
        <v>2589.0</v>
      </c>
      <c r="T6" s="160">
        <v>2135.0</v>
      </c>
      <c r="U6" s="160">
        <v>3123.0</v>
      </c>
      <c r="V6" s="162">
        <v>1148.0</v>
      </c>
      <c r="W6" s="160">
        <v>1446.0</v>
      </c>
      <c r="X6" s="160">
        <v>1087.0</v>
      </c>
      <c r="Y6" s="160">
        <v>2157.0</v>
      </c>
      <c r="Z6" s="160">
        <v>1015.0</v>
      </c>
      <c r="AA6" s="160">
        <v>1789.0</v>
      </c>
      <c r="AB6" s="160">
        <v>1239.0</v>
      </c>
      <c r="AC6" s="161" t="s">
        <v>309</v>
      </c>
      <c r="AD6" s="154"/>
    </row>
    <row r="7" ht="14.25" customHeight="1">
      <c r="A7" s="158" t="s">
        <v>310</v>
      </c>
      <c r="B7" s="160">
        <v>2764.0</v>
      </c>
      <c r="C7" s="160">
        <v>2942.0</v>
      </c>
      <c r="D7" s="160">
        <v>1453.0</v>
      </c>
      <c r="E7" s="160">
        <v>3836.0</v>
      </c>
      <c r="F7" s="160">
        <v>1134.0</v>
      </c>
      <c r="G7" s="159"/>
      <c r="H7" s="160">
        <v>694.0</v>
      </c>
      <c r="I7" s="160">
        <v>991.0</v>
      </c>
      <c r="J7" s="160">
        <v>1298.0</v>
      </c>
      <c r="K7" s="160">
        <v>3407.0</v>
      </c>
      <c r="L7" s="160">
        <v>935.0</v>
      </c>
      <c r="M7" s="160">
        <v>3357.0</v>
      </c>
      <c r="N7" s="160">
        <v>3040.0</v>
      </c>
      <c r="O7" s="160">
        <v>3051.0</v>
      </c>
      <c r="P7" s="160">
        <v>3534.0</v>
      </c>
      <c r="Q7" s="160">
        <v>1785.0</v>
      </c>
      <c r="R7" s="160">
        <v>1518.0</v>
      </c>
      <c r="S7" s="160">
        <v>2150.0</v>
      </c>
      <c r="T7" s="160">
        <v>3247.0</v>
      </c>
      <c r="U7" s="160">
        <v>2684.0</v>
      </c>
      <c r="V7" s="160">
        <v>1444.0</v>
      </c>
      <c r="W7" s="160">
        <v>2568.0</v>
      </c>
      <c r="X7" s="160">
        <v>1086.0</v>
      </c>
      <c r="Y7" s="160">
        <v>2979.0</v>
      </c>
      <c r="Z7" s="160">
        <v>1014.0</v>
      </c>
      <c r="AA7" s="160">
        <v>2911.0</v>
      </c>
      <c r="AB7" s="160">
        <v>1892.0</v>
      </c>
      <c r="AC7" s="161" t="s">
        <v>310</v>
      </c>
      <c r="AD7" s="154"/>
    </row>
    <row r="8" ht="14.25" customHeight="1">
      <c r="A8" s="158" t="s">
        <v>311</v>
      </c>
      <c r="B8" s="160">
        <v>2773.0</v>
      </c>
      <c r="C8" s="160">
        <v>2941.0</v>
      </c>
      <c r="D8" s="160">
        <v>1594.0</v>
      </c>
      <c r="E8" s="160">
        <v>3142.0</v>
      </c>
      <c r="F8" s="160">
        <v>1133.0</v>
      </c>
      <c r="G8" s="160">
        <v>694.0</v>
      </c>
      <c r="H8" s="159"/>
      <c r="I8" s="160">
        <v>1679.0</v>
      </c>
      <c r="J8" s="160">
        <v>1986.0</v>
      </c>
      <c r="K8" s="160">
        <v>3406.0</v>
      </c>
      <c r="L8" s="160">
        <v>934.0</v>
      </c>
      <c r="M8" s="160">
        <v>3366.0</v>
      </c>
      <c r="N8" s="160">
        <v>3049.0</v>
      </c>
      <c r="O8" s="160">
        <v>2357.0</v>
      </c>
      <c r="P8" s="160">
        <v>3543.0</v>
      </c>
      <c r="Q8" s="160">
        <v>1784.0</v>
      </c>
      <c r="R8" s="160">
        <v>2206.0</v>
      </c>
      <c r="S8" s="160">
        <v>1456.0</v>
      </c>
      <c r="T8" s="160">
        <v>3255.0</v>
      </c>
      <c r="U8" s="160">
        <v>1990.0</v>
      </c>
      <c r="V8" s="160">
        <v>2017.0</v>
      </c>
      <c r="W8" s="160">
        <v>2566.0</v>
      </c>
      <c r="X8" s="160">
        <v>1686.0</v>
      </c>
      <c r="Y8" s="160">
        <v>2978.0</v>
      </c>
      <c r="Z8" s="160">
        <v>1614.0</v>
      </c>
      <c r="AA8" s="160">
        <v>2910.0</v>
      </c>
      <c r="AB8" s="160">
        <v>2119.0</v>
      </c>
      <c r="AC8" s="161" t="s">
        <v>311</v>
      </c>
      <c r="AD8" s="154"/>
    </row>
    <row r="9" ht="14.25" customHeight="1">
      <c r="A9" s="158" t="s">
        <v>312</v>
      </c>
      <c r="B9" s="160">
        <v>2595.0</v>
      </c>
      <c r="C9" s="160">
        <v>3193.0</v>
      </c>
      <c r="D9" s="160">
        <v>1004.0</v>
      </c>
      <c r="E9" s="160">
        <v>4821.0</v>
      </c>
      <c r="F9" s="160">
        <v>1366.0</v>
      </c>
      <c r="G9" s="160">
        <v>991.0</v>
      </c>
      <c r="H9" s="160">
        <v>1679.0</v>
      </c>
      <c r="I9" s="159"/>
      <c r="J9" s="160">
        <v>300.0</v>
      </c>
      <c r="K9" s="160">
        <v>3541.0</v>
      </c>
      <c r="L9" s="160">
        <v>1186.0</v>
      </c>
      <c r="M9" s="160">
        <v>3188.0</v>
      </c>
      <c r="N9" s="160">
        <v>2871.0</v>
      </c>
      <c r="O9" s="160">
        <v>4036.0</v>
      </c>
      <c r="P9" s="160">
        <v>3365.0</v>
      </c>
      <c r="Q9" s="160">
        <v>2036.0</v>
      </c>
      <c r="R9" s="160">
        <v>711.0</v>
      </c>
      <c r="S9" s="160">
        <v>3135.0</v>
      </c>
      <c r="T9" s="160">
        <v>3078.0</v>
      </c>
      <c r="U9" s="160">
        <v>3669.0</v>
      </c>
      <c r="V9" s="160">
        <v>852.0</v>
      </c>
      <c r="W9" s="160">
        <v>2385.0</v>
      </c>
      <c r="X9" s="160">
        <v>480.0</v>
      </c>
      <c r="Y9" s="160">
        <v>3230.0</v>
      </c>
      <c r="Z9" s="160">
        <v>408.0</v>
      </c>
      <c r="AA9" s="160">
        <v>3143.0</v>
      </c>
      <c r="AB9" s="160">
        <v>1300.0</v>
      </c>
      <c r="AC9" s="161" t="s">
        <v>312</v>
      </c>
      <c r="AD9" s="154"/>
    </row>
    <row r="10" ht="14.25" customHeight="1">
      <c r="A10" s="158" t="s">
        <v>76</v>
      </c>
      <c r="B10" s="160">
        <v>2892.0</v>
      </c>
      <c r="C10" s="160">
        <v>3500.0</v>
      </c>
      <c r="D10" s="160">
        <v>1301.0</v>
      </c>
      <c r="E10" s="160">
        <v>5128.0</v>
      </c>
      <c r="F10" s="160">
        <v>1673.0</v>
      </c>
      <c r="G10" s="160">
        <v>1298.0</v>
      </c>
      <c r="H10" s="160">
        <v>1986.0</v>
      </c>
      <c r="I10" s="160">
        <v>300.0</v>
      </c>
      <c r="J10" s="159"/>
      <c r="K10" s="160">
        <v>3838.0</v>
      </c>
      <c r="L10" s="160">
        <v>1493.0</v>
      </c>
      <c r="M10" s="160">
        <v>3485.0</v>
      </c>
      <c r="N10" s="160">
        <v>3168.0</v>
      </c>
      <c r="O10" s="160">
        <v>4443.0</v>
      </c>
      <c r="P10" s="160">
        <v>3662.0</v>
      </c>
      <c r="Q10" s="160">
        <v>2336.0</v>
      </c>
      <c r="R10" s="160">
        <v>476.0</v>
      </c>
      <c r="S10" s="160">
        <v>3442.0</v>
      </c>
      <c r="T10" s="160">
        <v>3375.0</v>
      </c>
      <c r="U10" s="160">
        <v>3976.0</v>
      </c>
      <c r="V10" s="160">
        <v>1144.0</v>
      </c>
      <c r="W10" s="160">
        <v>2682.0</v>
      </c>
      <c r="X10" s="160">
        <v>777.0</v>
      </c>
      <c r="Y10" s="160">
        <v>3537.0</v>
      </c>
      <c r="Z10" s="160">
        <v>705.0</v>
      </c>
      <c r="AA10" s="160">
        <v>3450.0</v>
      </c>
      <c r="AB10" s="160">
        <v>1597.0</v>
      </c>
      <c r="AC10" s="161" t="s">
        <v>76</v>
      </c>
      <c r="AD10" s="154"/>
    </row>
    <row r="11" ht="14.25" customHeight="1">
      <c r="A11" s="158" t="s">
        <v>72</v>
      </c>
      <c r="B11" s="160">
        <v>1183.0</v>
      </c>
      <c r="C11" s="160">
        <v>1611.0</v>
      </c>
      <c r="D11" s="160">
        <v>2528.0</v>
      </c>
      <c r="E11" s="160">
        <v>6548.0</v>
      </c>
      <c r="F11" s="160">
        <v>2208.0</v>
      </c>
      <c r="G11" s="160">
        <v>3407.0</v>
      </c>
      <c r="H11" s="160">
        <v>3406.0</v>
      </c>
      <c r="I11" s="160">
        <v>3541.0</v>
      </c>
      <c r="J11" s="160">
        <v>3838.0</v>
      </c>
      <c r="K11" s="159"/>
      <c r="L11" s="160">
        <v>2482.0</v>
      </c>
      <c r="M11" s="160">
        <v>688.0</v>
      </c>
      <c r="N11" s="160">
        <v>1075.0</v>
      </c>
      <c r="O11" s="160">
        <v>5763.0</v>
      </c>
      <c r="P11" s="160">
        <v>537.0</v>
      </c>
      <c r="Q11" s="160">
        <v>2035.0</v>
      </c>
      <c r="R11" s="160">
        <v>4242.0</v>
      </c>
      <c r="S11" s="160">
        <v>4862.0</v>
      </c>
      <c r="T11" s="160">
        <v>800.0</v>
      </c>
      <c r="U11" s="160">
        <v>5396.0</v>
      </c>
      <c r="V11" s="160">
        <v>2805.0</v>
      </c>
      <c r="W11" s="160">
        <v>1389.0</v>
      </c>
      <c r="X11" s="160">
        <v>3199.0</v>
      </c>
      <c r="Y11" s="160">
        <v>1070.0</v>
      </c>
      <c r="Z11" s="160">
        <v>3127.0</v>
      </c>
      <c r="AA11" s="160">
        <v>634.0</v>
      </c>
      <c r="AB11" s="160">
        <v>2397.0</v>
      </c>
      <c r="AC11" s="161" t="s">
        <v>72</v>
      </c>
      <c r="AD11" s="154"/>
    </row>
    <row r="12" ht="14.25" customHeight="1">
      <c r="A12" s="158" t="s">
        <v>313</v>
      </c>
      <c r="B12" s="160">
        <v>1849.0</v>
      </c>
      <c r="C12" s="160">
        <v>2017.0</v>
      </c>
      <c r="D12" s="160">
        <v>906.0</v>
      </c>
      <c r="E12" s="160">
        <v>4076.0</v>
      </c>
      <c r="F12" s="160">
        <v>209.0</v>
      </c>
      <c r="G12" s="160">
        <v>935.0</v>
      </c>
      <c r="H12" s="160">
        <v>934.0</v>
      </c>
      <c r="I12" s="160">
        <v>1186.0</v>
      </c>
      <c r="J12" s="160">
        <v>1493.0</v>
      </c>
      <c r="K12" s="160">
        <v>2482.0</v>
      </c>
      <c r="L12" s="159"/>
      <c r="M12" s="160">
        <v>2442.0</v>
      </c>
      <c r="N12" s="160">
        <v>2125.0</v>
      </c>
      <c r="O12" s="160">
        <v>3291.0</v>
      </c>
      <c r="P12" s="160">
        <v>2618.0</v>
      </c>
      <c r="Q12" s="160">
        <v>874.0</v>
      </c>
      <c r="R12" s="160">
        <v>1847.0</v>
      </c>
      <c r="S12" s="160">
        <v>2390.0</v>
      </c>
      <c r="T12" s="160">
        <v>2332.0</v>
      </c>
      <c r="U12" s="160">
        <v>2924.0</v>
      </c>
      <c r="V12" s="160">
        <v>1338.0</v>
      </c>
      <c r="W12" s="160">
        <v>1643.0</v>
      </c>
      <c r="X12" s="160">
        <v>998.0</v>
      </c>
      <c r="Y12" s="160">
        <v>2054.0</v>
      </c>
      <c r="Z12" s="160">
        <v>926.0</v>
      </c>
      <c r="AA12" s="160">
        <v>1986.0</v>
      </c>
      <c r="AB12" s="160">
        <v>1428.0</v>
      </c>
      <c r="AC12" s="161" t="s">
        <v>313</v>
      </c>
      <c r="AD12" s="154"/>
    </row>
    <row r="13" ht="14.25" customHeight="1">
      <c r="A13" s="158" t="s">
        <v>314</v>
      </c>
      <c r="B13" s="160">
        <v>611.0</v>
      </c>
      <c r="C13" s="160">
        <v>2161.0</v>
      </c>
      <c r="D13" s="160">
        <v>2171.0</v>
      </c>
      <c r="E13" s="160">
        <v>6539.0</v>
      </c>
      <c r="F13" s="160">
        <v>2245.0</v>
      </c>
      <c r="G13" s="160">
        <v>3357.0</v>
      </c>
      <c r="H13" s="160">
        <v>3366.0</v>
      </c>
      <c r="I13" s="160">
        <v>3188.0</v>
      </c>
      <c r="J13" s="160">
        <v>3485.0</v>
      </c>
      <c r="K13" s="160">
        <v>688.0</v>
      </c>
      <c r="L13" s="160">
        <v>2442.0</v>
      </c>
      <c r="M13" s="159"/>
      <c r="N13" s="160">
        <v>395.0</v>
      </c>
      <c r="O13" s="160">
        <v>5808.0</v>
      </c>
      <c r="P13" s="160">
        <v>185.0</v>
      </c>
      <c r="Q13" s="160">
        <v>2253.0</v>
      </c>
      <c r="R13" s="160">
        <v>3889.0</v>
      </c>
      <c r="S13" s="160">
        <v>4822.0</v>
      </c>
      <c r="T13" s="160">
        <v>120.0</v>
      </c>
      <c r="U13" s="160">
        <v>5356.0</v>
      </c>
      <c r="V13" s="160">
        <v>2448.0</v>
      </c>
      <c r="W13" s="160">
        <v>949.0</v>
      </c>
      <c r="X13" s="160">
        <v>2842.0</v>
      </c>
      <c r="Y13" s="160">
        <v>1660.0</v>
      </c>
      <c r="Z13" s="160">
        <v>2770.0</v>
      </c>
      <c r="AA13" s="160">
        <v>1224.0</v>
      </c>
      <c r="AB13" s="160">
        <v>2001.0</v>
      </c>
      <c r="AC13" s="161" t="s">
        <v>314</v>
      </c>
      <c r="AD13" s="154"/>
    </row>
    <row r="14" ht="14.25" customHeight="1">
      <c r="A14" s="158" t="s">
        <v>315</v>
      </c>
      <c r="B14" s="160">
        <v>294.0</v>
      </c>
      <c r="C14" s="160">
        <v>2173.0</v>
      </c>
      <c r="D14" s="160">
        <v>1854.0</v>
      </c>
      <c r="E14" s="160">
        <v>6276.0</v>
      </c>
      <c r="F14" s="160">
        <v>1928.0</v>
      </c>
      <c r="G14" s="160">
        <v>3040.0</v>
      </c>
      <c r="H14" s="160">
        <v>3049.0</v>
      </c>
      <c r="I14" s="160">
        <v>2871.0</v>
      </c>
      <c r="J14" s="160">
        <v>3168.0</v>
      </c>
      <c r="K14" s="160">
        <v>1075.0</v>
      </c>
      <c r="L14" s="160">
        <v>2105.0</v>
      </c>
      <c r="M14" s="160">
        <v>395.0</v>
      </c>
      <c r="N14" s="159"/>
      <c r="O14" s="160">
        <v>5491.0</v>
      </c>
      <c r="P14" s="160">
        <v>572.0</v>
      </c>
      <c r="Q14" s="160">
        <v>1851.0</v>
      </c>
      <c r="R14" s="160">
        <v>3572.0</v>
      </c>
      <c r="S14" s="160">
        <v>4505.0</v>
      </c>
      <c r="T14" s="160">
        <v>285.0</v>
      </c>
      <c r="U14" s="160">
        <v>5039.0</v>
      </c>
      <c r="V14" s="160">
        <v>2131.0</v>
      </c>
      <c r="W14" s="160">
        <v>632.0</v>
      </c>
      <c r="X14" s="160">
        <v>2525.0</v>
      </c>
      <c r="Y14" s="160">
        <v>1672.0</v>
      </c>
      <c r="Z14" s="160">
        <v>2453.0</v>
      </c>
      <c r="AA14" s="160">
        <v>1236.0</v>
      </c>
      <c r="AB14" s="160">
        <v>1684.0</v>
      </c>
      <c r="AC14" s="161" t="s">
        <v>315</v>
      </c>
      <c r="AD14" s="154"/>
    </row>
    <row r="15" ht="14.25" customHeight="1">
      <c r="A15" s="158" t="s">
        <v>71</v>
      </c>
      <c r="B15" s="160">
        <v>5215.0</v>
      </c>
      <c r="C15" s="160">
        <v>5298.0</v>
      </c>
      <c r="D15" s="160">
        <v>3951.0</v>
      </c>
      <c r="E15" s="160">
        <v>785.0</v>
      </c>
      <c r="F15" s="160">
        <v>3490.0</v>
      </c>
      <c r="G15" s="160">
        <v>3051.0</v>
      </c>
      <c r="H15" s="160">
        <v>2357.0</v>
      </c>
      <c r="I15" s="160">
        <v>4036.0</v>
      </c>
      <c r="J15" s="160">
        <v>4343.0</v>
      </c>
      <c r="K15" s="160">
        <v>5763.0</v>
      </c>
      <c r="L15" s="160">
        <v>3291.0</v>
      </c>
      <c r="M15" s="160">
        <v>5808.0</v>
      </c>
      <c r="N15" s="160">
        <v>5491.0</v>
      </c>
      <c r="O15" s="159"/>
      <c r="P15" s="160">
        <v>5985.0</v>
      </c>
      <c r="Q15" s="160">
        <v>4141.0</v>
      </c>
      <c r="R15" s="160">
        <v>4563.0</v>
      </c>
      <c r="S15" s="160">
        <v>901.0</v>
      </c>
      <c r="T15" s="160">
        <v>5698.0</v>
      </c>
      <c r="U15" s="160">
        <v>1445.0</v>
      </c>
      <c r="V15" s="160">
        <v>4374.0</v>
      </c>
      <c r="W15" s="160">
        <v>5009.0</v>
      </c>
      <c r="X15" s="160">
        <v>4043.0</v>
      </c>
      <c r="Y15" s="160">
        <v>5335.0</v>
      </c>
      <c r="Z15" s="160">
        <v>3971.0</v>
      </c>
      <c r="AA15" s="160">
        <v>5267.0</v>
      </c>
      <c r="AB15" s="160">
        <v>4476.0</v>
      </c>
      <c r="AC15" s="161" t="s">
        <v>71</v>
      </c>
      <c r="AD15" s="154"/>
    </row>
    <row r="16" ht="14.25" customHeight="1">
      <c r="A16" s="158" t="s">
        <v>316</v>
      </c>
      <c r="B16" s="160">
        <v>788.0</v>
      </c>
      <c r="C16" s="160">
        <v>2108.0</v>
      </c>
      <c r="D16" s="160">
        <v>2348.0</v>
      </c>
      <c r="E16" s="160">
        <v>6770.0</v>
      </c>
      <c r="F16" s="160">
        <v>2422.0</v>
      </c>
      <c r="G16" s="160">
        <v>3537.0</v>
      </c>
      <c r="H16" s="160">
        <v>3543.0</v>
      </c>
      <c r="I16" s="160">
        <v>3365.0</v>
      </c>
      <c r="J16" s="160">
        <v>3662.0</v>
      </c>
      <c r="K16" s="160">
        <v>537.0</v>
      </c>
      <c r="L16" s="160">
        <v>2619.0</v>
      </c>
      <c r="M16" s="160">
        <v>185.0</v>
      </c>
      <c r="N16" s="160">
        <v>572.0</v>
      </c>
      <c r="O16" s="160">
        <v>5985.0</v>
      </c>
      <c r="P16" s="159"/>
      <c r="Q16" s="160">
        <v>2345.0</v>
      </c>
      <c r="R16" s="160">
        <v>4066.0</v>
      </c>
      <c r="S16" s="160">
        <v>4998.0</v>
      </c>
      <c r="T16" s="160">
        <v>297.0</v>
      </c>
      <c r="U16" s="160">
        <v>5533.0</v>
      </c>
      <c r="V16" s="160">
        <v>2625.0</v>
      </c>
      <c r="W16" s="160">
        <v>1126.0</v>
      </c>
      <c r="X16" s="160">
        <v>3019.0</v>
      </c>
      <c r="Y16" s="160">
        <v>1607.0</v>
      </c>
      <c r="Z16" s="160">
        <v>2947.0</v>
      </c>
      <c r="AA16" s="160">
        <v>1171.0</v>
      </c>
      <c r="AB16" s="160">
        <v>2178.0</v>
      </c>
      <c r="AC16" s="161" t="s">
        <v>316</v>
      </c>
      <c r="AD16" s="154"/>
    </row>
    <row r="17" ht="14.25" customHeight="1">
      <c r="A17" s="158" t="s">
        <v>318</v>
      </c>
      <c r="B17" s="160">
        <v>3296.0</v>
      </c>
      <c r="C17" s="160">
        <v>3854.0</v>
      </c>
      <c r="D17" s="160">
        <v>1712.0</v>
      </c>
      <c r="E17" s="160">
        <v>5348.0</v>
      </c>
      <c r="F17" s="160">
        <v>2027.0</v>
      </c>
      <c r="G17" s="160">
        <v>1518.0</v>
      </c>
      <c r="H17" s="160">
        <v>2206.0</v>
      </c>
      <c r="I17" s="160">
        <v>711.0</v>
      </c>
      <c r="J17" s="160">
        <v>476.0</v>
      </c>
      <c r="K17" s="160">
        <v>4242.0</v>
      </c>
      <c r="L17" s="160">
        <v>1847.0</v>
      </c>
      <c r="M17" s="160">
        <v>3889.0</v>
      </c>
      <c r="N17" s="160">
        <v>3572.0</v>
      </c>
      <c r="O17" s="160">
        <v>4563.0</v>
      </c>
      <c r="P17" s="160">
        <v>4066.0</v>
      </c>
      <c r="Q17" s="160">
        <v>2747.0</v>
      </c>
      <c r="R17" s="159"/>
      <c r="S17" s="160">
        <v>3662.0</v>
      </c>
      <c r="T17" s="160">
        <v>3779.0</v>
      </c>
      <c r="U17" s="160">
        <v>4196.0</v>
      </c>
      <c r="V17" s="160">
        <v>1553.0</v>
      </c>
      <c r="W17" s="160">
        <v>3090.0</v>
      </c>
      <c r="X17" s="160">
        <v>1181.0</v>
      </c>
      <c r="Y17" s="160">
        <v>3891.0</v>
      </c>
      <c r="Z17" s="160">
        <v>1109.0</v>
      </c>
      <c r="AA17" s="160">
        <v>3804.0</v>
      </c>
      <c r="AB17" s="160">
        <v>2001.0</v>
      </c>
      <c r="AC17" s="161" t="s">
        <v>318</v>
      </c>
      <c r="AD17" s="154"/>
    </row>
    <row r="18" ht="14.25" customHeight="1">
      <c r="A18" s="158" t="s">
        <v>319</v>
      </c>
      <c r="B18" s="160">
        <v>4229.0</v>
      </c>
      <c r="C18" s="160">
        <v>4397.0</v>
      </c>
      <c r="D18" s="160">
        <v>3050.0</v>
      </c>
      <c r="E18" s="160">
        <v>1686.0</v>
      </c>
      <c r="F18" s="160">
        <v>2589.0</v>
      </c>
      <c r="G18" s="160">
        <v>2150.0</v>
      </c>
      <c r="H18" s="160">
        <v>1456.0</v>
      </c>
      <c r="I18" s="160">
        <v>3135.0</v>
      </c>
      <c r="J18" s="160">
        <v>3442.0</v>
      </c>
      <c r="K18" s="160">
        <v>4865.0</v>
      </c>
      <c r="L18" s="160">
        <v>2390.0</v>
      </c>
      <c r="M18" s="160">
        <v>4822.0</v>
      </c>
      <c r="N18" s="160">
        <v>4505.0</v>
      </c>
      <c r="O18" s="160">
        <v>901.0</v>
      </c>
      <c r="P18" s="160">
        <v>4999.0</v>
      </c>
      <c r="Q18" s="160">
        <v>3240.0</v>
      </c>
      <c r="R18" s="160">
        <v>3662.0</v>
      </c>
      <c r="S18" s="159"/>
      <c r="T18" s="160">
        <v>4712.0</v>
      </c>
      <c r="U18" s="160">
        <v>544.0</v>
      </c>
      <c r="V18" s="160">
        <v>3473.0</v>
      </c>
      <c r="W18" s="160">
        <v>4023.0</v>
      </c>
      <c r="X18" s="160">
        <v>3142.0</v>
      </c>
      <c r="Y18" s="160">
        <v>4434.0</v>
      </c>
      <c r="Z18" s="160">
        <v>3070.0</v>
      </c>
      <c r="AA18" s="160">
        <v>4366.0</v>
      </c>
      <c r="AB18" s="160">
        <v>3575.0</v>
      </c>
      <c r="AC18" s="161" t="s">
        <v>319</v>
      </c>
      <c r="AD18" s="154"/>
    </row>
    <row r="19" ht="14.25" customHeight="1">
      <c r="A19" s="158" t="s">
        <v>73</v>
      </c>
      <c r="B19" s="160">
        <v>501.0</v>
      </c>
      <c r="C19" s="160">
        <v>2074.0</v>
      </c>
      <c r="D19" s="160">
        <v>2061.0</v>
      </c>
      <c r="E19" s="160">
        <v>6483.0</v>
      </c>
      <c r="F19" s="160">
        <v>2135.0</v>
      </c>
      <c r="G19" s="160">
        <v>3247.0</v>
      </c>
      <c r="H19" s="160">
        <v>3256.0</v>
      </c>
      <c r="I19" s="160">
        <v>3078.0</v>
      </c>
      <c r="J19" s="160">
        <v>3375.0</v>
      </c>
      <c r="K19" s="160">
        <v>800.0</v>
      </c>
      <c r="L19" s="160">
        <v>2332.0</v>
      </c>
      <c r="M19" s="160">
        <v>120.0</v>
      </c>
      <c r="N19" s="160">
        <v>285.0</v>
      </c>
      <c r="O19" s="160">
        <v>5698.0</v>
      </c>
      <c r="P19" s="160">
        <v>297.0</v>
      </c>
      <c r="Q19" s="160">
        <v>2058.0</v>
      </c>
      <c r="R19" s="160">
        <v>3779.0</v>
      </c>
      <c r="S19" s="160">
        <v>4712.0</v>
      </c>
      <c r="T19" s="159"/>
      <c r="U19" s="160">
        <v>5243.0</v>
      </c>
      <c r="V19" s="160">
        <v>2338.0</v>
      </c>
      <c r="W19" s="160">
        <v>839.0</v>
      </c>
      <c r="X19" s="160">
        <v>2732.0</v>
      </c>
      <c r="Y19" s="160">
        <v>1573.0</v>
      </c>
      <c r="Z19" s="160">
        <v>2660.0</v>
      </c>
      <c r="AA19" s="160">
        <v>1137.0</v>
      </c>
      <c r="AB19" s="160">
        <v>1891.0</v>
      </c>
      <c r="AC19" s="161" t="s">
        <v>73</v>
      </c>
      <c r="AD19" s="154"/>
    </row>
    <row r="20" ht="14.25" customHeight="1">
      <c r="A20" s="158" t="s">
        <v>326</v>
      </c>
      <c r="B20" s="160">
        <v>2106.0</v>
      </c>
      <c r="C20" s="160">
        <v>2622.0</v>
      </c>
      <c r="D20" s="160">
        <v>523.0</v>
      </c>
      <c r="E20" s="160">
        <v>4445.0</v>
      </c>
      <c r="F20" s="160">
        <v>706.0</v>
      </c>
      <c r="G20" s="160">
        <v>930.0</v>
      </c>
      <c r="H20" s="160">
        <v>1303.0</v>
      </c>
      <c r="I20" s="160">
        <v>681.0</v>
      </c>
      <c r="J20" s="160">
        <v>988.0</v>
      </c>
      <c r="K20" s="160">
        <v>2978.0</v>
      </c>
      <c r="L20" s="160">
        <v>615.0</v>
      </c>
      <c r="M20" s="160">
        <v>2699.0</v>
      </c>
      <c r="N20" s="160">
        <v>2382.0</v>
      </c>
      <c r="O20" s="160">
        <v>3660.0</v>
      </c>
      <c r="P20" s="160">
        <v>2876.0</v>
      </c>
      <c r="Q20" s="160">
        <v>1491.0</v>
      </c>
      <c r="R20" s="160">
        <v>1342.0</v>
      </c>
      <c r="S20" s="160">
        <v>2759.0</v>
      </c>
      <c r="T20" s="160">
        <v>2589.0</v>
      </c>
      <c r="U20" s="160">
        <v>3293.0</v>
      </c>
      <c r="V20" s="160">
        <v>725.0</v>
      </c>
      <c r="W20" s="160">
        <v>1900.0</v>
      </c>
      <c r="X20" s="160">
        <v>391.0</v>
      </c>
      <c r="Y20" s="160">
        <v>2659.0</v>
      </c>
      <c r="Z20" s="160">
        <v>319.0</v>
      </c>
      <c r="AA20" s="160">
        <v>2483.0</v>
      </c>
      <c r="AB20" s="160">
        <v>1048.0</v>
      </c>
      <c r="AC20" s="161" t="s">
        <v>326</v>
      </c>
      <c r="AD20" s="154"/>
    </row>
    <row r="21" ht="14.25" customHeight="1">
      <c r="A21" s="158" t="s">
        <v>320</v>
      </c>
      <c r="B21" s="160">
        <v>4763.0</v>
      </c>
      <c r="C21" s="160">
        <v>4931.0</v>
      </c>
      <c r="D21" s="160">
        <v>3584.0</v>
      </c>
      <c r="E21" s="160">
        <v>2230.0</v>
      </c>
      <c r="F21" s="160">
        <v>3123.0</v>
      </c>
      <c r="G21" s="160">
        <v>2684.0</v>
      </c>
      <c r="H21" s="160">
        <v>1990.0</v>
      </c>
      <c r="I21" s="160">
        <v>3669.0</v>
      </c>
      <c r="J21" s="160">
        <v>3976.0</v>
      </c>
      <c r="K21" s="160">
        <v>5396.0</v>
      </c>
      <c r="L21" s="160">
        <v>2924.0</v>
      </c>
      <c r="M21" s="160">
        <v>5356.0</v>
      </c>
      <c r="N21" s="160">
        <v>5039.0</v>
      </c>
      <c r="O21" s="160">
        <v>1445.0</v>
      </c>
      <c r="P21" s="160">
        <v>5533.0</v>
      </c>
      <c r="Q21" s="160">
        <v>3764.0</v>
      </c>
      <c r="R21" s="160">
        <v>4196.0</v>
      </c>
      <c r="S21" s="160">
        <v>544.0</v>
      </c>
      <c r="T21" s="160">
        <v>5243.0</v>
      </c>
      <c r="U21" s="159"/>
      <c r="V21" s="160">
        <v>4007.0</v>
      </c>
      <c r="W21" s="160">
        <v>4457.0</v>
      </c>
      <c r="X21" s="160">
        <v>3673.0</v>
      </c>
      <c r="Y21" s="160">
        <v>4968.0</v>
      </c>
      <c r="Z21" s="160">
        <v>3604.0</v>
      </c>
      <c r="AA21" s="160">
        <v>4900.0</v>
      </c>
      <c r="AB21" s="160">
        <v>4109.0</v>
      </c>
      <c r="AC21" s="161" t="s">
        <v>320</v>
      </c>
      <c r="AD21" s="154"/>
    </row>
    <row r="22" ht="14.25" customHeight="1">
      <c r="A22" s="158" t="s">
        <v>321</v>
      </c>
      <c r="B22" s="160">
        <v>1855.0</v>
      </c>
      <c r="C22" s="160">
        <v>3250.0</v>
      </c>
      <c r="D22" s="160">
        <v>434.0</v>
      </c>
      <c r="E22" s="160">
        <v>5159.0</v>
      </c>
      <c r="F22" s="160">
        <v>1148.0</v>
      </c>
      <c r="G22" s="160">
        <v>1444.0</v>
      </c>
      <c r="H22" s="160">
        <v>2017.0</v>
      </c>
      <c r="I22" s="160">
        <v>852.0</v>
      </c>
      <c r="J22" s="160">
        <v>1144.0</v>
      </c>
      <c r="K22" s="160">
        <v>2805.0</v>
      </c>
      <c r="L22" s="160">
        <v>1338.0</v>
      </c>
      <c r="M22" s="160">
        <v>2448.0</v>
      </c>
      <c r="N22" s="160">
        <v>2131.0</v>
      </c>
      <c r="O22" s="160">
        <v>4374.0</v>
      </c>
      <c r="P22" s="160">
        <v>2625.0</v>
      </c>
      <c r="Q22" s="160">
        <v>2124.0</v>
      </c>
      <c r="R22" s="160">
        <v>1553.0</v>
      </c>
      <c r="S22" s="160">
        <v>3473.0</v>
      </c>
      <c r="T22" s="160">
        <v>2338.0</v>
      </c>
      <c r="U22" s="160">
        <v>4007.0</v>
      </c>
      <c r="V22" s="159"/>
      <c r="W22" s="160">
        <v>1649.0</v>
      </c>
      <c r="X22" s="160">
        <v>501.0</v>
      </c>
      <c r="Y22" s="160">
        <v>3015.0</v>
      </c>
      <c r="Z22" s="160">
        <v>429.0</v>
      </c>
      <c r="AA22" s="160">
        <v>2579.0</v>
      </c>
      <c r="AB22" s="160">
        <v>521.0</v>
      </c>
      <c r="AC22" s="161" t="s">
        <v>321</v>
      </c>
      <c r="AD22" s="154"/>
    </row>
    <row r="23" ht="14.25" customHeight="1">
      <c r="A23" s="158" t="s">
        <v>327</v>
      </c>
      <c r="B23" s="160">
        <v>2165.0</v>
      </c>
      <c r="C23" s="160">
        <v>2248.0</v>
      </c>
      <c r="D23" s="160">
        <v>901.0</v>
      </c>
      <c r="E23" s="160">
        <v>3841.0</v>
      </c>
      <c r="F23" s="160">
        <v>440.0</v>
      </c>
      <c r="G23" s="160">
        <v>747.0</v>
      </c>
      <c r="H23" s="160">
        <v>699.0</v>
      </c>
      <c r="I23" s="160">
        <v>1181.0</v>
      </c>
      <c r="J23" s="160">
        <v>1488.0</v>
      </c>
      <c r="K23" s="160">
        <v>2713.0</v>
      </c>
      <c r="L23" s="160">
        <v>241.0</v>
      </c>
      <c r="M23" s="160">
        <v>2758.0</v>
      </c>
      <c r="N23" s="160">
        <v>2441.0</v>
      </c>
      <c r="O23" s="160">
        <v>3056.0</v>
      </c>
      <c r="P23" s="160">
        <v>2935.0</v>
      </c>
      <c r="Q23" s="160">
        <v>1091.0</v>
      </c>
      <c r="R23" s="160">
        <v>1842.0</v>
      </c>
      <c r="S23" s="160">
        <v>2155.0</v>
      </c>
      <c r="T23" s="160">
        <v>2648.0</v>
      </c>
      <c r="U23" s="160">
        <v>2689.0</v>
      </c>
      <c r="V23" s="160">
        <v>1324.0</v>
      </c>
      <c r="W23" s="160">
        <v>1959.0</v>
      </c>
      <c r="X23" s="160">
        <v>993.0</v>
      </c>
      <c r="Y23" s="160">
        <v>2285.0</v>
      </c>
      <c r="Z23" s="160">
        <v>921.0</v>
      </c>
      <c r="AA23" s="160">
        <v>2217.0</v>
      </c>
      <c r="AB23" s="160">
        <v>1426.0</v>
      </c>
      <c r="AC23" s="161" t="s">
        <v>327</v>
      </c>
      <c r="AD23" s="154"/>
    </row>
    <row r="24" ht="14.25" customHeight="1">
      <c r="A24" s="158" t="s">
        <v>74</v>
      </c>
      <c r="B24" s="160">
        <v>356.0</v>
      </c>
      <c r="C24" s="160">
        <v>2100.0</v>
      </c>
      <c r="D24" s="160">
        <v>1372.0</v>
      </c>
      <c r="E24" s="160">
        <v>5749.0</v>
      </c>
      <c r="F24" s="160">
        <v>1446.0</v>
      </c>
      <c r="G24" s="160">
        <v>2568.0</v>
      </c>
      <c r="H24" s="160">
        <v>2567.0</v>
      </c>
      <c r="I24" s="160">
        <v>2385.0</v>
      </c>
      <c r="J24" s="160">
        <v>2682.0</v>
      </c>
      <c r="K24" s="160">
        <v>1389.0</v>
      </c>
      <c r="L24" s="160">
        <v>1643.0</v>
      </c>
      <c r="M24" s="160">
        <v>949.0</v>
      </c>
      <c r="N24" s="160">
        <v>632.0</v>
      </c>
      <c r="O24" s="160">
        <v>5009.0</v>
      </c>
      <c r="P24" s="160">
        <v>1126.0</v>
      </c>
      <c r="Q24" s="160">
        <v>1454.0</v>
      </c>
      <c r="R24" s="160">
        <v>3090.0</v>
      </c>
      <c r="S24" s="160">
        <v>4023.0</v>
      </c>
      <c r="T24" s="160">
        <v>839.0</v>
      </c>
      <c r="U24" s="160">
        <v>4457.0</v>
      </c>
      <c r="V24" s="160">
        <v>1649.0</v>
      </c>
      <c r="W24" s="159"/>
      <c r="X24" s="160">
        <v>2034.0</v>
      </c>
      <c r="Y24" s="160">
        <v>1599.0</v>
      </c>
      <c r="Z24" s="160">
        <v>1962.0</v>
      </c>
      <c r="AA24" s="160">
        <v>1163.0</v>
      </c>
      <c r="AB24" s="160">
        <v>1202.0</v>
      </c>
      <c r="AC24" s="161" t="s">
        <v>74</v>
      </c>
      <c r="AD24" s="154"/>
    </row>
    <row r="25" ht="14.25" customHeight="1">
      <c r="A25" s="158" t="s">
        <v>323</v>
      </c>
      <c r="B25" s="160">
        <v>1578.0</v>
      </c>
      <c r="C25" s="160">
        <v>806.0</v>
      </c>
      <c r="D25" s="160">
        <v>2738.0</v>
      </c>
      <c r="E25" s="160">
        <v>6120.0</v>
      </c>
      <c r="F25" s="160">
        <v>2157.0</v>
      </c>
      <c r="G25" s="160">
        <v>2979.0</v>
      </c>
      <c r="H25" s="160">
        <v>2978.0</v>
      </c>
      <c r="I25" s="160">
        <v>3230.0</v>
      </c>
      <c r="J25" s="160">
        <v>3537.0</v>
      </c>
      <c r="K25" s="160">
        <v>1070.0</v>
      </c>
      <c r="L25" s="160">
        <v>2054.0</v>
      </c>
      <c r="M25" s="160">
        <v>1660.0</v>
      </c>
      <c r="N25" s="160">
        <v>1672.0</v>
      </c>
      <c r="O25" s="160">
        <v>5335.0</v>
      </c>
      <c r="P25" s="160">
        <v>1607.0</v>
      </c>
      <c r="Q25" s="160">
        <v>1386.0</v>
      </c>
      <c r="R25" s="160">
        <v>3891.0</v>
      </c>
      <c r="S25" s="160">
        <v>4434.0</v>
      </c>
      <c r="T25" s="160">
        <v>1573.0</v>
      </c>
      <c r="U25" s="160">
        <v>4968.0</v>
      </c>
      <c r="V25" s="160">
        <v>3015.0</v>
      </c>
      <c r="W25" s="160">
        <v>1599.0</v>
      </c>
      <c r="X25" s="160">
        <v>3042.0</v>
      </c>
      <c r="Y25" s="159"/>
      <c r="Z25" s="160">
        <v>2970.0</v>
      </c>
      <c r="AA25" s="160">
        <v>446.0</v>
      </c>
      <c r="AB25" s="160">
        <v>2607.0</v>
      </c>
      <c r="AC25" s="161" t="s">
        <v>323</v>
      </c>
      <c r="AD25" s="154"/>
    </row>
    <row r="26" ht="14.25" customHeight="1">
      <c r="A26" s="158" t="s">
        <v>75</v>
      </c>
      <c r="B26" s="160">
        <v>2188.0</v>
      </c>
      <c r="C26" s="160">
        <v>2933.0</v>
      </c>
      <c r="D26" s="160">
        <v>586.0</v>
      </c>
      <c r="E26" s="160">
        <v>4756.0</v>
      </c>
      <c r="F26" s="160">
        <v>1015.0</v>
      </c>
      <c r="G26" s="160">
        <v>1014.0</v>
      </c>
      <c r="H26" s="160">
        <v>1614.0</v>
      </c>
      <c r="I26" s="160">
        <v>408.0</v>
      </c>
      <c r="J26" s="160">
        <v>705.0</v>
      </c>
      <c r="K26" s="160">
        <v>3127.0</v>
      </c>
      <c r="L26" s="160">
        <v>926.0</v>
      </c>
      <c r="M26" s="160">
        <v>2770.0</v>
      </c>
      <c r="N26" s="160">
        <v>2453.0</v>
      </c>
      <c r="O26" s="160">
        <v>3971.0</v>
      </c>
      <c r="P26" s="160">
        <v>2947.0</v>
      </c>
      <c r="Q26" s="160">
        <v>1776.0</v>
      </c>
      <c r="R26" s="160">
        <v>1109.0</v>
      </c>
      <c r="S26" s="160">
        <v>3070.0</v>
      </c>
      <c r="T26" s="160">
        <v>2660.0</v>
      </c>
      <c r="U26" s="160">
        <v>3604.0</v>
      </c>
      <c r="V26" s="160">
        <v>429.0</v>
      </c>
      <c r="W26" s="160">
        <v>1962.0</v>
      </c>
      <c r="X26" s="160">
        <v>72.0</v>
      </c>
      <c r="Y26" s="160">
        <v>2970.0</v>
      </c>
      <c r="Z26" s="159"/>
      <c r="AA26" s="160">
        <v>2792.0</v>
      </c>
      <c r="AB26" s="160">
        <v>882.0</v>
      </c>
      <c r="AC26" s="161" t="s">
        <v>75</v>
      </c>
      <c r="AD26" s="154"/>
    </row>
    <row r="27" ht="14.25" customHeight="1">
      <c r="A27" s="158" t="s">
        <v>324</v>
      </c>
      <c r="B27" s="160">
        <v>1142.0</v>
      </c>
      <c r="C27" s="160">
        <v>947.0</v>
      </c>
      <c r="D27" s="160">
        <v>2302.0</v>
      </c>
      <c r="E27" s="160">
        <v>6052.0</v>
      </c>
      <c r="F27" s="160">
        <v>1789.0</v>
      </c>
      <c r="G27" s="160">
        <v>2911.0</v>
      </c>
      <c r="H27" s="160">
        <v>2910.0</v>
      </c>
      <c r="I27" s="160">
        <v>3143.0</v>
      </c>
      <c r="J27" s="160">
        <v>3450.0</v>
      </c>
      <c r="K27" s="160">
        <v>634.0</v>
      </c>
      <c r="L27" s="160">
        <v>1986.0</v>
      </c>
      <c r="M27" s="160">
        <v>1224.0</v>
      </c>
      <c r="N27" s="160">
        <v>1236.0</v>
      </c>
      <c r="O27" s="160">
        <v>5267.0</v>
      </c>
      <c r="P27" s="160">
        <v>1171.0</v>
      </c>
      <c r="Q27" s="160">
        <v>1401.0</v>
      </c>
      <c r="R27" s="160">
        <v>3804.0</v>
      </c>
      <c r="S27" s="160">
        <v>4366.0</v>
      </c>
      <c r="T27" s="160">
        <v>1137.0</v>
      </c>
      <c r="U27" s="160">
        <v>4900.0</v>
      </c>
      <c r="V27" s="160">
        <v>2579.0</v>
      </c>
      <c r="W27" s="160">
        <v>1163.0</v>
      </c>
      <c r="X27" s="160">
        <v>2864.0</v>
      </c>
      <c r="Y27" s="160">
        <v>446.0</v>
      </c>
      <c r="Z27" s="160">
        <v>2792.0</v>
      </c>
      <c r="AA27" s="159"/>
      <c r="AB27" s="160">
        <v>2171.0</v>
      </c>
      <c r="AC27" s="161" t="s">
        <v>324</v>
      </c>
      <c r="AD27" s="154"/>
    </row>
    <row r="28" ht="14.25" customHeight="1">
      <c r="A28" s="158" t="s">
        <v>325</v>
      </c>
      <c r="B28" s="160">
        <v>1408.0</v>
      </c>
      <c r="C28" s="160">
        <v>3108.0</v>
      </c>
      <c r="D28" s="160">
        <v>524.0</v>
      </c>
      <c r="E28" s="160">
        <v>5261.0</v>
      </c>
      <c r="F28" s="160">
        <v>1238.0</v>
      </c>
      <c r="G28" s="160">
        <v>1892.0</v>
      </c>
      <c r="H28" s="160">
        <v>2119.0</v>
      </c>
      <c r="I28" s="160">
        <v>1300.0</v>
      </c>
      <c r="J28" s="160">
        <v>1597.0</v>
      </c>
      <c r="K28" s="160">
        <v>2397.0</v>
      </c>
      <c r="L28" s="160">
        <v>1428.0</v>
      </c>
      <c r="M28" s="160">
        <v>2001.0</v>
      </c>
      <c r="N28" s="160">
        <v>1684.0</v>
      </c>
      <c r="O28" s="160">
        <v>4476.0</v>
      </c>
      <c r="P28" s="160">
        <v>2178.0</v>
      </c>
      <c r="Q28" s="160">
        <v>2214.0</v>
      </c>
      <c r="R28" s="160">
        <v>2001.0</v>
      </c>
      <c r="S28" s="160">
        <v>3575.0</v>
      </c>
      <c r="T28" s="160">
        <v>1891.0</v>
      </c>
      <c r="U28" s="160">
        <v>4109.0</v>
      </c>
      <c r="V28" s="160">
        <v>521.0</v>
      </c>
      <c r="W28" s="160">
        <v>1202.0</v>
      </c>
      <c r="X28" s="160">
        <v>954.0</v>
      </c>
      <c r="Y28" s="160">
        <v>2607.0</v>
      </c>
      <c r="Z28" s="160">
        <v>882.0</v>
      </c>
      <c r="AA28" s="160">
        <v>2171.0</v>
      </c>
      <c r="AB28" s="159"/>
      <c r="AC28" s="161" t="s">
        <v>325</v>
      </c>
      <c r="AD28" s="154"/>
    </row>
    <row r="29" ht="129.75" customHeight="1">
      <c r="A29" s="163"/>
      <c r="B29" s="164" t="s">
        <v>305</v>
      </c>
      <c r="C29" s="164" t="s">
        <v>306</v>
      </c>
      <c r="D29" s="164" t="s">
        <v>307</v>
      </c>
      <c r="E29" s="164" t="s">
        <v>308</v>
      </c>
      <c r="F29" s="164" t="s">
        <v>309</v>
      </c>
      <c r="G29" s="164" t="s">
        <v>310</v>
      </c>
      <c r="H29" s="164" t="s">
        <v>311</v>
      </c>
      <c r="I29" s="164" t="s">
        <v>312</v>
      </c>
      <c r="J29" s="164" t="s">
        <v>76</v>
      </c>
      <c r="K29" s="164" t="s">
        <v>72</v>
      </c>
      <c r="L29" s="164" t="s">
        <v>313</v>
      </c>
      <c r="M29" s="164" t="s">
        <v>314</v>
      </c>
      <c r="N29" s="164" t="s">
        <v>315</v>
      </c>
      <c r="O29" s="164" t="s">
        <v>71</v>
      </c>
      <c r="P29" s="164" t="s">
        <v>316</v>
      </c>
      <c r="Q29" s="164" t="s">
        <v>317</v>
      </c>
      <c r="R29" s="164" t="s">
        <v>318</v>
      </c>
      <c r="S29" s="164" t="s">
        <v>319</v>
      </c>
      <c r="T29" s="164" t="s">
        <v>73</v>
      </c>
      <c r="U29" s="164" t="s">
        <v>320</v>
      </c>
      <c r="V29" s="164" t="s">
        <v>321</v>
      </c>
      <c r="W29" s="164" t="s">
        <v>74</v>
      </c>
      <c r="X29" s="164" t="s">
        <v>322</v>
      </c>
      <c r="Y29" s="164" t="s">
        <v>323</v>
      </c>
      <c r="Z29" s="164" t="s">
        <v>75</v>
      </c>
      <c r="AA29" s="164" t="s">
        <v>324</v>
      </c>
      <c r="AB29" s="164" t="s">
        <v>325</v>
      </c>
      <c r="AC29" s="165"/>
      <c r="AD29" s="166"/>
    </row>
    <row r="30" ht="14.25" customHeight="1">
      <c r="A30" s="167" t="s">
        <v>328</v>
      </c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9"/>
      <c r="AD30" s="170"/>
    </row>
    <row r="31" ht="14.25" customHeight="1">
      <c r="A31" s="171"/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66"/>
      <c r="AD31" s="154"/>
    </row>
    <row r="32" ht="14.25" customHeight="1">
      <c r="A32" s="171" t="s">
        <v>329</v>
      </c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66"/>
      <c r="AD32" s="154"/>
    </row>
    <row r="33" ht="14.25" customHeight="1">
      <c r="A33" s="171"/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66"/>
      <c r="AD33" s="154"/>
    </row>
    <row r="34" ht="14.25" customHeight="1">
      <c r="A34" s="171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66"/>
      <c r="AD34" s="154"/>
    </row>
    <row r="35" ht="14.25" customHeight="1">
      <c r="A35" s="171"/>
      <c r="B35" s="172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  <c r="AA35" s="172"/>
      <c r="AB35" s="172"/>
      <c r="AC35" s="166"/>
      <c r="AD35" s="154"/>
    </row>
    <row r="36" ht="14.25" customHeight="1">
      <c r="A36" s="171"/>
      <c r="B36" s="172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66"/>
      <c r="AD36" s="154"/>
    </row>
    <row r="37" ht="14.25" customHeight="1">
      <c r="A37" s="171"/>
      <c r="B37" s="172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66"/>
      <c r="AD37" s="154"/>
    </row>
    <row r="38" ht="14.25" customHeight="1">
      <c r="A38" s="171"/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66"/>
      <c r="AD38" s="154"/>
    </row>
    <row r="39" ht="14.25" customHeight="1">
      <c r="A39" s="172"/>
      <c r="B39" s="172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66"/>
      <c r="AB39" s="154"/>
      <c r="AC39" s="154"/>
      <c r="AD39" s="154"/>
    </row>
    <row r="40" ht="14.25" customHeight="1">
      <c r="A40" s="172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  <c r="AA40" s="166"/>
      <c r="AB40" s="154"/>
      <c r="AC40" s="154"/>
      <c r="AD40" s="154"/>
    </row>
    <row r="41" ht="14.25" customHeight="1">
      <c r="A41" s="172"/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66"/>
      <c r="AB41" s="154"/>
      <c r="AC41" s="154"/>
      <c r="AD41" s="154"/>
    </row>
    <row r="42" ht="14.25" customHeight="1">
      <c r="A42" s="172"/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66"/>
      <c r="AB42" s="154"/>
      <c r="AC42" s="154"/>
      <c r="AD42" s="154"/>
    </row>
    <row r="43" ht="14.25" customHeight="1">
      <c r="A43" s="172"/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66"/>
      <c r="AB43" s="154"/>
      <c r="AC43" s="154"/>
      <c r="AD43" s="154"/>
    </row>
    <row r="44" ht="14.25" customHeight="1">
      <c r="A44" s="172"/>
      <c r="B44" s="172"/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  <c r="AA44" s="166"/>
      <c r="AB44" s="154"/>
      <c r="AC44" s="154"/>
      <c r="AD44" s="154"/>
    </row>
    <row r="45" ht="14.25" customHeight="1">
      <c r="A45" s="172"/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  <c r="AA45" s="166"/>
      <c r="AB45" s="154"/>
      <c r="AC45" s="154"/>
      <c r="AD45" s="154"/>
    </row>
    <row r="46" ht="14.25" customHeight="1">
      <c r="A46" s="172"/>
      <c r="B46" s="172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  <c r="AA46" s="166"/>
      <c r="AB46" s="154"/>
      <c r="AC46" s="154"/>
      <c r="AD46" s="154"/>
    </row>
    <row r="47" ht="14.25" customHeight="1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  <c r="AA47" s="166"/>
      <c r="AB47" s="154"/>
      <c r="AC47" s="154"/>
      <c r="AD47" s="154"/>
    </row>
    <row r="48" ht="14.25" customHeight="1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  <c r="AA48" s="166"/>
      <c r="AB48" s="154"/>
      <c r="AC48" s="154"/>
      <c r="AD48" s="154"/>
    </row>
    <row r="49" ht="14.25" customHeight="1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66"/>
      <c r="AB49" s="154"/>
      <c r="AC49" s="154"/>
      <c r="AD49" s="154"/>
    </row>
    <row r="50" ht="14.25" customHeight="1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  <c r="AA50" s="166"/>
      <c r="AB50" s="154"/>
      <c r="AC50" s="154"/>
      <c r="AD50" s="154"/>
    </row>
    <row r="51" ht="14.25" customHeight="1">
      <c r="A51" s="173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66"/>
      <c r="AD51" s="154"/>
    </row>
    <row r="52" ht="14.25" customHeight="1">
      <c r="A52" s="173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66"/>
      <c r="AD52" s="154"/>
    </row>
    <row r="53" ht="14.25" customHeight="1">
      <c r="A53" s="173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66"/>
      <c r="AD53" s="154"/>
    </row>
    <row r="54" ht="14.25" customHeight="1">
      <c r="A54" s="173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66"/>
      <c r="AD54" s="154"/>
    </row>
    <row r="55" ht="14.25" customHeight="1">
      <c r="A55" s="173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  <c r="AC55" s="166"/>
      <c r="AD55" s="154"/>
    </row>
    <row r="56" ht="14.25" customHeight="1">
      <c r="A56" s="173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66"/>
      <c r="AD56" s="154"/>
    </row>
    <row r="57" ht="14.25" customHeight="1">
      <c r="A57" s="173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  <c r="AC57" s="166"/>
      <c r="AD57" s="154"/>
    </row>
    <row r="58" ht="14.25" customHeight="1">
      <c r="A58" s="173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66"/>
      <c r="AD58" s="154"/>
    </row>
    <row r="59" ht="14.25" customHeight="1">
      <c r="A59" s="173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  <c r="AC59" s="166"/>
      <c r="AD59" s="154"/>
    </row>
    <row r="60" ht="14.25" customHeight="1">
      <c r="A60" s="173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  <c r="AC60" s="166"/>
      <c r="AD60" s="154"/>
    </row>
    <row r="61" ht="14.25" customHeight="1">
      <c r="A61" s="173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66"/>
      <c r="AD61" s="154"/>
    </row>
    <row r="62" ht="14.25" customHeight="1">
      <c r="A62" s="173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66"/>
      <c r="AD62" s="154"/>
    </row>
    <row r="63" ht="14.25" customHeight="1">
      <c r="A63" s="173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66"/>
      <c r="AD63" s="154"/>
    </row>
    <row r="64" ht="14.25" customHeight="1">
      <c r="A64" s="173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66"/>
      <c r="AD64" s="154"/>
    </row>
    <row r="65" ht="14.25" customHeight="1">
      <c r="A65" s="173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  <c r="AC65" s="166"/>
      <c r="AD65" s="154"/>
    </row>
    <row r="66" ht="14.25" customHeight="1">
      <c r="A66" s="173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66"/>
      <c r="AD66" s="154"/>
    </row>
    <row r="67" ht="14.25" customHeight="1">
      <c r="A67" s="173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66"/>
      <c r="AD67" s="154"/>
    </row>
    <row r="68" ht="14.25" customHeight="1">
      <c r="A68" s="173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66"/>
      <c r="AD68" s="154"/>
    </row>
    <row r="69" ht="14.25" customHeight="1">
      <c r="A69" s="17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66"/>
      <c r="AD69" s="154"/>
    </row>
    <row r="70" ht="14.25" customHeight="1">
      <c r="A70" s="17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  <c r="AC70" s="166"/>
      <c r="AD70" s="154"/>
    </row>
    <row r="71" ht="14.25" customHeight="1">
      <c r="A71" s="17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  <c r="AC71" s="166"/>
      <c r="AD71" s="154"/>
    </row>
    <row r="72" ht="14.25" customHeight="1">
      <c r="A72" s="173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66"/>
      <c r="AD72" s="154"/>
    </row>
    <row r="73" ht="14.25" customHeight="1">
      <c r="A73" s="173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  <c r="AC73" s="166"/>
      <c r="AD73" s="154"/>
    </row>
    <row r="74" ht="14.25" customHeight="1">
      <c r="A74" s="173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66"/>
      <c r="AD74" s="154"/>
    </row>
    <row r="75" ht="14.25" customHeight="1">
      <c r="A75" s="173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  <c r="AC75" s="166"/>
      <c r="AD75" s="154"/>
    </row>
    <row r="76" ht="14.25" customHeight="1">
      <c r="A76" s="173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66"/>
      <c r="AD76" s="154"/>
    </row>
    <row r="77" ht="14.25" customHeight="1">
      <c r="A77" s="173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  <c r="AC77" s="166"/>
      <c r="AD77" s="154"/>
    </row>
    <row r="78" ht="14.25" customHeight="1">
      <c r="A78" s="173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  <c r="AC78" s="166"/>
      <c r="AD78" s="154"/>
    </row>
    <row r="79" ht="14.25" customHeight="1">
      <c r="A79" s="173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  <c r="AC79" s="166"/>
      <c r="AD79" s="154"/>
    </row>
    <row r="80" ht="14.25" customHeight="1">
      <c r="A80" s="173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  <c r="AC80" s="166"/>
      <c r="AD80" s="154"/>
    </row>
    <row r="81" ht="14.25" customHeight="1">
      <c r="A81" s="173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  <c r="AC81" s="166"/>
      <c r="AD81" s="154"/>
    </row>
    <row r="82" ht="14.25" customHeight="1">
      <c r="A82" s="173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66"/>
      <c r="AD82" s="154"/>
    </row>
    <row r="83" ht="14.25" customHeight="1">
      <c r="A83" s="173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  <c r="AC83" s="166"/>
      <c r="AD83" s="154"/>
    </row>
    <row r="84" ht="14.25" customHeight="1">
      <c r="A84" s="173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  <c r="AC84" s="166"/>
      <c r="AD84" s="154"/>
    </row>
    <row r="85" ht="14.25" customHeight="1">
      <c r="A85" s="173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  <c r="AC85" s="166"/>
      <c r="AD85" s="154"/>
    </row>
    <row r="86" ht="14.25" customHeight="1">
      <c r="A86" s="173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  <c r="AC86" s="166"/>
      <c r="AD86" s="154"/>
    </row>
    <row r="87" ht="14.25" customHeight="1">
      <c r="A87" s="173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  <c r="AC87" s="166"/>
      <c r="AD87" s="154"/>
    </row>
    <row r="88" ht="14.25" customHeight="1">
      <c r="A88" s="173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  <c r="AC88" s="166"/>
      <c r="AD88" s="154"/>
    </row>
    <row r="89" ht="14.25" customHeight="1">
      <c r="A89" s="173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  <c r="AC89" s="166"/>
      <c r="AD89" s="154"/>
    </row>
    <row r="90" ht="14.25" customHeight="1">
      <c r="A90" s="173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  <c r="AC90" s="166"/>
      <c r="AD90" s="154"/>
    </row>
    <row r="91" ht="14.25" customHeight="1">
      <c r="A91" s="173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  <c r="AC91" s="166"/>
      <c r="AD91" s="154"/>
    </row>
    <row r="92" ht="14.25" customHeight="1">
      <c r="A92" s="173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  <c r="AC92" s="166"/>
      <c r="AD92" s="154"/>
    </row>
    <row r="93" ht="14.25" customHeight="1">
      <c r="A93" s="173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  <c r="AC93" s="166"/>
      <c r="AD93" s="154"/>
    </row>
    <row r="94" ht="14.25" customHeight="1">
      <c r="A94" s="173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  <c r="AA94" s="154"/>
      <c r="AB94" s="154"/>
      <c r="AC94" s="166"/>
      <c r="AD94" s="154"/>
    </row>
    <row r="95" ht="14.25" customHeight="1">
      <c r="A95" s="173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  <c r="AC95" s="166"/>
      <c r="AD95" s="154"/>
    </row>
    <row r="96" ht="14.25" customHeight="1">
      <c r="A96" s="173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  <c r="AC96" s="166"/>
      <c r="AD96" s="154"/>
    </row>
    <row r="97" ht="14.25" customHeight="1">
      <c r="A97" s="173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  <c r="AC97" s="166"/>
      <c r="AD97" s="154"/>
    </row>
    <row r="98" ht="14.25" customHeight="1">
      <c r="A98" s="173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  <c r="AC98" s="166"/>
      <c r="AD98" s="154"/>
    </row>
    <row r="99" ht="14.25" customHeight="1">
      <c r="A99" s="173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  <c r="AC99" s="166"/>
      <c r="AD99" s="154"/>
    </row>
    <row r="100" ht="14.25" customHeight="1">
      <c r="A100" s="173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  <c r="AC100" s="166"/>
      <c r="AD100" s="154"/>
    </row>
    <row r="101" ht="14.25" customHeight="1">
      <c r="A101" s="173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66"/>
      <c r="AD101" s="154"/>
    </row>
    <row r="102" ht="14.25" customHeight="1">
      <c r="A102" s="173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  <c r="AC102" s="166"/>
      <c r="AD102" s="154"/>
    </row>
    <row r="103" ht="14.25" customHeight="1">
      <c r="A103" s="173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  <c r="AC103" s="166"/>
      <c r="AD103" s="154"/>
    </row>
    <row r="104" ht="14.25" customHeight="1">
      <c r="A104" s="173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66"/>
      <c r="AD104" s="154"/>
    </row>
    <row r="105" ht="14.25" customHeight="1">
      <c r="A105" s="173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  <c r="AC105" s="166"/>
      <c r="AD105" s="154"/>
    </row>
    <row r="106" ht="14.25" customHeight="1">
      <c r="A106" s="173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66"/>
      <c r="AD106" s="154"/>
    </row>
    <row r="107" ht="14.25" customHeight="1">
      <c r="A107" s="173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  <c r="AC107" s="166"/>
      <c r="AD107" s="154"/>
    </row>
    <row r="108" ht="14.25" customHeight="1">
      <c r="A108" s="173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  <c r="AC108" s="166"/>
      <c r="AD108" s="154"/>
    </row>
    <row r="109" ht="14.25" customHeight="1">
      <c r="A109" s="173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  <c r="AC109" s="166"/>
      <c r="AD109" s="154"/>
    </row>
    <row r="110" ht="14.25" customHeight="1">
      <c r="A110" s="173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  <c r="AC110" s="166"/>
      <c r="AD110" s="154"/>
    </row>
    <row r="111" ht="14.25" customHeight="1">
      <c r="A111" s="173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  <c r="AC111" s="166"/>
      <c r="AD111" s="154"/>
    </row>
    <row r="112" ht="14.25" customHeight="1">
      <c r="A112" s="173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  <c r="AC112" s="166"/>
      <c r="AD112" s="154"/>
    </row>
    <row r="113" ht="14.25" customHeight="1">
      <c r="A113" s="173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66"/>
      <c r="AD113" s="154"/>
    </row>
    <row r="114" ht="14.25" customHeight="1">
      <c r="A114" s="173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66"/>
      <c r="AD114" s="154"/>
    </row>
    <row r="115" ht="14.25" customHeight="1">
      <c r="A115" s="173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  <c r="AC115" s="166"/>
      <c r="AD115" s="154"/>
    </row>
    <row r="116" ht="14.25" customHeight="1">
      <c r="A116" s="173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  <c r="AC116" s="166"/>
      <c r="AD116" s="154"/>
    </row>
    <row r="117" ht="14.25" customHeight="1">
      <c r="A117" s="173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  <c r="AC117" s="166"/>
      <c r="AD117" s="154"/>
    </row>
    <row r="118" ht="14.25" customHeight="1">
      <c r="A118" s="173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66"/>
      <c r="AD118" s="154"/>
    </row>
    <row r="119" ht="14.25" customHeight="1">
      <c r="A119" s="173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66"/>
      <c r="AD119" s="154"/>
    </row>
    <row r="120" ht="14.25" customHeight="1">
      <c r="A120" s="173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  <c r="AC120" s="166"/>
      <c r="AD120" s="154"/>
    </row>
    <row r="121" ht="14.25" customHeight="1">
      <c r="A121" s="173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66"/>
      <c r="AD121" s="154"/>
    </row>
    <row r="122" ht="14.25" customHeight="1">
      <c r="A122" s="173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66"/>
      <c r="AD122" s="154"/>
    </row>
    <row r="123" ht="14.25" customHeight="1">
      <c r="A123" s="173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66"/>
      <c r="AD123" s="154"/>
    </row>
    <row r="124" ht="14.25" customHeight="1">
      <c r="A124" s="173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66"/>
      <c r="AD124" s="154"/>
    </row>
    <row r="125" ht="14.25" customHeight="1">
      <c r="A125" s="173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  <c r="AC125" s="166"/>
      <c r="AD125" s="154"/>
    </row>
    <row r="126" ht="14.25" customHeight="1">
      <c r="A126" s="173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/>
      <c r="AC126" s="166"/>
      <c r="AD126" s="154"/>
    </row>
    <row r="127" ht="14.25" customHeight="1">
      <c r="A127" s="173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  <c r="AC127" s="166"/>
      <c r="AD127" s="154"/>
    </row>
    <row r="128" ht="14.25" customHeight="1">
      <c r="A128" s="173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  <c r="AC128" s="166"/>
      <c r="AD128" s="154"/>
    </row>
    <row r="129" ht="14.25" customHeight="1">
      <c r="A129" s="173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  <c r="AC129" s="166"/>
      <c r="AD129" s="154"/>
    </row>
    <row r="130" ht="14.25" customHeight="1">
      <c r="A130" s="173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/>
      <c r="AC130" s="166"/>
      <c r="AD130" s="154"/>
    </row>
    <row r="131" ht="14.25" customHeight="1">
      <c r="A131" s="173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  <c r="AC131" s="166"/>
      <c r="AD131" s="154"/>
    </row>
    <row r="132" ht="14.25" customHeight="1">
      <c r="A132" s="173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  <c r="AC132" s="166"/>
      <c r="AD132" s="154"/>
    </row>
    <row r="133" ht="14.25" customHeight="1">
      <c r="A133" s="173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  <c r="AA133" s="154"/>
      <c r="AB133" s="154"/>
      <c r="AC133" s="166"/>
      <c r="AD133" s="154"/>
    </row>
    <row r="134" ht="14.25" customHeight="1">
      <c r="A134" s="173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/>
      <c r="AC134" s="166"/>
      <c r="AD134" s="154"/>
    </row>
    <row r="135" ht="14.25" customHeight="1">
      <c r="A135" s="173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/>
      <c r="AC135" s="166"/>
      <c r="AD135" s="154"/>
    </row>
    <row r="136" ht="14.25" customHeight="1">
      <c r="A136" s="173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/>
      <c r="AC136" s="166"/>
      <c r="AD136" s="154"/>
    </row>
    <row r="137" ht="14.25" customHeight="1">
      <c r="A137" s="173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  <c r="AC137" s="166"/>
      <c r="AD137" s="154"/>
    </row>
    <row r="138" ht="14.25" customHeight="1">
      <c r="A138" s="173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  <c r="AC138" s="166"/>
      <c r="AD138" s="154"/>
    </row>
    <row r="139" ht="14.25" customHeight="1">
      <c r="A139" s="173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/>
      <c r="AC139" s="166"/>
      <c r="AD139" s="154"/>
    </row>
    <row r="140" ht="14.25" customHeight="1">
      <c r="A140" s="173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  <c r="AC140" s="166"/>
      <c r="AD140" s="154"/>
    </row>
    <row r="141" ht="14.25" customHeight="1">
      <c r="A141" s="173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  <c r="AC141" s="166"/>
      <c r="AD141" s="154"/>
    </row>
    <row r="142" ht="14.25" customHeight="1">
      <c r="A142" s="173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  <c r="AC142" s="166"/>
      <c r="AD142" s="154"/>
    </row>
    <row r="143" ht="14.25" customHeight="1">
      <c r="A143" s="173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  <c r="AC143" s="166"/>
      <c r="AD143" s="154"/>
    </row>
    <row r="144" ht="14.25" customHeight="1">
      <c r="A144" s="173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  <c r="AC144" s="166"/>
      <c r="AD144" s="154"/>
    </row>
    <row r="145" ht="14.25" customHeight="1">
      <c r="A145" s="173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66"/>
      <c r="AD145" s="154"/>
    </row>
    <row r="146" ht="14.25" customHeight="1">
      <c r="A146" s="173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  <c r="AC146" s="166"/>
      <c r="AD146" s="154"/>
    </row>
    <row r="147" ht="14.25" customHeight="1">
      <c r="A147" s="173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  <c r="AC147" s="166"/>
      <c r="AD147" s="154"/>
    </row>
    <row r="148" ht="14.25" customHeight="1">
      <c r="A148" s="173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  <c r="AC148" s="166"/>
      <c r="AD148" s="154"/>
    </row>
    <row r="149" ht="14.25" customHeight="1">
      <c r="A149" s="173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66"/>
      <c r="AD149" s="154"/>
    </row>
    <row r="150" ht="14.25" customHeight="1">
      <c r="A150" s="173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  <c r="AC150" s="166"/>
      <c r="AD150" s="154"/>
    </row>
    <row r="151" ht="14.25" customHeight="1">
      <c r="A151" s="173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  <c r="AC151" s="166"/>
      <c r="AD151" s="154"/>
    </row>
    <row r="152" ht="14.25" customHeight="1">
      <c r="A152" s="173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  <c r="AC152" s="166"/>
      <c r="AD152" s="154"/>
    </row>
    <row r="153" ht="14.25" customHeight="1">
      <c r="A153" s="173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66"/>
      <c r="AD153" s="154"/>
    </row>
    <row r="154" ht="14.25" customHeight="1">
      <c r="A154" s="173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  <c r="AC154" s="166"/>
      <c r="AD154" s="154"/>
    </row>
    <row r="155" ht="14.25" customHeight="1">
      <c r="A155" s="173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66"/>
      <c r="AD155" s="154"/>
    </row>
    <row r="156" ht="14.25" customHeight="1">
      <c r="A156" s="173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  <c r="AC156" s="166"/>
      <c r="AD156" s="154"/>
    </row>
    <row r="157" ht="14.25" customHeight="1">
      <c r="A157" s="173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  <c r="AC157" s="166"/>
      <c r="AD157" s="154"/>
    </row>
    <row r="158" ht="14.25" customHeight="1">
      <c r="A158" s="173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  <c r="AC158" s="166"/>
      <c r="AD158" s="154"/>
    </row>
    <row r="159" ht="14.25" customHeight="1">
      <c r="A159" s="173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  <c r="AC159" s="166"/>
      <c r="AD159" s="154"/>
    </row>
    <row r="160" ht="14.25" customHeight="1">
      <c r="A160" s="173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  <c r="AC160" s="166"/>
      <c r="AD160" s="154"/>
    </row>
    <row r="161" ht="14.25" customHeight="1">
      <c r="A161" s="173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66"/>
      <c r="AD161" s="154"/>
    </row>
    <row r="162" ht="14.25" customHeight="1">
      <c r="A162" s="173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66"/>
      <c r="AD162" s="154"/>
    </row>
    <row r="163" ht="14.25" customHeight="1">
      <c r="A163" s="173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  <c r="AC163" s="166"/>
      <c r="AD163" s="154"/>
    </row>
    <row r="164" ht="14.25" customHeight="1">
      <c r="A164" s="173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  <c r="AC164" s="166"/>
      <c r="AD164" s="154"/>
    </row>
    <row r="165" ht="14.25" customHeight="1">
      <c r="A165" s="173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  <c r="AC165" s="166"/>
      <c r="AD165" s="154"/>
    </row>
    <row r="166" ht="14.25" customHeight="1">
      <c r="A166" s="173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  <c r="AC166" s="166"/>
      <c r="AD166" s="154"/>
    </row>
    <row r="167" ht="14.25" customHeight="1">
      <c r="A167" s="173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  <c r="AC167" s="166"/>
      <c r="AD167" s="154"/>
    </row>
    <row r="168" ht="14.25" customHeight="1">
      <c r="A168" s="173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  <c r="AC168" s="166"/>
      <c r="AD168" s="154"/>
    </row>
    <row r="169" ht="14.25" customHeight="1">
      <c r="A169" s="173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  <c r="AC169" s="166"/>
      <c r="AD169" s="154"/>
    </row>
    <row r="170" ht="14.25" customHeight="1">
      <c r="A170" s="173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  <c r="AC170" s="166"/>
      <c r="AD170" s="154"/>
    </row>
    <row r="171" ht="14.25" customHeight="1">
      <c r="A171" s="173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  <c r="AC171" s="166"/>
      <c r="AD171" s="154"/>
    </row>
    <row r="172" ht="14.25" customHeight="1">
      <c r="A172" s="173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  <c r="AC172" s="166"/>
      <c r="AD172" s="154"/>
    </row>
    <row r="173" ht="14.25" customHeight="1">
      <c r="A173" s="173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  <c r="AC173" s="166"/>
      <c r="AD173" s="154"/>
    </row>
    <row r="174" ht="14.25" customHeight="1">
      <c r="A174" s="173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  <c r="AC174" s="166"/>
      <c r="AD174" s="154"/>
    </row>
    <row r="175" ht="14.25" customHeight="1">
      <c r="A175" s="173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  <c r="AC175" s="166"/>
      <c r="AD175" s="154"/>
    </row>
    <row r="176" ht="14.25" customHeight="1">
      <c r="A176" s="173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  <c r="AC176" s="166"/>
      <c r="AD176" s="154"/>
    </row>
    <row r="177" ht="14.25" customHeight="1">
      <c r="A177" s="173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  <c r="AC177" s="166"/>
      <c r="AD177" s="154"/>
    </row>
    <row r="178" ht="14.25" customHeight="1">
      <c r="A178" s="17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66"/>
      <c r="AD178" s="154"/>
    </row>
    <row r="179" ht="14.25" customHeight="1">
      <c r="A179" s="173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  <c r="AC179" s="166"/>
      <c r="AD179" s="154"/>
    </row>
    <row r="180" ht="14.25" customHeight="1">
      <c r="A180" s="173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  <c r="AC180" s="166"/>
      <c r="AD180" s="154"/>
    </row>
    <row r="181" ht="14.25" customHeight="1">
      <c r="A181" s="173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  <c r="AC181" s="166"/>
      <c r="AD181" s="154"/>
    </row>
    <row r="182" ht="14.25" customHeight="1">
      <c r="A182" s="173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66"/>
      <c r="AD182" s="154"/>
    </row>
    <row r="183" ht="14.25" customHeight="1">
      <c r="A183" s="173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66"/>
      <c r="AD183" s="154"/>
    </row>
    <row r="184" ht="14.25" customHeight="1">
      <c r="A184" s="173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  <c r="AC184" s="166"/>
      <c r="AD184" s="154"/>
    </row>
    <row r="185" ht="14.25" customHeight="1">
      <c r="A185" s="173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  <c r="AC185" s="166"/>
      <c r="AD185" s="154"/>
    </row>
    <row r="186" ht="14.25" customHeight="1">
      <c r="A186" s="173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  <c r="AC186" s="166"/>
      <c r="AD186" s="154"/>
    </row>
    <row r="187" ht="14.25" customHeight="1">
      <c r="A187" s="173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  <c r="AC187" s="166"/>
      <c r="AD187" s="154"/>
    </row>
    <row r="188" ht="14.25" customHeight="1">
      <c r="A188" s="173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  <c r="AC188" s="166"/>
      <c r="AD188" s="154"/>
    </row>
    <row r="189" ht="14.25" customHeight="1">
      <c r="A189" s="173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  <c r="AC189" s="166"/>
      <c r="AD189" s="154"/>
    </row>
    <row r="190" ht="14.25" customHeight="1">
      <c r="A190" s="173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  <c r="AC190" s="166"/>
      <c r="AD190" s="154"/>
    </row>
    <row r="191" ht="14.25" customHeight="1">
      <c r="A191" s="173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  <c r="AC191" s="166"/>
      <c r="AD191" s="154"/>
    </row>
    <row r="192" ht="14.25" customHeight="1">
      <c r="A192" s="173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66"/>
      <c r="AD192" s="154"/>
    </row>
    <row r="193" ht="14.25" customHeight="1">
      <c r="A193" s="173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  <c r="AC193" s="166"/>
      <c r="AD193" s="154"/>
    </row>
    <row r="194" ht="14.25" customHeight="1">
      <c r="A194" s="173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  <c r="AC194" s="166"/>
      <c r="AD194" s="154"/>
    </row>
    <row r="195" ht="14.25" customHeight="1">
      <c r="A195" s="173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  <c r="AC195" s="166"/>
      <c r="AD195" s="154"/>
    </row>
    <row r="196" ht="14.25" customHeight="1">
      <c r="A196" s="173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  <c r="AC196" s="166"/>
      <c r="AD196" s="154"/>
    </row>
    <row r="197" ht="14.25" customHeight="1">
      <c r="A197" s="173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  <c r="AC197" s="166"/>
      <c r="AD197" s="154"/>
    </row>
    <row r="198" ht="14.25" customHeight="1">
      <c r="A198" s="173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  <c r="AC198" s="166"/>
      <c r="AD198" s="154"/>
    </row>
    <row r="199" ht="14.25" customHeight="1">
      <c r="A199" s="173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  <c r="AC199" s="166"/>
      <c r="AD199" s="154"/>
    </row>
    <row r="200" ht="14.25" customHeight="1">
      <c r="A200" s="173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66"/>
      <c r="AD200" s="154"/>
    </row>
    <row r="201" ht="14.25" customHeight="1">
      <c r="A201" s="173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66"/>
      <c r="AD201" s="154"/>
    </row>
    <row r="202" ht="14.25" customHeight="1">
      <c r="A202" s="173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66"/>
      <c r="AD202" s="154"/>
    </row>
    <row r="203" ht="14.25" customHeight="1">
      <c r="A203" s="173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66"/>
      <c r="AD203" s="154"/>
    </row>
    <row r="204" ht="14.25" customHeight="1">
      <c r="A204" s="173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  <c r="AC204" s="166"/>
      <c r="AD204" s="154"/>
    </row>
    <row r="205" ht="14.25" customHeight="1">
      <c r="A205" s="173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  <c r="AC205" s="166"/>
      <c r="AD205" s="154"/>
    </row>
    <row r="206" ht="14.25" customHeight="1">
      <c r="A206" s="173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  <c r="AC206" s="166"/>
      <c r="AD206" s="154"/>
    </row>
    <row r="207" ht="14.25" customHeight="1">
      <c r="A207" s="173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  <c r="AC207" s="166"/>
      <c r="AD207" s="154"/>
    </row>
    <row r="208" ht="14.25" customHeight="1">
      <c r="A208" s="173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  <c r="AC208" s="166"/>
      <c r="AD208" s="154"/>
    </row>
    <row r="209" ht="14.25" customHeight="1">
      <c r="A209" s="173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  <c r="AC209" s="166"/>
      <c r="AD209" s="154"/>
    </row>
    <row r="210" ht="14.25" customHeight="1">
      <c r="A210" s="173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  <c r="AC210" s="166"/>
      <c r="AD210" s="154"/>
    </row>
    <row r="211" ht="14.25" customHeight="1">
      <c r="A211" s="173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  <c r="AC211" s="166"/>
      <c r="AD211" s="154"/>
    </row>
    <row r="212" ht="14.25" customHeight="1">
      <c r="A212" s="173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  <c r="AC212" s="166"/>
      <c r="AD212" s="154"/>
    </row>
    <row r="213" ht="14.25" customHeight="1">
      <c r="A213" s="173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  <c r="AC213" s="166"/>
      <c r="AD213" s="154"/>
    </row>
    <row r="214" ht="14.25" customHeight="1">
      <c r="A214" s="173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  <c r="AC214" s="166"/>
      <c r="AD214" s="154"/>
    </row>
    <row r="215" ht="14.25" customHeight="1">
      <c r="A215" s="173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  <c r="AC215" s="166"/>
      <c r="AD215" s="154"/>
    </row>
    <row r="216" ht="14.25" customHeight="1">
      <c r="A216" s="173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  <c r="AC216" s="166"/>
      <c r="AD216" s="154"/>
    </row>
    <row r="217" ht="14.25" customHeight="1">
      <c r="A217" s="173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  <c r="AC217" s="166"/>
      <c r="AD217" s="154"/>
    </row>
    <row r="218" ht="14.25" customHeight="1">
      <c r="A218" s="173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  <c r="AC218" s="166"/>
      <c r="AD218" s="154"/>
    </row>
    <row r="219" ht="14.25" customHeight="1">
      <c r="A219" s="173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  <c r="AC219" s="166"/>
      <c r="AD219" s="154"/>
    </row>
    <row r="220" ht="14.25" customHeight="1">
      <c r="A220" s="173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  <c r="AC220" s="166"/>
      <c r="AD220" s="154"/>
    </row>
    <row r="221" ht="14.25" customHeight="1">
      <c r="A221" s="173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  <c r="AC221" s="166"/>
      <c r="AD221" s="154"/>
    </row>
    <row r="222" ht="14.25" customHeight="1">
      <c r="A222" s="173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66"/>
      <c r="AD222" s="154"/>
    </row>
    <row r="223" ht="14.25" customHeight="1">
      <c r="A223" s="173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  <c r="AC223" s="166"/>
      <c r="AD223" s="154"/>
    </row>
    <row r="224" ht="14.25" customHeight="1">
      <c r="A224" s="173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66"/>
      <c r="AD224" s="154"/>
    </row>
    <row r="225" ht="14.25" customHeight="1">
      <c r="A225" s="173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  <c r="AC225" s="166"/>
      <c r="AD225" s="154"/>
    </row>
    <row r="226" ht="14.25" customHeight="1">
      <c r="A226" s="173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66"/>
      <c r="AD226" s="154"/>
    </row>
    <row r="227" ht="14.25" customHeight="1">
      <c r="A227" s="173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  <c r="AC227" s="166"/>
      <c r="AD227" s="154"/>
    </row>
    <row r="228" ht="14.25" customHeight="1">
      <c r="A228" s="173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  <c r="AC228" s="166"/>
      <c r="AD228" s="154"/>
    </row>
    <row r="229" ht="14.25" customHeight="1">
      <c r="A229" s="173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  <c r="AC229" s="166"/>
      <c r="AD229" s="154"/>
    </row>
    <row r="230" ht="14.25" customHeight="1">
      <c r="A230" s="17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66"/>
      <c r="AD230" s="154"/>
    </row>
    <row r="231" ht="14.25" customHeight="1">
      <c r="A231" s="173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  <c r="AC231" s="166"/>
      <c r="AD231" s="154"/>
    </row>
    <row r="232" ht="14.25" customHeight="1">
      <c r="A232" s="173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66"/>
      <c r="AD232" s="15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C1"/>
  </mergeCells>
  <printOptions/>
  <pageMargins bottom="0.787401575" footer="0.0" header="0.0" left="0.511811024" right="0.511811024" top="0.7874015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8.71"/>
    <col customWidth="1" min="3" max="6" width="16.0"/>
  </cols>
  <sheetData>
    <row r="1" ht="14.25" customHeight="1"/>
    <row r="2" ht="14.25" customHeight="1">
      <c r="C2" s="149" t="s">
        <v>330</v>
      </c>
      <c r="D2" s="121"/>
      <c r="E2" s="121"/>
      <c r="F2" s="150"/>
    </row>
    <row r="3" ht="14.25" customHeight="1">
      <c r="B3" s="174" t="s">
        <v>44</v>
      </c>
      <c r="C3" s="4" t="s">
        <v>331</v>
      </c>
      <c r="D3" s="4" t="s">
        <v>332</v>
      </c>
      <c r="E3" s="4" t="s">
        <v>333</v>
      </c>
      <c r="F3" s="4" t="s">
        <v>334</v>
      </c>
    </row>
    <row r="4" ht="14.25" customHeight="1">
      <c r="B4" s="106" t="s">
        <v>149</v>
      </c>
      <c r="C4" s="107">
        <v>1600000.0</v>
      </c>
      <c r="D4" s="107">
        <f t="shared" ref="D4:D19" si="1">C4*0.9</f>
        <v>1440000</v>
      </c>
      <c r="E4" s="107">
        <f t="shared" ref="E4:E19" si="2">D4*0.95</f>
        <v>1368000</v>
      </c>
      <c r="F4" s="107">
        <f t="shared" ref="F4:F19" si="3">E4*0.9</f>
        <v>1231200</v>
      </c>
    </row>
    <row r="5" ht="14.25" customHeight="1">
      <c r="B5" s="106" t="s">
        <v>153</v>
      </c>
      <c r="C5" s="107">
        <v>70000.0</v>
      </c>
      <c r="D5" s="107">
        <f t="shared" si="1"/>
        <v>63000</v>
      </c>
      <c r="E5" s="107">
        <f t="shared" si="2"/>
        <v>59850</v>
      </c>
      <c r="F5" s="107">
        <f t="shared" si="3"/>
        <v>53865</v>
      </c>
    </row>
    <row r="6" ht="14.25" customHeight="1">
      <c r="B6" s="106" t="s">
        <v>227</v>
      </c>
      <c r="C6" s="107">
        <v>85000.0</v>
      </c>
      <c r="D6" s="107">
        <f t="shared" si="1"/>
        <v>76500</v>
      </c>
      <c r="E6" s="107">
        <f t="shared" si="2"/>
        <v>72675</v>
      </c>
      <c r="F6" s="107">
        <f t="shared" si="3"/>
        <v>65407.5</v>
      </c>
    </row>
    <row r="7" ht="14.25" customHeight="1">
      <c r="B7" s="106" t="s">
        <v>161</v>
      </c>
      <c r="C7" s="107">
        <v>120000.0</v>
      </c>
      <c r="D7" s="107">
        <f t="shared" si="1"/>
        <v>108000</v>
      </c>
      <c r="E7" s="107">
        <f t="shared" si="2"/>
        <v>102600</v>
      </c>
      <c r="F7" s="107">
        <f t="shared" si="3"/>
        <v>92340</v>
      </c>
    </row>
    <row r="8" ht="14.25" customHeight="1">
      <c r="B8" s="106" t="s">
        <v>165</v>
      </c>
      <c r="C8" s="107">
        <v>80000.0</v>
      </c>
      <c r="D8" s="107">
        <f t="shared" si="1"/>
        <v>72000</v>
      </c>
      <c r="E8" s="107">
        <f t="shared" si="2"/>
        <v>68400</v>
      </c>
      <c r="F8" s="107">
        <f t="shared" si="3"/>
        <v>61560</v>
      </c>
    </row>
    <row r="9" ht="14.25" customHeight="1">
      <c r="B9" s="106" t="s">
        <v>169</v>
      </c>
      <c r="C9" s="107">
        <v>75000.0</v>
      </c>
      <c r="D9" s="107">
        <f t="shared" si="1"/>
        <v>67500</v>
      </c>
      <c r="E9" s="107">
        <f t="shared" si="2"/>
        <v>64125</v>
      </c>
      <c r="F9" s="107">
        <f t="shared" si="3"/>
        <v>57712.5</v>
      </c>
    </row>
    <row r="10" ht="14.25" customHeight="1">
      <c r="B10" s="106" t="s">
        <v>173</v>
      </c>
      <c r="C10" s="107">
        <v>70000.0</v>
      </c>
      <c r="D10" s="107">
        <f t="shared" si="1"/>
        <v>63000</v>
      </c>
      <c r="E10" s="107">
        <f t="shared" si="2"/>
        <v>59850</v>
      </c>
      <c r="F10" s="107">
        <f t="shared" si="3"/>
        <v>53865</v>
      </c>
    </row>
    <row r="11" ht="14.25" customHeight="1">
      <c r="B11" s="106" t="s">
        <v>228</v>
      </c>
      <c r="C11" s="107">
        <v>90000.0</v>
      </c>
      <c r="D11" s="107">
        <f t="shared" si="1"/>
        <v>81000</v>
      </c>
      <c r="E11" s="107">
        <f t="shared" si="2"/>
        <v>76950</v>
      </c>
      <c r="F11" s="107">
        <f t="shared" si="3"/>
        <v>69255</v>
      </c>
    </row>
    <row r="12" ht="14.25" customHeight="1">
      <c r="B12" s="106" t="s">
        <v>180</v>
      </c>
      <c r="C12" s="107">
        <v>90000.0</v>
      </c>
      <c r="D12" s="107">
        <f t="shared" si="1"/>
        <v>81000</v>
      </c>
      <c r="E12" s="107">
        <f t="shared" si="2"/>
        <v>76950</v>
      </c>
      <c r="F12" s="107">
        <f t="shared" si="3"/>
        <v>69255</v>
      </c>
    </row>
    <row r="13" ht="14.25" customHeight="1">
      <c r="B13" s="106" t="s">
        <v>185</v>
      </c>
      <c r="C13" s="107">
        <v>190000.0</v>
      </c>
      <c r="D13" s="107">
        <f t="shared" si="1"/>
        <v>171000</v>
      </c>
      <c r="E13" s="107">
        <f t="shared" si="2"/>
        <v>162450</v>
      </c>
      <c r="F13" s="107">
        <f t="shared" si="3"/>
        <v>146205</v>
      </c>
    </row>
    <row r="14" ht="14.25" customHeight="1">
      <c r="B14" s="106" t="s">
        <v>189</v>
      </c>
      <c r="C14" s="107">
        <v>110000.0</v>
      </c>
      <c r="D14" s="107">
        <f t="shared" si="1"/>
        <v>99000</v>
      </c>
      <c r="E14" s="107">
        <f t="shared" si="2"/>
        <v>94050</v>
      </c>
      <c r="F14" s="107">
        <f t="shared" si="3"/>
        <v>84645</v>
      </c>
    </row>
    <row r="15" ht="14.25" customHeight="1">
      <c r="B15" s="106" t="s">
        <v>193</v>
      </c>
      <c r="C15" s="107">
        <v>95000.0</v>
      </c>
      <c r="D15" s="107">
        <f t="shared" si="1"/>
        <v>85500</v>
      </c>
      <c r="E15" s="107">
        <f t="shared" si="2"/>
        <v>81225</v>
      </c>
      <c r="F15" s="107">
        <f t="shared" si="3"/>
        <v>73102.5</v>
      </c>
    </row>
    <row r="16" ht="14.25" customHeight="1">
      <c r="B16" s="106" t="s">
        <v>196</v>
      </c>
      <c r="C16" s="107">
        <v>95000.0</v>
      </c>
      <c r="D16" s="107">
        <f t="shared" si="1"/>
        <v>85500</v>
      </c>
      <c r="E16" s="107">
        <f t="shared" si="2"/>
        <v>81225</v>
      </c>
      <c r="F16" s="107">
        <f t="shared" si="3"/>
        <v>73102.5</v>
      </c>
    </row>
    <row r="17" ht="14.25" customHeight="1">
      <c r="B17" s="106" t="s">
        <v>199</v>
      </c>
      <c r="C17" s="107">
        <v>95000.0</v>
      </c>
      <c r="D17" s="107">
        <f t="shared" si="1"/>
        <v>85500</v>
      </c>
      <c r="E17" s="107">
        <f t="shared" si="2"/>
        <v>81225</v>
      </c>
      <c r="F17" s="107">
        <f t="shared" si="3"/>
        <v>73102.5</v>
      </c>
    </row>
    <row r="18" ht="14.25" customHeight="1">
      <c r="B18" s="106" t="s">
        <v>202</v>
      </c>
      <c r="C18" s="107">
        <v>95000.0</v>
      </c>
      <c r="D18" s="107">
        <f t="shared" si="1"/>
        <v>85500</v>
      </c>
      <c r="E18" s="107">
        <f t="shared" si="2"/>
        <v>81225</v>
      </c>
      <c r="F18" s="107">
        <f t="shared" si="3"/>
        <v>73102.5</v>
      </c>
    </row>
    <row r="19" ht="14.25" customHeight="1">
      <c r="B19" s="106" t="s">
        <v>207</v>
      </c>
      <c r="C19" s="107">
        <v>110000.0</v>
      </c>
      <c r="D19" s="107">
        <f t="shared" si="1"/>
        <v>99000</v>
      </c>
      <c r="E19" s="107">
        <f t="shared" si="2"/>
        <v>94050</v>
      </c>
      <c r="F19" s="107">
        <f t="shared" si="3"/>
        <v>84645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F2"/>
  </mergeCells>
  <printOptions/>
  <pageMargins bottom="0.787401575" footer="0.0" header="0.0" left="0.511811024" right="0.511811024" top="0.7874015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22.71"/>
    <col customWidth="1" min="4" max="4" width="11.86"/>
    <col customWidth="1" min="5" max="5" width="11.14"/>
    <col customWidth="1" min="6" max="6" width="10.86"/>
    <col customWidth="1" min="7" max="7" width="11.43"/>
    <col customWidth="1" min="8" max="8" width="8.86"/>
  </cols>
  <sheetData>
    <row r="1" ht="14.25" customHeight="1">
      <c r="H1" s="50"/>
    </row>
    <row r="2" ht="14.25" customHeight="1">
      <c r="H2" s="50"/>
    </row>
    <row r="3" ht="14.25" customHeight="1">
      <c r="C3" s="19" t="s">
        <v>335</v>
      </c>
      <c r="D3" s="20"/>
      <c r="E3" s="20"/>
      <c r="F3" s="20"/>
      <c r="G3" s="20"/>
      <c r="H3" s="21"/>
    </row>
    <row r="4" ht="14.25" customHeight="1">
      <c r="C4" s="175" t="s">
        <v>336</v>
      </c>
      <c r="D4" s="176" t="s">
        <v>331</v>
      </c>
      <c r="E4" s="176" t="s">
        <v>332</v>
      </c>
      <c r="F4" s="176" t="s">
        <v>333</v>
      </c>
      <c r="G4" s="176" t="s">
        <v>334</v>
      </c>
      <c r="H4" s="6" t="s">
        <v>337</v>
      </c>
    </row>
    <row r="5" ht="14.25" customHeight="1">
      <c r="C5" s="89" t="s">
        <v>338</v>
      </c>
      <c r="D5" s="27">
        <v>25000.0</v>
      </c>
      <c r="E5" s="27">
        <v>21000.0</v>
      </c>
      <c r="F5" s="27">
        <v>18000.0</v>
      </c>
      <c r="G5" s="27">
        <v>15000.0</v>
      </c>
      <c r="H5" s="26" t="s">
        <v>339</v>
      </c>
    </row>
    <row r="6" ht="14.25" customHeight="1">
      <c r="C6" s="89" t="s">
        <v>340</v>
      </c>
      <c r="D6" s="27">
        <f t="shared" ref="D6:G6" si="1">D8*14</f>
        <v>39200</v>
      </c>
      <c r="E6" s="27">
        <f t="shared" si="1"/>
        <v>33600</v>
      </c>
      <c r="F6" s="27">
        <f t="shared" si="1"/>
        <v>28000</v>
      </c>
      <c r="G6" s="27">
        <f t="shared" si="1"/>
        <v>22400</v>
      </c>
      <c r="H6" s="26" t="s">
        <v>341</v>
      </c>
    </row>
    <row r="7" ht="14.25" customHeight="1">
      <c r="C7" s="89" t="s">
        <v>342</v>
      </c>
      <c r="D7" s="27">
        <v>3500.0</v>
      </c>
      <c r="E7" s="27">
        <v>3000.0</v>
      </c>
      <c r="F7" s="27">
        <v>2500.0</v>
      </c>
      <c r="G7" s="27">
        <v>2000.0</v>
      </c>
      <c r="H7" s="26" t="s">
        <v>4</v>
      </c>
    </row>
    <row r="8" ht="14.25" customHeight="1">
      <c r="C8" s="89" t="s">
        <v>343</v>
      </c>
      <c r="D8" s="27">
        <f t="shared" ref="D8:G8" si="2">D7*0.8</f>
        <v>2800</v>
      </c>
      <c r="E8" s="27">
        <f t="shared" si="2"/>
        <v>2400</v>
      </c>
      <c r="F8" s="27">
        <f t="shared" si="2"/>
        <v>2000</v>
      </c>
      <c r="G8" s="27">
        <f t="shared" si="2"/>
        <v>1600</v>
      </c>
      <c r="H8" s="26" t="s">
        <v>4</v>
      </c>
    </row>
    <row r="9" ht="14.25" customHeight="1">
      <c r="C9" s="89" t="s">
        <v>344</v>
      </c>
      <c r="D9" s="27">
        <v>400.0</v>
      </c>
      <c r="E9" s="27">
        <v>350.0</v>
      </c>
      <c r="F9" s="27">
        <v>300.0</v>
      </c>
      <c r="G9" s="27">
        <v>200.0</v>
      </c>
      <c r="H9" s="26" t="s">
        <v>345</v>
      </c>
    </row>
    <row r="10" ht="14.25" customHeight="1">
      <c r="C10" s="89" t="s">
        <v>346</v>
      </c>
      <c r="D10" s="177">
        <v>2.0</v>
      </c>
      <c r="E10" s="177">
        <v>2.0</v>
      </c>
      <c r="F10" s="177">
        <v>2.0</v>
      </c>
      <c r="G10" s="177">
        <v>2.0</v>
      </c>
      <c r="H10" s="26" t="s">
        <v>347</v>
      </c>
    </row>
    <row r="11" ht="14.25" customHeight="1">
      <c r="C11" s="89" t="s">
        <v>348</v>
      </c>
      <c r="D11" s="177">
        <v>3.0</v>
      </c>
      <c r="E11" s="177">
        <v>3.0</v>
      </c>
      <c r="F11" s="177">
        <v>3.0</v>
      </c>
      <c r="G11" s="177">
        <v>3.0</v>
      </c>
      <c r="H11" s="26" t="s">
        <v>347</v>
      </c>
    </row>
    <row r="12" ht="14.25" customHeight="1">
      <c r="C12" s="89" t="s">
        <v>349</v>
      </c>
      <c r="D12" s="177">
        <f t="shared" ref="D12:G12" si="3">(D6*0.055)^(1/3)</f>
        <v>12.91862382</v>
      </c>
      <c r="E12" s="177">
        <f t="shared" si="3"/>
        <v>12.27158488</v>
      </c>
      <c r="F12" s="177">
        <f t="shared" si="3"/>
        <v>11.5480035</v>
      </c>
      <c r="G12" s="177">
        <f t="shared" si="3"/>
        <v>10.72021682</v>
      </c>
      <c r="H12" s="26" t="s">
        <v>350</v>
      </c>
    </row>
    <row r="13" ht="14.25" customHeight="1">
      <c r="C13" s="89" t="s">
        <v>351</v>
      </c>
      <c r="D13" s="177">
        <v>20.0</v>
      </c>
      <c r="E13" s="177">
        <v>20.0</v>
      </c>
      <c r="F13" s="177">
        <v>19.0</v>
      </c>
      <c r="G13" s="177">
        <v>19.0</v>
      </c>
      <c r="H13" s="26" t="s">
        <v>352</v>
      </c>
    </row>
    <row r="14" ht="14.25" customHeight="1">
      <c r="H14" s="50"/>
    </row>
    <row r="15" ht="14.25" customHeight="1">
      <c r="H15" s="50"/>
    </row>
    <row r="16" ht="14.25" customHeight="1">
      <c r="H16" s="50"/>
    </row>
    <row r="17" ht="14.25" customHeight="1">
      <c r="H17" s="50"/>
    </row>
    <row r="18" ht="14.25" customHeight="1">
      <c r="H18" s="50"/>
    </row>
    <row r="19" ht="14.25" customHeight="1">
      <c r="H19" s="50"/>
    </row>
    <row r="20" ht="14.25" customHeight="1">
      <c r="H20" s="50"/>
    </row>
    <row r="21" ht="14.25" customHeight="1">
      <c r="H21" s="50"/>
    </row>
    <row r="22" ht="14.25" customHeight="1">
      <c r="H22" s="50"/>
    </row>
    <row r="23" ht="14.25" customHeight="1">
      <c r="H23" s="50"/>
    </row>
    <row r="24" ht="14.25" customHeight="1">
      <c r="H24" s="50"/>
    </row>
    <row r="25" ht="14.25" customHeight="1">
      <c r="H25" s="50"/>
    </row>
    <row r="26" ht="14.25" customHeight="1">
      <c r="H26" s="50"/>
    </row>
    <row r="27" ht="14.25" customHeight="1">
      <c r="H27" s="50"/>
    </row>
    <row r="28" ht="14.25" customHeight="1">
      <c r="H28" s="50"/>
    </row>
    <row r="29" ht="14.25" customHeight="1">
      <c r="H29" s="50"/>
    </row>
    <row r="30" ht="14.25" customHeight="1">
      <c r="H30" s="50"/>
    </row>
    <row r="31" ht="14.25" customHeight="1">
      <c r="H31" s="50"/>
    </row>
    <row r="32" ht="14.25" customHeight="1">
      <c r="H32" s="50"/>
    </row>
    <row r="33" ht="14.25" customHeight="1">
      <c r="H33" s="50"/>
    </row>
    <row r="34" ht="14.25" customHeight="1">
      <c r="H34" s="50"/>
    </row>
    <row r="35" ht="14.25" customHeight="1">
      <c r="H35" s="50"/>
    </row>
    <row r="36" ht="14.25" customHeight="1">
      <c r="H36" s="50"/>
    </row>
    <row r="37" ht="14.25" customHeight="1">
      <c r="H37" s="50"/>
    </row>
    <row r="38" ht="14.25" customHeight="1">
      <c r="H38" s="50"/>
    </row>
    <row r="39" ht="14.25" customHeight="1">
      <c r="H39" s="50"/>
    </row>
    <row r="40" ht="14.25" customHeight="1">
      <c r="H40" s="50"/>
    </row>
    <row r="41" ht="14.25" customHeight="1">
      <c r="H41" s="50"/>
    </row>
    <row r="42" ht="14.25" customHeight="1">
      <c r="H42" s="50"/>
    </row>
    <row r="43" ht="14.25" customHeight="1">
      <c r="H43" s="50"/>
    </row>
    <row r="44" ht="14.25" customHeight="1">
      <c r="H44" s="50"/>
    </row>
    <row r="45" ht="14.25" customHeight="1">
      <c r="H45" s="50"/>
    </row>
    <row r="46" ht="14.25" customHeight="1">
      <c r="H46" s="50"/>
    </row>
    <row r="47" ht="14.25" customHeight="1">
      <c r="H47" s="50"/>
    </row>
    <row r="48" ht="14.25" customHeight="1">
      <c r="H48" s="50"/>
    </row>
    <row r="49" ht="14.25" customHeight="1">
      <c r="H49" s="50"/>
    </row>
    <row r="50" ht="14.25" customHeight="1">
      <c r="H50" s="50"/>
    </row>
    <row r="51" ht="14.25" customHeight="1">
      <c r="H51" s="50"/>
    </row>
    <row r="52" ht="14.25" customHeight="1">
      <c r="H52" s="50"/>
    </row>
    <row r="53" ht="14.25" customHeight="1">
      <c r="H53" s="50"/>
    </row>
    <row r="54" ht="14.25" customHeight="1">
      <c r="H54" s="50"/>
    </row>
    <row r="55" ht="14.25" customHeight="1">
      <c r="H55" s="50"/>
    </row>
    <row r="56" ht="14.25" customHeight="1">
      <c r="H56" s="50"/>
    </row>
    <row r="57" ht="14.25" customHeight="1">
      <c r="H57" s="50"/>
    </row>
    <row r="58" ht="14.25" customHeight="1">
      <c r="H58" s="50"/>
    </row>
    <row r="59" ht="14.25" customHeight="1">
      <c r="H59" s="50"/>
    </row>
    <row r="60" ht="14.25" customHeight="1">
      <c r="H60" s="50"/>
    </row>
    <row r="61" ht="14.25" customHeight="1">
      <c r="H61" s="50"/>
    </row>
    <row r="62" ht="14.25" customHeight="1">
      <c r="H62" s="50"/>
    </row>
    <row r="63" ht="14.25" customHeight="1">
      <c r="H63" s="50"/>
    </row>
    <row r="64" ht="14.25" customHeight="1">
      <c r="H64" s="50"/>
    </row>
    <row r="65" ht="14.25" customHeight="1">
      <c r="H65" s="50"/>
    </row>
    <row r="66" ht="14.25" customHeight="1">
      <c r="H66" s="50"/>
    </row>
    <row r="67" ht="14.25" customHeight="1">
      <c r="H67" s="50"/>
    </row>
    <row r="68" ht="14.25" customHeight="1">
      <c r="H68" s="50"/>
    </row>
    <row r="69" ht="14.25" customHeight="1">
      <c r="H69" s="50"/>
    </row>
    <row r="70" ht="14.25" customHeight="1">
      <c r="H70" s="50"/>
    </row>
    <row r="71" ht="14.25" customHeight="1">
      <c r="H71" s="50"/>
    </row>
    <row r="72" ht="14.25" customHeight="1">
      <c r="H72" s="50"/>
    </row>
    <row r="73" ht="14.25" customHeight="1">
      <c r="H73" s="50"/>
    </row>
    <row r="74" ht="14.25" customHeight="1">
      <c r="H74" s="50"/>
    </row>
    <row r="75" ht="14.25" customHeight="1">
      <c r="H75" s="50"/>
    </row>
    <row r="76" ht="14.25" customHeight="1">
      <c r="H76" s="50"/>
    </row>
    <row r="77" ht="14.25" customHeight="1">
      <c r="H77" s="50"/>
    </row>
    <row r="78" ht="14.25" customHeight="1">
      <c r="H78" s="50"/>
    </row>
    <row r="79" ht="14.25" customHeight="1">
      <c r="H79" s="50"/>
    </row>
    <row r="80" ht="14.25" customHeight="1">
      <c r="H80" s="50"/>
    </row>
    <row r="81" ht="14.25" customHeight="1">
      <c r="H81" s="50"/>
    </row>
    <row r="82" ht="14.25" customHeight="1">
      <c r="H82" s="50"/>
    </row>
    <row r="83" ht="14.25" customHeight="1">
      <c r="H83" s="50"/>
    </row>
    <row r="84" ht="14.25" customHeight="1">
      <c r="H84" s="50"/>
    </row>
    <row r="85" ht="14.25" customHeight="1">
      <c r="H85" s="50"/>
    </row>
    <row r="86" ht="14.25" customHeight="1">
      <c r="H86" s="50"/>
    </row>
    <row r="87" ht="14.25" customHeight="1">
      <c r="H87" s="50"/>
    </row>
    <row r="88" ht="14.25" customHeight="1">
      <c r="H88" s="50"/>
    </row>
    <row r="89" ht="14.25" customHeight="1">
      <c r="H89" s="50"/>
    </row>
    <row r="90" ht="14.25" customHeight="1">
      <c r="H90" s="50"/>
    </row>
    <row r="91" ht="14.25" customHeight="1">
      <c r="H91" s="50"/>
    </row>
    <row r="92" ht="14.25" customHeight="1">
      <c r="H92" s="50"/>
    </row>
    <row r="93" ht="14.25" customHeight="1">
      <c r="H93" s="50"/>
    </row>
    <row r="94" ht="14.25" customHeight="1">
      <c r="H94" s="50"/>
    </row>
    <row r="95" ht="14.25" customHeight="1">
      <c r="H95" s="50"/>
    </row>
    <row r="96" ht="14.25" customHeight="1">
      <c r="H96" s="50"/>
    </row>
    <row r="97" ht="14.25" customHeight="1">
      <c r="H97" s="50"/>
    </row>
    <row r="98" ht="14.25" customHeight="1">
      <c r="H98" s="50"/>
    </row>
    <row r="99" ht="14.25" customHeight="1">
      <c r="H99" s="50"/>
    </row>
    <row r="100" ht="14.25" customHeight="1">
      <c r="H100" s="50"/>
    </row>
    <row r="101" ht="14.25" customHeight="1">
      <c r="H101" s="50"/>
    </row>
    <row r="102" ht="14.25" customHeight="1">
      <c r="H102" s="50"/>
    </row>
    <row r="103" ht="14.25" customHeight="1">
      <c r="H103" s="50"/>
    </row>
    <row r="104" ht="14.25" customHeight="1">
      <c r="H104" s="50"/>
    </row>
    <row r="105" ht="14.25" customHeight="1">
      <c r="H105" s="50"/>
    </row>
    <row r="106" ht="14.25" customHeight="1">
      <c r="H106" s="50"/>
    </row>
    <row r="107" ht="14.25" customHeight="1">
      <c r="H107" s="50"/>
    </row>
    <row r="108" ht="14.25" customHeight="1">
      <c r="H108" s="50"/>
    </row>
    <row r="109" ht="14.25" customHeight="1">
      <c r="H109" s="50"/>
    </row>
    <row r="110" ht="14.25" customHeight="1">
      <c r="H110" s="50"/>
    </row>
    <row r="111" ht="14.25" customHeight="1">
      <c r="H111" s="50"/>
    </row>
    <row r="112" ht="14.25" customHeight="1">
      <c r="H112" s="50"/>
    </row>
    <row r="113" ht="14.25" customHeight="1">
      <c r="H113" s="50"/>
    </row>
    <row r="114" ht="14.25" customHeight="1">
      <c r="H114" s="50"/>
    </row>
    <row r="115" ht="14.25" customHeight="1">
      <c r="H115" s="50"/>
    </row>
    <row r="116" ht="14.25" customHeight="1">
      <c r="H116" s="50"/>
    </row>
    <row r="117" ht="14.25" customHeight="1">
      <c r="H117" s="50"/>
    </row>
    <row r="118" ht="14.25" customHeight="1">
      <c r="H118" s="50"/>
    </row>
    <row r="119" ht="14.25" customHeight="1">
      <c r="H119" s="50"/>
    </row>
    <row r="120" ht="14.25" customHeight="1">
      <c r="H120" s="50"/>
    </row>
    <row r="121" ht="14.25" customHeight="1">
      <c r="H121" s="50"/>
    </row>
    <row r="122" ht="14.25" customHeight="1">
      <c r="H122" s="50"/>
    </row>
    <row r="123" ht="14.25" customHeight="1">
      <c r="H123" s="50"/>
    </row>
    <row r="124" ht="14.25" customHeight="1">
      <c r="H124" s="50"/>
    </row>
    <row r="125" ht="14.25" customHeight="1">
      <c r="H125" s="50"/>
    </row>
    <row r="126" ht="14.25" customHeight="1">
      <c r="H126" s="50"/>
    </row>
    <row r="127" ht="14.25" customHeight="1">
      <c r="H127" s="50"/>
    </row>
    <row r="128" ht="14.25" customHeight="1">
      <c r="H128" s="50"/>
    </row>
    <row r="129" ht="14.25" customHeight="1">
      <c r="H129" s="50"/>
    </row>
    <row r="130" ht="14.25" customHeight="1">
      <c r="H130" s="50"/>
    </row>
    <row r="131" ht="14.25" customHeight="1">
      <c r="H131" s="50"/>
    </row>
    <row r="132" ht="14.25" customHeight="1">
      <c r="H132" s="50"/>
    </row>
    <row r="133" ht="14.25" customHeight="1">
      <c r="H133" s="50"/>
    </row>
    <row r="134" ht="14.25" customHeight="1">
      <c r="H134" s="50"/>
    </row>
    <row r="135" ht="14.25" customHeight="1">
      <c r="H135" s="50"/>
    </row>
    <row r="136" ht="14.25" customHeight="1">
      <c r="H136" s="50"/>
    </row>
    <row r="137" ht="14.25" customHeight="1">
      <c r="H137" s="50"/>
    </row>
    <row r="138" ht="14.25" customHeight="1">
      <c r="H138" s="50"/>
    </row>
    <row r="139" ht="14.25" customHeight="1">
      <c r="H139" s="50"/>
    </row>
    <row r="140" ht="14.25" customHeight="1">
      <c r="H140" s="50"/>
    </row>
    <row r="141" ht="14.25" customHeight="1">
      <c r="H141" s="50"/>
    </row>
    <row r="142" ht="14.25" customHeight="1">
      <c r="H142" s="50"/>
    </row>
    <row r="143" ht="14.25" customHeight="1">
      <c r="H143" s="50"/>
    </row>
    <row r="144" ht="14.25" customHeight="1">
      <c r="H144" s="50"/>
    </row>
    <row r="145" ht="14.25" customHeight="1">
      <c r="H145" s="50"/>
    </row>
    <row r="146" ht="14.25" customHeight="1">
      <c r="H146" s="50"/>
    </row>
    <row r="147" ht="14.25" customHeight="1">
      <c r="H147" s="50"/>
    </row>
    <row r="148" ht="14.25" customHeight="1">
      <c r="H148" s="50"/>
    </row>
    <row r="149" ht="14.25" customHeight="1">
      <c r="H149" s="50"/>
    </row>
    <row r="150" ht="14.25" customHeight="1">
      <c r="H150" s="50"/>
    </row>
    <row r="151" ht="14.25" customHeight="1">
      <c r="H151" s="50"/>
    </row>
    <row r="152" ht="14.25" customHeight="1">
      <c r="H152" s="50"/>
    </row>
    <row r="153" ht="14.25" customHeight="1">
      <c r="H153" s="50"/>
    </row>
    <row r="154" ht="14.25" customHeight="1">
      <c r="H154" s="50"/>
    </row>
    <row r="155" ht="14.25" customHeight="1">
      <c r="H155" s="50"/>
    </row>
    <row r="156" ht="14.25" customHeight="1">
      <c r="H156" s="50"/>
    </row>
    <row r="157" ht="14.25" customHeight="1">
      <c r="H157" s="50"/>
    </row>
    <row r="158" ht="14.25" customHeight="1">
      <c r="H158" s="50"/>
    </row>
    <row r="159" ht="14.25" customHeight="1">
      <c r="H159" s="50"/>
    </row>
    <row r="160" ht="14.25" customHeight="1">
      <c r="H160" s="50"/>
    </row>
    <row r="161" ht="14.25" customHeight="1">
      <c r="H161" s="50"/>
    </row>
    <row r="162" ht="14.25" customHeight="1">
      <c r="H162" s="50"/>
    </row>
    <row r="163" ht="14.25" customHeight="1">
      <c r="H163" s="50"/>
    </row>
    <row r="164" ht="14.25" customHeight="1">
      <c r="H164" s="50"/>
    </row>
    <row r="165" ht="14.25" customHeight="1">
      <c r="H165" s="50"/>
    </row>
    <row r="166" ht="14.25" customHeight="1">
      <c r="H166" s="50"/>
    </row>
    <row r="167" ht="14.25" customHeight="1">
      <c r="H167" s="50"/>
    </row>
    <row r="168" ht="14.25" customHeight="1">
      <c r="H168" s="50"/>
    </row>
    <row r="169" ht="14.25" customHeight="1">
      <c r="H169" s="50"/>
    </row>
    <row r="170" ht="14.25" customHeight="1">
      <c r="H170" s="50"/>
    </row>
    <row r="171" ht="14.25" customHeight="1">
      <c r="H171" s="50"/>
    </row>
    <row r="172" ht="14.25" customHeight="1">
      <c r="H172" s="50"/>
    </row>
    <row r="173" ht="14.25" customHeight="1">
      <c r="H173" s="50"/>
    </row>
    <row r="174" ht="14.25" customHeight="1">
      <c r="H174" s="50"/>
    </row>
    <row r="175" ht="14.25" customHeight="1">
      <c r="H175" s="50"/>
    </row>
    <row r="176" ht="14.25" customHeight="1">
      <c r="H176" s="50"/>
    </row>
    <row r="177" ht="14.25" customHeight="1">
      <c r="H177" s="50"/>
    </row>
    <row r="178" ht="14.25" customHeight="1">
      <c r="H178" s="50"/>
    </row>
    <row r="179" ht="14.25" customHeight="1">
      <c r="H179" s="50"/>
    </row>
    <row r="180" ht="14.25" customHeight="1">
      <c r="H180" s="50"/>
    </row>
    <row r="181" ht="14.25" customHeight="1">
      <c r="H181" s="50"/>
    </row>
    <row r="182" ht="14.25" customHeight="1">
      <c r="H182" s="50"/>
    </row>
    <row r="183" ht="14.25" customHeight="1">
      <c r="H183" s="50"/>
    </row>
    <row r="184" ht="14.25" customHeight="1">
      <c r="H184" s="50"/>
    </row>
    <row r="185" ht="14.25" customHeight="1">
      <c r="H185" s="50"/>
    </row>
    <row r="186" ht="14.25" customHeight="1">
      <c r="H186" s="50"/>
    </row>
    <row r="187" ht="14.25" customHeight="1">
      <c r="H187" s="50"/>
    </row>
    <row r="188" ht="14.25" customHeight="1">
      <c r="H188" s="50"/>
    </row>
    <row r="189" ht="14.25" customHeight="1">
      <c r="H189" s="50"/>
    </row>
    <row r="190" ht="14.25" customHeight="1">
      <c r="H190" s="50"/>
    </row>
    <row r="191" ht="14.25" customHeight="1">
      <c r="H191" s="50"/>
    </row>
    <row r="192" ht="14.25" customHeight="1">
      <c r="H192" s="50"/>
    </row>
    <row r="193" ht="14.25" customHeight="1">
      <c r="H193" s="50"/>
    </row>
    <row r="194" ht="14.25" customHeight="1">
      <c r="H194" s="50"/>
    </row>
    <row r="195" ht="14.25" customHeight="1">
      <c r="H195" s="50"/>
    </row>
    <row r="196" ht="14.25" customHeight="1">
      <c r="H196" s="50"/>
    </row>
    <row r="197" ht="14.25" customHeight="1">
      <c r="H197" s="50"/>
    </row>
    <row r="198" ht="14.25" customHeight="1">
      <c r="H198" s="50"/>
    </row>
    <row r="199" ht="14.25" customHeight="1">
      <c r="H199" s="50"/>
    </row>
    <row r="200" ht="14.25" customHeight="1">
      <c r="H200" s="50"/>
    </row>
    <row r="201" ht="14.25" customHeight="1">
      <c r="H201" s="50"/>
    </row>
    <row r="202" ht="14.25" customHeight="1">
      <c r="H202" s="50"/>
    </row>
    <row r="203" ht="14.25" customHeight="1">
      <c r="H203" s="50"/>
    </row>
    <row r="204" ht="14.25" customHeight="1">
      <c r="H204" s="50"/>
    </row>
    <row r="205" ht="14.25" customHeight="1">
      <c r="H205" s="50"/>
    </row>
    <row r="206" ht="14.25" customHeight="1">
      <c r="H206" s="50"/>
    </row>
    <row r="207" ht="14.25" customHeight="1">
      <c r="H207" s="50"/>
    </row>
    <row r="208" ht="14.25" customHeight="1">
      <c r="H208" s="50"/>
    </row>
    <row r="209" ht="14.25" customHeight="1">
      <c r="H209" s="50"/>
    </row>
    <row r="210" ht="14.25" customHeight="1">
      <c r="H210" s="50"/>
    </row>
    <row r="211" ht="14.25" customHeight="1">
      <c r="H211" s="50"/>
    </row>
    <row r="212" ht="14.25" customHeight="1">
      <c r="H212" s="50"/>
    </row>
    <row r="213" ht="14.25" customHeight="1">
      <c r="H213" s="50"/>
    </row>
    <row r="214" ht="14.25" customHeight="1">
      <c r="H214" s="50"/>
    </row>
    <row r="215" ht="14.25" customHeight="1">
      <c r="H215" s="50"/>
    </row>
    <row r="216" ht="14.25" customHeight="1">
      <c r="H216" s="50"/>
    </row>
    <row r="217" ht="14.25" customHeight="1">
      <c r="H217" s="50"/>
    </row>
    <row r="218" ht="14.25" customHeight="1">
      <c r="H218" s="50"/>
    </row>
    <row r="219" ht="14.25" customHeight="1">
      <c r="H219" s="50"/>
    </row>
    <row r="220" ht="14.25" customHeight="1">
      <c r="H220" s="5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3:H3"/>
  </mergeCells>
  <printOptions/>
  <pageMargins bottom="0.787401575" footer="0.0" header="0.0" left="0.511811024" right="0.511811024" top="0.7874015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8.71"/>
    <col customWidth="1" min="3" max="3" width="15.14"/>
    <col customWidth="1" min="4" max="5" width="16.0"/>
    <col customWidth="1" min="6" max="6" width="6.0"/>
    <col customWidth="1" min="7" max="7" width="16.0"/>
    <col customWidth="1" min="8" max="8" width="16.71"/>
    <col customWidth="1" min="9" max="9" width="18.43"/>
    <col customWidth="1" min="10" max="26" width="8.71"/>
  </cols>
  <sheetData>
    <row r="1" ht="14.25" customHeight="1"/>
    <row r="2" ht="14.25" customHeight="1">
      <c r="C2" s="19" t="s">
        <v>215</v>
      </c>
      <c r="D2" s="20"/>
      <c r="E2" s="21"/>
      <c r="G2" s="19" t="s">
        <v>222</v>
      </c>
      <c r="H2" s="20"/>
      <c r="I2" s="21"/>
    </row>
    <row r="3">
      <c r="A3" s="178"/>
      <c r="B3" s="102" t="s">
        <v>44</v>
      </c>
      <c r="C3" s="102" t="s">
        <v>217</v>
      </c>
      <c r="D3" s="82" t="s">
        <v>218</v>
      </c>
      <c r="E3" s="82" t="s">
        <v>219</v>
      </c>
      <c r="F3" s="178"/>
      <c r="G3" s="102" t="s">
        <v>44</v>
      </c>
      <c r="H3" s="82" t="s">
        <v>223</v>
      </c>
      <c r="I3" s="82" t="s">
        <v>224</v>
      </c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</row>
    <row r="4" ht="14.25" customHeight="1">
      <c r="B4" s="106" t="s">
        <v>149</v>
      </c>
      <c r="C4" s="107">
        <v>750.0</v>
      </c>
      <c r="D4" s="107">
        <f t="shared" ref="D4:D19" si="1">C4/3</f>
        <v>250</v>
      </c>
      <c r="E4" s="108">
        <v>35.0</v>
      </c>
      <c r="G4" s="106" t="s">
        <v>149</v>
      </c>
      <c r="H4" s="107">
        <v>100.0</v>
      </c>
      <c r="I4" s="107">
        <v>210.0</v>
      </c>
    </row>
    <row r="5" ht="14.25" customHeight="1">
      <c r="B5" s="106" t="s">
        <v>153</v>
      </c>
      <c r="C5" s="107">
        <v>800.0</v>
      </c>
      <c r="D5" s="107">
        <f t="shared" si="1"/>
        <v>266.6666667</v>
      </c>
      <c r="E5" s="108">
        <v>25.0</v>
      </c>
      <c r="G5" s="106" t="s">
        <v>153</v>
      </c>
      <c r="H5" s="107">
        <v>100.0</v>
      </c>
      <c r="I5" s="107">
        <v>210.0</v>
      </c>
    </row>
    <row r="6" ht="14.25" customHeight="1">
      <c r="B6" s="106" t="s">
        <v>157</v>
      </c>
      <c r="C6" s="107">
        <v>850.0</v>
      </c>
      <c r="D6" s="107">
        <f t="shared" si="1"/>
        <v>283.3333333</v>
      </c>
      <c r="E6" s="108">
        <v>25.0</v>
      </c>
      <c r="G6" s="106" t="s">
        <v>227</v>
      </c>
      <c r="H6" s="107">
        <v>100.0</v>
      </c>
      <c r="I6" s="107">
        <v>210.0</v>
      </c>
    </row>
    <row r="7" ht="14.25" customHeight="1">
      <c r="B7" s="106" t="s">
        <v>161</v>
      </c>
      <c r="C7" s="107">
        <v>650.0</v>
      </c>
      <c r="D7" s="107">
        <f t="shared" si="1"/>
        <v>216.6666667</v>
      </c>
      <c r="E7" s="108">
        <v>40.0</v>
      </c>
      <c r="G7" s="106" t="s">
        <v>161</v>
      </c>
      <c r="H7" s="107">
        <v>100.0</v>
      </c>
      <c r="I7" s="107">
        <v>210.0</v>
      </c>
    </row>
    <row r="8" ht="14.25" customHeight="1">
      <c r="B8" s="106" t="s">
        <v>165</v>
      </c>
      <c r="C8" s="107">
        <v>1100.0</v>
      </c>
      <c r="D8" s="107">
        <f t="shared" si="1"/>
        <v>366.6666667</v>
      </c>
      <c r="E8" s="108">
        <v>45.0</v>
      </c>
      <c r="G8" s="106" t="s">
        <v>165</v>
      </c>
      <c r="H8" s="107">
        <v>100.0</v>
      </c>
      <c r="I8" s="107">
        <v>210.0</v>
      </c>
    </row>
    <row r="9" ht="14.25" customHeight="1">
      <c r="B9" s="106" t="s">
        <v>169</v>
      </c>
      <c r="C9" s="107">
        <v>750.0</v>
      </c>
      <c r="D9" s="107">
        <f t="shared" si="1"/>
        <v>250</v>
      </c>
      <c r="E9" s="108">
        <v>50.0</v>
      </c>
      <c r="G9" s="106" t="s">
        <v>169</v>
      </c>
      <c r="H9" s="107">
        <v>100.0</v>
      </c>
      <c r="I9" s="107">
        <v>210.0</v>
      </c>
    </row>
    <row r="10" ht="14.25" customHeight="1">
      <c r="B10" s="106" t="s">
        <v>173</v>
      </c>
      <c r="C10" s="107">
        <v>850.0</v>
      </c>
      <c r="D10" s="107">
        <f t="shared" si="1"/>
        <v>283.3333333</v>
      </c>
      <c r="E10" s="108">
        <v>35.0</v>
      </c>
      <c r="G10" s="106" t="s">
        <v>173</v>
      </c>
      <c r="H10" s="107">
        <v>100.0</v>
      </c>
      <c r="I10" s="107">
        <v>210.0</v>
      </c>
    </row>
    <row r="11" ht="14.25" customHeight="1">
      <c r="B11" s="106" t="s">
        <v>177</v>
      </c>
      <c r="C11" s="107">
        <v>850.0</v>
      </c>
      <c r="D11" s="107">
        <f t="shared" si="1"/>
        <v>283.3333333</v>
      </c>
      <c r="E11" s="108">
        <v>50.0</v>
      </c>
      <c r="G11" s="106" t="s">
        <v>228</v>
      </c>
      <c r="H11" s="107">
        <v>100.0</v>
      </c>
      <c r="I11" s="107">
        <v>210.0</v>
      </c>
    </row>
    <row r="12" ht="14.25" customHeight="1">
      <c r="B12" s="106" t="s">
        <v>180</v>
      </c>
      <c r="C12" s="107">
        <v>850.0</v>
      </c>
      <c r="D12" s="107">
        <f t="shared" si="1"/>
        <v>283.3333333</v>
      </c>
      <c r="E12" s="108">
        <v>50.0</v>
      </c>
      <c r="G12" s="106" t="s">
        <v>180</v>
      </c>
      <c r="H12" s="107">
        <v>100.0</v>
      </c>
      <c r="I12" s="107">
        <v>210.0</v>
      </c>
    </row>
    <row r="13" ht="14.25" customHeight="1">
      <c r="B13" s="106" t="s">
        <v>185</v>
      </c>
      <c r="C13" s="107">
        <v>750.0</v>
      </c>
      <c r="D13" s="107">
        <f t="shared" si="1"/>
        <v>250</v>
      </c>
      <c r="E13" s="108">
        <v>50.0</v>
      </c>
      <c r="G13" s="106" t="s">
        <v>185</v>
      </c>
      <c r="H13" s="107">
        <v>100.0</v>
      </c>
      <c r="I13" s="107">
        <v>210.0</v>
      </c>
    </row>
    <row r="14" ht="14.25" customHeight="1">
      <c r="B14" s="106" t="s">
        <v>189</v>
      </c>
      <c r="C14" s="107">
        <v>750.0</v>
      </c>
      <c r="D14" s="107">
        <f t="shared" si="1"/>
        <v>250</v>
      </c>
      <c r="E14" s="108">
        <v>50.0</v>
      </c>
      <c r="G14" s="106" t="s">
        <v>189</v>
      </c>
      <c r="H14" s="107">
        <v>100.0</v>
      </c>
      <c r="I14" s="107">
        <v>210.0</v>
      </c>
    </row>
    <row r="15" ht="14.25" customHeight="1">
      <c r="B15" s="106" t="s">
        <v>193</v>
      </c>
      <c r="C15" s="107">
        <v>800.0</v>
      </c>
      <c r="D15" s="107">
        <f t="shared" si="1"/>
        <v>266.6666667</v>
      </c>
      <c r="E15" s="108">
        <v>50.0</v>
      </c>
      <c r="G15" s="106" t="s">
        <v>193</v>
      </c>
      <c r="H15" s="107">
        <v>100.0</v>
      </c>
      <c r="I15" s="107">
        <v>210.0</v>
      </c>
    </row>
    <row r="16" ht="14.25" customHeight="1">
      <c r="B16" s="106" t="s">
        <v>196</v>
      </c>
      <c r="C16" s="107">
        <v>800.0</v>
      </c>
      <c r="D16" s="107">
        <f t="shared" si="1"/>
        <v>266.6666667</v>
      </c>
      <c r="E16" s="108">
        <v>45.0</v>
      </c>
      <c r="G16" s="106" t="s">
        <v>196</v>
      </c>
      <c r="H16" s="107">
        <v>100.0</v>
      </c>
      <c r="I16" s="107">
        <v>210.0</v>
      </c>
    </row>
    <row r="17" ht="14.25" customHeight="1">
      <c r="B17" s="106" t="s">
        <v>199</v>
      </c>
      <c r="C17" s="107">
        <v>800.0</v>
      </c>
      <c r="D17" s="107">
        <f t="shared" si="1"/>
        <v>266.6666667</v>
      </c>
      <c r="E17" s="109">
        <v>50.0</v>
      </c>
      <c r="G17" s="106" t="s">
        <v>199</v>
      </c>
      <c r="H17" s="107">
        <v>100.0</v>
      </c>
      <c r="I17" s="107">
        <v>210.0</v>
      </c>
    </row>
    <row r="18" ht="14.25" customHeight="1">
      <c r="B18" s="106" t="s">
        <v>202</v>
      </c>
      <c r="C18" s="107">
        <v>850.0</v>
      </c>
      <c r="D18" s="107">
        <f t="shared" si="1"/>
        <v>283.3333333</v>
      </c>
      <c r="E18" s="109">
        <v>40.0</v>
      </c>
      <c r="G18" s="106" t="s">
        <v>202</v>
      </c>
      <c r="H18" s="107">
        <v>100.0</v>
      </c>
      <c r="I18" s="107">
        <v>210.0</v>
      </c>
    </row>
    <row r="19" ht="14.25" customHeight="1">
      <c r="B19" s="106" t="s">
        <v>207</v>
      </c>
      <c r="C19" s="107">
        <v>950.0</v>
      </c>
      <c r="D19" s="107">
        <f t="shared" si="1"/>
        <v>316.6666667</v>
      </c>
      <c r="E19" s="109">
        <v>50.0</v>
      </c>
      <c r="G19" s="106" t="s">
        <v>207</v>
      </c>
      <c r="H19" s="107">
        <v>100.0</v>
      </c>
      <c r="I19" s="107">
        <v>210.0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2:E2"/>
    <mergeCell ref="G2:I2"/>
  </mergeCells>
  <printOptions/>
  <pageMargins bottom="0.787401575" footer="0.0" header="0.0" left="0.511811024" right="0.511811024" top="0.7874015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16.29"/>
    <col customWidth="1" min="4" max="4" width="15.29"/>
    <col customWidth="1" min="5" max="6" width="8.71"/>
  </cols>
  <sheetData>
    <row r="1" ht="14.25" customHeight="1"/>
    <row r="2" ht="14.25" customHeight="1">
      <c r="C2" s="19" t="s">
        <v>353</v>
      </c>
      <c r="D2" s="21"/>
    </row>
    <row r="3" ht="14.25" customHeight="1">
      <c r="C3" s="4" t="s">
        <v>354</v>
      </c>
      <c r="D3" s="4" t="s">
        <v>355</v>
      </c>
    </row>
    <row r="4" ht="14.25" customHeight="1">
      <c r="C4" s="26" t="s">
        <v>29</v>
      </c>
      <c r="D4" s="92">
        <v>0.8</v>
      </c>
    </row>
    <row r="5" ht="14.25" customHeight="1">
      <c r="C5" s="26" t="s">
        <v>36</v>
      </c>
      <c r="D5" s="92">
        <v>12.0</v>
      </c>
    </row>
    <row r="6" ht="14.25" customHeight="1">
      <c r="C6" s="26" t="s">
        <v>7</v>
      </c>
      <c r="D6" s="92">
        <v>1.2</v>
      </c>
    </row>
    <row r="7" ht="14.25" customHeight="1">
      <c r="C7" s="26" t="s">
        <v>30</v>
      </c>
      <c r="D7" s="92">
        <v>17.0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D2"/>
  </mergeCells>
  <printOptions/>
  <pageMargins bottom="0.787401575" footer="0.0" header="0.0" left="0.511811024" right="0.511811024" top="0.7874015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17.43"/>
    <col customWidth="1" min="4" max="4" width="10.14"/>
    <col customWidth="1" min="5" max="6" width="8.71"/>
  </cols>
  <sheetData>
    <row r="1" ht="14.25" customHeight="1"/>
    <row r="2" ht="14.25" customHeight="1">
      <c r="C2" s="4" t="s">
        <v>356</v>
      </c>
      <c r="D2" s="4" t="s">
        <v>357</v>
      </c>
      <c r="E2" s="4" t="s">
        <v>337</v>
      </c>
    </row>
    <row r="3" ht="14.25" customHeight="1">
      <c r="C3" s="179" t="s">
        <v>358</v>
      </c>
      <c r="D3" s="92">
        <v>582.0</v>
      </c>
      <c r="E3" s="179" t="s">
        <v>359</v>
      </c>
    </row>
    <row r="4" ht="14.25" customHeight="1">
      <c r="C4" s="179" t="s">
        <v>133</v>
      </c>
      <c r="D4" s="92">
        <v>788.0</v>
      </c>
      <c r="E4" s="179" t="s">
        <v>359</v>
      </c>
    </row>
    <row r="5" ht="14.25" customHeight="1"/>
    <row r="6" ht="14.25" customHeight="1"/>
    <row r="7" ht="14.25" customHeight="1">
      <c r="C7" s="4" t="s">
        <v>336</v>
      </c>
      <c r="D7" s="4" t="s">
        <v>360</v>
      </c>
      <c r="E7" s="4" t="s">
        <v>337</v>
      </c>
    </row>
    <row r="8" ht="14.25" customHeight="1">
      <c r="C8" s="179" t="s">
        <v>361</v>
      </c>
      <c r="D8" s="179">
        <v>4.99</v>
      </c>
      <c r="E8" s="179" t="s">
        <v>362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18.86"/>
    <col customWidth="1" min="4" max="4" width="8.71"/>
    <col customWidth="1" min="5" max="5" width="35.43"/>
    <col customWidth="1" min="6" max="25" width="8.71"/>
  </cols>
  <sheetData>
    <row r="1" ht="14.25" customHeight="1"/>
    <row r="2" ht="14.25" customHeight="1">
      <c r="A2" s="180"/>
      <c r="B2" s="82" t="s">
        <v>363</v>
      </c>
      <c r="C2" s="82" t="s">
        <v>364</v>
      </c>
      <c r="D2" s="180"/>
      <c r="E2" s="181" t="s">
        <v>365</v>
      </c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</row>
    <row r="3" ht="14.25" customHeight="1">
      <c r="B3" s="26" t="s">
        <v>366</v>
      </c>
      <c r="C3" s="179">
        <v>0.0</v>
      </c>
    </row>
    <row r="4" ht="14.25" customHeight="1">
      <c r="B4" s="26" t="s">
        <v>367</v>
      </c>
      <c r="C4" s="179">
        <v>0.0</v>
      </c>
    </row>
    <row r="5" ht="14.25" customHeight="1">
      <c r="B5" s="26" t="s">
        <v>368</v>
      </c>
      <c r="C5" s="179">
        <v>0.0</v>
      </c>
    </row>
    <row r="6" ht="14.25" customHeight="1">
      <c r="B6" s="26" t="s">
        <v>369</v>
      </c>
      <c r="C6" s="179">
        <v>0.0</v>
      </c>
    </row>
    <row r="7" ht="14.25" customHeight="1">
      <c r="B7" s="26" t="s">
        <v>370</v>
      </c>
      <c r="C7" s="179">
        <v>0.0</v>
      </c>
    </row>
    <row r="8" ht="14.25" customHeight="1">
      <c r="B8" s="26" t="s">
        <v>371</v>
      </c>
      <c r="C8" s="179">
        <v>0.0</v>
      </c>
    </row>
    <row r="9" ht="14.25" customHeight="1">
      <c r="B9" s="26" t="s">
        <v>372</v>
      </c>
      <c r="C9" s="179">
        <v>0.0</v>
      </c>
    </row>
    <row r="10" ht="14.25" customHeight="1">
      <c r="B10" s="26" t="s">
        <v>373</v>
      </c>
      <c r="C10" s="179">
        <v>0.0</v>
      </c>
    </row>
    <row r="11" ht="14.25" customHeight="1">
      <c r="B11" s="26" t="s">
        <v>374</v>
      </c>
      <c r="C11" s="179">
        <v>0.0</v>
      </c>
    </row>
    <row r="12" ht="14.25" customHeight="1">
      <c r="B12" s="26" t="s">
        <v>375</v>
      </c>
      <c r="C12" s="179">
        <v>0.0</v>
      </c>
    </row>
    <row r="13" ht="14.25" customHeight="1">
      <c r="B13" s="26" t="s">
        <v>376</v>
      </c>
      <c r="C13" s="179">
        <v>0.0</v>
      </c>
    </row>
    <row r="14" ht="14.25" customHeight="1">
      <c r="B14" s="26" t="s">
        <v>377</v>
      </c>
      <c r="C14" s="179">
        <v>0.0</v>
      </c>
    </row>
    <row r="15" ht="14.25" customHeight="1">
      <c r="B15" s="26" t="s">
        <v>378</v>
      </c>
      <c r="C15" s="179">
        <v>0.0</v>
      </c>
    </row>
    <row r="16" ht="14.25" customHeight="1">
      <c r="B16" s="26" t="s">
        <v>379</v>
      </c>
      <c r="C16" s="179">
        <v>0.0</v>
      </c>
    </row>
    <row r="17" ht="14.25" customHeight="1">
      <c r="B17" s="26" t="s">
        <v>380</v>
      </c>
      <c r="C17" s="179">
        <v>0.0</v>
      </c>
    </row>
    <row r="18" ht="14.25" customHeight="1">
      <c r="B18" s="26" t="s">
        <v>381</v>
      </c>
      <c r="C18" s="179">
        <v>0.0</v>
      </c>
    </row>
    <row r="19" ht="14.25" customHeight="1">
      <c r="B19" s="26" t="s">
        <v>382</v>
      </c>
      <c r="C19" s="179">
        <v>0.0</v>
      </c>
    </row>
    <row r="20" ht="14.25" customHeight="1">
      <c r="B20" s="26" t="s">
        <v>383</v>
      </c>
      <c r="C20" s="179">
        <v>0.0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8.71"/>
    <col customWidth="1" min="3" max="20" width="8.86"/>
    <col customWidth="1" min="21" max="26" width="8.71"/>
  </cols>
  <sheetData>
    <row r="1" ht="14.25" customHeight="1">
      <c r="A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</row>
    <row r="2" ht="14.25" customHeight="1">
      <c r="A2" s="182"/>
      <c r="C2" s="182" t="s">
        <v>384</v>
      </c>
      <c r="D2" s="19" t="s">
        <v>385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1"/>
      <c r="T2" s="182"/>
      <c r="U2" s="182"/>
      <c r="V2" s="182"/>
      <c r="W2" s="182"/>
      <c r="X2" s="182"/>
      <c r="Y2" s="182"/>
      <c r="Z2" s="182"/>
    </row>
    <row r="3" ht="14.25" customHeight="1">
      <c r="A3" s="182"/>
      <c r="C3" s="174" t="s">
        <v>44</v>
      </c>
      <c r="D3" s="183" t="s">
        <v>149</v>
      </c>
      <c r="E3" s="183" t="s">
        <v>153</v>
      </c>
      <c r="F3" s="183" t="s">
        <v>157</v>
      </c>
      <c r="G3" s="183" t="s">
        <v>161</v>
      </c>
      <c r="H3" s="183" t="s">
        <v>165</v>
      </c>
      <c r="I3" s="183" t="s">
        <v>169</v>
      </c>
      <c r="J3" s="183" t="s">
        <v>173</v>
      </c>
      <c r="K3" s="183" t="s">
        <v>177</v>
      </c>
      <c r="L3" s="183" t="s">
        <v>180</v>
      </c>
      <c r="M3" s="183" t="s">
        <v>185</v>
      </c>
      <c r="N3" s="183" t="s">
        <v>189</v>
      </c>
      <c r="O3" s="183" t="s">
        <v>193</v>
      </c>
      <c r="P3" s="183" t="s">
        <v>196</v>
      </c>
      <c r="Q3" s="183" t="s">
        <v>199</v>
      </c>
      <c r="R3" s="183" t="s">
        <v>202</v>
      </c>
      <c r="S3" s="183" t="s">
        <v>207</v>
      </c>
      <c r="T3" s="182"/>
      <c r="U3" s="182"/>
      <c r="V3" s="182"/>
      <c r="W3" s="182"/>
      <c r="X3" s="182"/>
      <c r="Y3" s="182"/>
      <c r="Z3" s="182"/>
    </row>
    <row r="4" ht="14.25" customHeight="1">
      <c r="A4" s="182"/>
      <c r="C4" s="106" t="s">
        <v>149</v>
      </c>
      <c r="D4" s="184">
        <v>0.0</v>
      </c>
      <c r="E4" s="185">
        <v>873.1104690000001</v>
      </c>
      <c r="F4" s="185">
        <v>1300.216456</v>
      </c>
      <c r="G4" s="185">
        <v>1569.0</v>
      </c>
      <c r="H4" s="185">
        <v>2045.897073</v>
      </c>
      <c r="I4" s="185">
        <v>2408.748177</v>
      </c>
      <c r="J4" s="185">
        <v>2832.074465</v>
      </c>
      <c r="K4" s="185">
        <v>3170.087547</v>
      </c>
      <c r="L4" s="185">
        <v>3102.0529650000003</v>
      </c>
      <c r="M4" s="185">
        <v>3300.217184</v>
      </c>
      <c r="N4" s="185">
        <v>3429.806864</v>
      </c>
      <c r="O4" s="185">
        <v>3460.044456</v>
      </c>
      <c r="P4" s="185">
        <v>3469.2237250000003</v>
      </c>
      <c r="Q4" s="185">
        <v>3469.2237250000003</v>
      </c>
      <c r="R4" s="185">
        <v>3537.798264</v>
      </c>
      <c r="S4" s="185">
        <v>3834.774614</v>
      </c>
      <c r="T4" s="186"/>
      <c r="U4" s="182"/>
      <c r="V4" s="182"/>
      <c r="W4" s="182"/>
      <c r="X4" s="182"/>
      <c r="Y4" s="182"/>
      <c r="Z4" s="182"/>
    </row>
    <row r="5" ht="14.25" customHeight="1">
      <c r="A5" s="182"/>
      <c r="C5" s="106" t="s">
        <v>153</v>
      </c>
      <c r="D5" s="185">
        <v>873.1104690000001</v>
      </c>
      <c r="E5" s="184">
        <v>0.0</v>
      </c>
      <c r="F5" s="185">
        <v>427.105987</v>
      </c>
      <c r="G5" s="185">
        <v>696.0</v>
      </c>
      <c r="H5" s="185">
        <v>1172.7866040000001</v>
      </c>
      <c r="I5" s="185">
        <v>1536.1776650000002</v>
      </c>
      <c r="J5" s="185">
        <v>1958.9639960000002</v>
      </c>
      <c r="K5" s="185">
        <v>2296.977078</v>
      </c>
      <c r="L5" s="185">
        <v>2228.942496</v>
      </c>
      <c r="M5" s="185">
        <v>2427.106715</v>
      </c>
      <c r="N5" s="185">
        <v>2557.236352</v>
      </c>
      <c r="O5" s="185">
        <v>2586.933987</v>
      </c>
      <c r="P5" s="185">
        <v>2596.113256</v>
      </c>
      <c r="Q5" s="185">
        <v>2596.113256</v>
      </c>
      <c r="R5" s="185">
        <v>2665.2277520000002</v>
      </c>
      <c r="S5" s="185">
        <v>2962.204102</v>
      </c>
      <c r="T5" s="186"/>
      <c r="U5" s="182"/>
      <c r="V5" s="182"/>
      <c r="W5" s="182"/>
      <c r="X5" s="182"/>
      <c r="Y5" s="182"/>
      <c r="Z5" s="182"/>
    </row>
    <row r="6" ht="14.25" customHeight="1">
      <c r="A6" s="182"/>
      <c r="C6" s="106" t="s">
        <v>157</v>
      </c>
      <c r="D6" s="185">
        <v>1300.216456</v>
      </c>
      <c r="E6" s="185">
        <v>427.105987</v>
      </c>
      <c r="F6" s="184">
        <v>0.0</v>
      </c>
      <c r="G6" s="185">
        <v>381.0</v>
      </c>
      <c r="H6" s="187">
        <v>836.93335</v>
      </c>
      <c r="I6" s="185">
        <v>1212.203465</v>
      </c>
      <c r="J6" s="185">
        <v>1634.989796</v>
      </c>
      <c r="K6" s="185">
        <v>1973.002878</v>
      </c>
      <c r="L6" s="185">
        <v>1904.968296</v>
      </c>
      <c r="M6" s="185">
        <v>2103.1325150000002</v>
      </c>
      <c r="N6" s="185">
        <v>2233.2621520000002</v>
      </c>
      <c r="O6" s="185">
        <v>2262.9597870000002</v>
      </c>
      <c r="P6" s="185">
        <v>2272.139056</v>
      </c>
      <c r="Q6" s="185">
        <v>2272.139056</v>
      </c>
      <c r="R6" s="185">
        <v>2341.253552</v>
      </c>
      <c r="S6" s="185">
        <v>2638.229902</v>
      </c>
      <c r="T6" s="186"/>
      <c r="U6" s="182"/>
      <c r="V6" s="182"/>
      <c r="W6" s="182"/>
      <c r="X6" s="182"/>
      <c r="Y6" s="182"/>
      <c r="Z6" s="182"/>
    </row>
    <row r="7" ht="14.25" customHeight="1">
      <c r="A7" s="182"/>
      <c r="C7" s="106" t="s">
        <v>161</v>
      </c>
      <c r="D7" s="185">
        <v>1569.0</v>
      </c>
      <c r="E7" s="185">
        <v>696.0</v>
      </c>
      <c r="F7" s="185">
        <v>381.0</v>
      </c>
      <c r="G7" s="184">
        <v>0.0</v>
      </c>
      <c r="H7" s="185">
        <v>478.0</v>
      </c>
      <c r="I7" s="185">
        <v>853.0</v>
      </c>
      <c r="J7" s="185">
        <v>1276.0</v>
      </c>
      <c r="K7" s="185">
        <v>1614.0</v>
      </c>
      <c r="L7" s="185">
        <v>1546.0</v>
      </c>
      <c r="M7" s="185">
        <v>1744.0</v>
      </c>
      <c r="N7" s="185">
        <v>1874.0</v>
      </c>
      <c r="O7" s="185">
        <v>1876.3505750000002</v>
      </c>
      <c r="P7" s="185">
        <v>1913.0</v>
      </c>
      <c r="Q7" s="185">
        <v>1913.0</v>
      </c>
      <c r="R7" s="185">
        <v>1982.0</v>
      </c>
      <c r="S7" s="185">
        <v>2282.0</v>
      </c>
      <c r="T7" s="186"/>
      <c r="U7" s="182"/>
      <c r="V7" s="182"/>
      <c r="W7" s="182"/>
      <c r="X7" s="182"/>
      <c r="Y7" s="182"/>
      <c r="Z7" s="182"/>
    </row>
    <row r="8" ht="14.25" customHeight="1">
      <c r="A8" s="182"/>
      <c r="C8" s="106" t="s">
        <v>165</v>
      </c>
      <c r="D8" s="185">
        <v>2045.897073</v>
      </c>
      <c r="E8" s="185">
        <v>1172.7866040000001</v>
      </c>
      <c r="F8" s="185">
        <v>836.93335</v>
      </c>
      <c r="G8" s="185">
        <v>478.0</v>
      </c>
      <c r="H8" s="184">
        <v>0.0</v>
      </c>
      <c r="I8" s="185">
        <v>375.27011500000003</v>
      </c>
      <c r="J8" s="185">
        <v>798.056446</v>
      </c>
      <c r="K8" s="185">
        <v>1129.050087</v>
      </c>
      <c r="L8" s="185">
        <v>1061.015505</v>
      </c>
      <c r="M8" s="185">
        <v>1259.179724</v>
      </c>
      <c r="N8" s="185">
        <v>1388.7694040000001</v>
      </c>
      <c r="O8" s="185">
        <v>1419.006996</v>
      </c>
      <c r="P8" s="185">
        <v>1428.186265</v>
      </c>
      <c r="Q8" s="185">
        <v>1428.186265</v>
      </c>
      <c r="R8" s="185">
        <v>1496.760804</v>
      </c>
      <c r="S8" s="185">
        <v>1843.9531550000002</v>
      </c>
      <c r="T8" s="186"/>
      <c r="U8" s="182"/>
      <c r="V8" s="182"/>
      <c r="W8" s="182"/>
      <c r="X8" s="182"/>
      <c r="Y8" s="182"/>
      <c r="Z8" s="182"/>
    </row>
    <row r="9" ht="14.25" customHeight="1">
      <c r="A9" s="182"/>
      <c r="C9" s="106" t="s">
        <v>169</v>
      </c>
      <c r="D9" s="185">
        <v>2408.748177</v>
      </c>
      <c r="E9" s="185">
        <v>1536.1776650000002</v>
      </c>
      <c r="F9" s="185">
        <v>1212.203465</v>
      </c>
      <c r="G9" s="185">
        <v>853.0</v>
      </c>
      <c r="H9" s="185">
        <v>375.27011500000003</v>
      </c>
      <c r="I9" s="184">
        <v>0.0</v>
      </c>
      <c r="J9" s="185">
        <v>482.181601</v>
      </c>
      <c r="K9" s="185">
        <v>813.175242</v>
      </c>
      <c r="L9" s="185">
        <v>745.14066</v>
      </c>
      <c r="M9" s="185">
        <v>942.7649220000001</v>
      </c>
      <c r="N9" s="185">
        <v>1072.894559</v>
      </c>
      <c r="O9" s="185">
        <v>1103.132151</v>
      </c>
      <c r="P9" s="185">
        <v>1111.771463</v>
      </c>
      <c r="Q9" s="185">
        <v>1111.771463</v>
      </c>
      <c r="R9" s="185">
        <v>1180.885959</v>
      </c>
      <c r="S9" s="185">
        <v>1477.862309</v>
      </c>
      <c r="T9" s="186"/>
      <c r="U9" s="182"/>
      <c r="V9" s="182"/>
      <c r="W9" s="182"/>
      <c r="X9" s="182"/>
      <c r="Y9" s="182"/>
      <c r="Z9" s="182"/>
    </row>
    <row r="10" ht="14.25" customHeight="1">
      <c r="A10" s="182"/>
      <c r="C10" s="106" t="s">
        <v>173</v>
      </c>
      <c r="D10" s="185">
        <v>2832.074465</v>
      </c>
      <c r="E10" s="185">
        <v>1958.9639960000002</v>
      </c>
      <c r="F10" s="185">
        <v>1634.989796</v>
      </c>
      <c r="G10" s="185">
        <v>1276.0</v>
      </c>
      <c r="H10" s="185">
        <v>798.056446</v>
      </c>
      <c r="I10" s="185">
        <v>482.181601</v>
      </c>
      <c r="J10" s="184">
        <v>0.0</v>
      </c>
      <c r="K10" s="185">
        <v>349.892136</v>
      </c>
      <c r="L10" s="185">
        <v>281.857554</v>
      </c>
      <c r="M10" s="185">
        <v>480.021773</v>
      </c>
      <c r="N10" s="185">
        <v>610.15141</v>
      </c>
      <c r="O10" s="185">
        <v>639.849045</v>
      </c>
      <c r="P10" s="185">
        <v>649.028314</v>
      </c>
      <c r="Q10" s="185">
        <v>649.028314</v>
      </c>
      <c r="R10" s="185">
        <v>718.14281</v>
      </c>
      <c r="S10" s="185">
        <v>1015.1191600000001</v>
      </c>
      <c r="T10" s="186"/>
      <c r="U10" s="182"/>
      <c r="V10" s="182"/>
      <c r="W10" s="182"/>
      <c r="X10" s="182"/>
      <c r="Y10" s="182"/>
      <c r="Z10" s="182"/>
    </row>
    <row r="11" ht="14.25" customHeight="1">
      <c r="A11" s="182"/>
      <c r="C11" s="106" t="s">
        <v>177</v>
      </c>
      <c r="D11" s="185">
        <v>3170.087547</v>
      </c>
      <c r="E11" s="185">
        <v>2296.977078</v>
      </c>
      <c r="F11" s="185">
        <v>1973.002878</v>
      </c>
      <c r="G11" s="185">
        <v>1614.0</v>
      </c>
      <c r="H11" s="185">
        <v>1129.050087</v>
      </c>
      <c r="I11" s="185">
        <v>813.175242</v>
      </c>
      <c r="J11" s="185">
        <v>349.892136</v>
      </c>
      <c r="K11" s="184">
        <v>0.0</v>
      </c>
      <c r="L11" s="185">
        <v>68.0</v>
      </c>
      <c r="M11" s="185">
        <v>191.144778</v>
      </c>
      <c r="N11" s="185">
        <v>321.814372</v>
      </c>
      <c r="O11" s="185">
        <v>349.892136</v>
      </c>
      <c r="P11" s="185">
        <v>366.090846</v>
      </c>
      <c r="Q11" s="185">
        <v>366.090846</v>
      </c>
      <c r="R11" s="185">
        <v>433.045514</v>
      </c>
      <c r="S11" s="185">
        <v>738.121219</v>
      </c>
      <c r="T11" s="186"/>
      <c r="U11" s="182"/>
      <c r="V11" s="182"/>
      <c r="W11" s="182"/>
      <c r="X11" s="182"/>
      <c r="Y11" s="182"/>
      <c r="Z11" s="182"/>
    </row>
    <row r="12" ht="14.25" customHeight="1">
      <c r="A12" s="182"/>
      <c r="C12" s="106" t="s">
        <v>180</v>
      </c>
      <c r="D12" s="185">
        <v>3102.0529650000003</v>
      </c>
      <c r="E12" s="185">
        <v>2228.942496</v>
      </c>
      <c r="F12" s="185">
        <v>1904.968296</v>
      </c>
      <c r="G12" s="185">
        <v>1546.0</v>
      </c>
      <c r="H12" s="185">
        <v>1061.015505</v>
      </c>
      <c r="I12" s="185">
        <v>745.14066</v>
      </c>
      <c r="J12" s="185">
        <v>281.857554</v>
      </c>
      <c r="K12" s="185">
        <v>68.0</v>
      </c>
      <c r="L12" s="184">
        <v>0.0</v>
      </c>
      <c r="M12" s="185">
        <v>219.76249900000002</v>
      </c>
      <c r="N12" s="185">
        <v>349.892136</v>
      </c>
      <c r="O12" s="185">
        <v>380.129728</v>
      </c>
      <c r="P12" s="185">
        <v>388.76904</v>
      </c>
      <c r="Q12" s="185">
        <v>388.76904</v>
      </c>
      <c r="R12" s="185">
        <v>457.883536</v>
      </c>
      <c r="S12" s="185">
        <v>754.8598860000001</v>
      </c>
      <c r="T12" s="186"/>
      <c r="U12" s="182"/>
      <c r="V12" s="182"/>
      <c r="W12" s="182"/>
      <c r="X12" s="182"/>
      <c r="Y12" s="182"/>
      <c r="Z12" s="182"/>
    </row>
    <row r="13" ht="14.25" customHeight="1">
      <c r="A13" s="182"/>
      <c r="C13" s="106" t="s">
        <v>185</v>
      </c>
      <c r="D13" s="185">
        <v>3300.217184</v>
      </c>
      <c r="E13" s="185">
        <v>2427.106715</v>
      </c>
      <c r="F13" s="185">
        <v>2103.1325150000002</v>
      </c>
      <c r="G13" s="185">
        <v>1744.0</v>
      </c>
      <c r="H13" s="185">
        <v>1259.179724</v>
      </c>
      <c r="I13" s="185">
        <v>942.7649220000001</v>
      </c>
      <c r="J13" s="185">
        <v>480.021773</v>
      </c>
      <c r="K13" s="185">
        <v>191.144778</v>
      </c>
      <c r="L13" s="185">
        <v>219.76249900000002</v>
      </c>
      <c r="M13" s="184">
        <v>0.0</v>
      </c>
      <c r="N13" s="185">
        <v>167.926627</v>
      </c>
      <c r="O13" s="185">
        <v>192.224692</v>
      </c>
      <c r="P13" s="185">
        <v>226.241983</v>
      </c>
      <c r="Q13" s="185">
        <v>226.241983</v>
      </c>
      <c r="R13" s="185">
        <v>286.17721</v>
      </c>
      <c r="S13" s="185">
        <v>605.831754</v>
      </c>
      <c r="T13" s="186"/>
      <c r="U13" s="182"/>
      <c r="V13" s="182"/>
      <c r="W13" s="182"/>
      <c r="X13" s="182"/>
      <c r="Y13" s="182"/>
      <c r="Z13" s="182"/>
    </row>
    <row r="14" ht="14.25" customHeight="1">
      <c r="A14" s="182"/>
      <c r="C14" s="106" t="s">
        <v>189</v>
      </c>
      <c r="D14" s="185">
        <v>3430.0</v>
      </c>
      <c r="E14" s="185">
        <v>2557.236352</v>
      </c>
      <c r="F14" s="185">
        <v>2233.2621520000002</v>
      </c>
      <c r="G14" s="185">
        <v>1874.0</v>
      </c>
      <c r="H14" s="185">
        <v>1388.7694040000001</v>
      </c>
      <c r="I14" s="185">
        <v>1072.894559</v>
      </c>
      <c r="J14" s="185">
        <v>610.15141</v>
      </c>
      <c r="K14" s="185">
        <v>321.814372</v>
      </c>
      <c r="L14" s="185">
        <v>349.892136</v>
      </c>
      <c r="M14" s="185">
        <v>167.926627</v>
      </c>
      <c r="N14" s="184">
        <v>0.0</v>
      </c>
      <c r="O14" s="185">
        <v>59.935227000000005</v>
      </c>
      <c r="P14" s="185">
        <v>104.211701</v>
      </c>
      <c r="Q14" s="185">
        <v>104.211701</v>
      </c>
      <c r="R14" s="185">
        <v>180.885595</v>
      </c>
      <c r="S14" s="185">
        <v>498.920268</v>
      </c>
      <c r="T14" s="186"/>
      <c r="U14" s="182"/>
      <c r="V14" s="182"/>
      <c r="W14" s="182"/>
      <c r="X14" s="182"/>
      <c r="Y14" s="182"/>
      <c r="Z14" s="182"/>
    </row>
    <row r="15" ht="14.25" customHeight="1">
      <c r="A15" s="182"/>
      <c r="C15" s="106" t="s">
        <v>193</v>
      </c>
      <c r="D15" s="185">
        <v>3460.044456</v>
      </c>
      <c r="E15" s="185">
        <v>2586.933987</v>
      </c>
      <c r="F15" s="185">
        <v>2262.9597870000002</v>
      </c>
      <c r="G15" s="185">
        <v>1876.3505750000002</v>
      </c>
      <c r="H15" s="185">
        <v>1419.006996</v>
      </c>
      <c r="I15" s="185">
        <v>1103.132151</v>
      </c>
      <c r="J15" s="185">
        <v>639.849045</v>
      </c>
      <c r="K15" s="185">
        <v>349.892136</v>
      </c>
      <c r="L15" s="185">
        <v>380.129728</v>
      </c>
      <c r="M15" s="185">
        <v>192.224692</v>
      </c>
      <c r="N15" s="185">
        <v>59.935227000000005</v>
      </c>
      <c r="O15" s="184">
        <v>0.0</v>
      </c>
      <c r="P15" s="185">
        <v>63.174969000000004</v>
      </c>
      <c r="Q15" s="185">
        <v>63.174969000000004</v>
      </c>
      <c r="R15" s="185">
        <v>143.088605</v>
      </c>
      <c r="S15" s="185">
        <v>461.123278</v>
      </c>
      <c r="T15" s="186"/>
      <c r="U15" s="182"/>
      <c r="V15" s="182"/>
      <c r="W15" s="182"/>
      <c r="X15" s="182"/>
      <c r="Y15" s="182"/>
      <c r="Z15" s="182"/>
    </row>
    <row r="16" ht="14.25" customHeight="1">
      <c r="A16" s="182"/>
      <c r="C16" s="106" t="s">
        <v>196</v>
      </c>
      <c r="D16" s="185">
        <v>3469.2237250000003</v>
      </c>
      <c r="E16" s="185">
        <v>2596.113256</v>
      </c>
      <c r="F16" s="185">
        <v>2272.139056</v>
      </c>
      <c r="G16" s="185">
        <v>1913.0</v>
      </c>
      <c r="H16" s="185">
        <v>1428.186265</v>
      </c>
      <c r="I16" s="185">
        <v>1111.771463</v>
      </c>
      <c r="J16" s="185">
        <v>649.028314</v>
      </c>
      <c r="K16" s="185">
        <v>366.090846</v>
      </c>
      <c r="L16" s="185">
        <v>388.76904</v>
      </c>
      <c r="M16" s="185">
        <v>226.241983</v>
      </c>
      <c r="N16" s="185">
        <v>104.211701</v>
      </c>
      <c r="O16" s="185">
        <v>63.174969000000004</v>
      </c>
      <c r="P16" s="184">
        <v>0.0</v>
      </c>
      <c r="Q16" s="185">
        <v>0.539957</v>
      </c>
      <c r="R16" s="185">
        <v>92.87260400000001</v>
      </c>
      <c r="S16" s="185">
        <v>410.907277</v>
      </c>
      <c r="T16" s="186"/>
      <c r="U16" s="182"/>
      <c r="V16" s="182"/>
      <c r="W16" s="182"/>
      <c r="X16" s="182"/>
      <c r="Y16" s="182"/>
      <c r="Z16" s="182"/>
    </row>
    <row r="17" ht="14.25" customHeight="1">
      <c r="A17" s="182"/>
      <c r="C17" s="106" t="s">
        <v>199</v>
      </c>
      <c r="D17" s="185">
        <v>3469.2237250000003</v>
      </c>
      <c r="E17" s="185">
        <v>2596.113256</v>
      </c>
      <c r="F17" s="185">
        <v>2272.139056</v>
      </c>
      <c r="G17" s="185">
        <v>1913.0</v>
      </c>
      <c r="H17" s="185">
        <v>1428.186265</v>
      </c>
      <c r="I17" s="185">
        <v>1111.771463</v>
      </c>
      <c r="J17" s="185">
        <v>649.028314</v>
      </c>
      <c r="K17" s="185">
        <v>366.090846</v>
      </c>
      <c r="L17" s="185">
        <v>388.76904</v>
      </c>
      <c r="M17" s="185">
        <v>226.241983</v>
      </c>
      <c r="N17" s="185">
        <v>104.211701</v>
      </c>
      <c r="O17" s="185">
        <v>63.174969000000004</v>
      </c>
      <c r="P17" s="185">
        <v>0.539957</v>
      </c>
      <c r="Q17" s="184">
        <v>0.0</v>
      </c>
      <c r="R17" s="185">
        <v>92.87260400000001</v>
      </c>
      <c r="S17" s="185">
        <v>410.907277</v>
      </c>
      <c r="T17" s="186"/>
      <c r="U17" s="182"/>
      <c r="V17" s="182"/>
      <c r="W17" s="182"/>
      <c r="X17" s="182"/>
      <c r="Y17" s="182"/>
      <c r="Z17" s="182"/>
    </row>
    <row r="18" ht="14.25" customHeight="1">
      <c r="A18" s="182"/>
      <c r="C18" s="106" t="s">
        <v>202</v>
      </c>
      <c r="D18" s="185">
        <v>3537.798264</v>
      </c>
      <c r="E18" s="185">
        <v>2665.2277520000002</v>
      </c>
      <c r="F18" s="185">
        <v>2341.253552</v>
      </c>
      <c r="G18" s="185">
        <v>1982.0</v>
      </c>
      <c r="H18" s="185">
        <v>1496.760804</v>
      </c>
      <c r="I18" s="185">
        <v>1180.885959</v>
      </c>
      <c r="J18" s="185">
        <v>718.14281</v>
      </c>
      <c r="K18" s="185">
        <v>433.045514</v>
      </c>
      <c r="L18" s="185">
        <v>457.883536</v>
      </c>
      <c r="M18" s="185">
        <v>286.17721</v>
      </c>
      <c r="N18" s="185">
        <v>180.885595</v>
      </c>
      <c r="O18" s="185">
        <v>143.088605</v>
      </c>
      <c r="P18" s="185">
        <v>92.87260400000001</v>
      </c>
      <c r="Q18" s="185">
        <v>92.87260400000001</v>
      </c>
      <c r="R18" s="184">
        <v>0.0</v>
      </c>
      <c r="S18" s="185">
        <v>321.814372</v>
      </c>
      <c r="T18" s="186"/>
      <c r="U18" s="182"/>
      <c r="V18" s="182"/>
      <c r="W18" s="182"/>
      <c r="X18" s="182"/>
      <c r="Y18" s="182"/>
      <c r="Z18" s="182"/>
    </row>
    <row r="19" ht="14.25" customHeight="1">
      <c r="A19" s="182"/>
      <c r="C19" s="106" t="s">
        <v>207</v>
      </c>
      <c r="D19" s="185">
        <v>3834.774614</v>
      </c>
      <c r="E19" s="185">
        <v>2962.204102</v>
      </c>
      <c r="F19" s="185">
        <v>2638.229902</v>
      </c>
      <c r="G19" s="185">
        <v>2282.0</v>
      </c>
      <c r="H19" s="185">
        <v>1843.9531550000002</v>
      </c>
      <c r="I19" s="185">
        <v>1477.862309</v>
      </c>
      <c r="J19" s="185">
        <v>1015.1191600000001</v>
      </c>
      <c r="K19" s="185">
        <v>738.121219</v>
      </c>
      <c r="L19" s="185">
        <v>754.8598860000001</v>
      </c>
      <c r="M19" s="185">
        <v>605.831754</v>
      </c>
      <c r="N19" s="185">
        <v>498.920268</v>
      </c>
      <c r="O19" s="185">
        <v>461.123278</v>
      </c>
      <c r="P19" s="185">
        <v>410.907277</v>
      </c>
      <c r="Q19" s="185">
        <v>410.907277</v>
      </c>
      <c r="R19" s="185">
        <v>321.814372</v>
      </c>
      <c r="S19" s="184">
        <v>0.0</v>
      </c>
      <c r="T19" s="186"/>
      <c r="U19" s="182"/>
      <c r="V19" s="182"/>
      <c r="W19" s="182"/>
      <c r="X19" s="182"/>
      <c r="Y19" s="182"/>
      <c r="Z19" s="182"/>
    </row>
    <row r="20" ht="14.25" customHeight="1">
      <c r="A20" s="182"/>
      <c r="C20" s="182"/>
      <c r="D20" s="186"/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2"/>
      <c r="U20" s="182"/>
      <c r="V20" s="182"/>
      <c r="W20" s="182"/>
      <c r="X20" s="182"/>
      <c r="Y20" s="182"/>
      <c r="Z20" s="182"/>
    </row>
    <row r="21" ht="14.25" customHeight="1">
      <c r="A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</row>
    <row r="22" ht="14.25" customHeight="1">
      <c r="A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</row>
    <row r="23" ht="14.25" customHeight="1">
      <c r="A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</row>
    <row r="24" ht="14.25" customHeight="1">
      <c r="A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</row>
    <row r="25" ht="14.25" customHeight="1">
      <c r="A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</row>
    <row r="26" ht="14.25" customHeight="1">
      <c r="A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</row>
    <row r="27" ht="14.25" customHeight="1">
      <c r="A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</row>
    <row r="28" ht="14.25" customHeight="1">
      <c r="A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</row>
    <row r="29" ht="14.25" customHeight="1">
      <c r="A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</row>
    <row r="30" ht="14.25" customHeight="1">
      <c r="A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</row>
    <row r="31" ht="14.25" customHeight="1">
      <c r="A31" s="182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</row>
    <row r="32" ht="14.25" customHeight="1">
      <c r="A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</row>
    <row r="33" ht="14.25" customHeight="1">
      <c r="A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</row>
    <row r="34" ht="14.25" customHeight="1">
      <c r="A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</row>
    <row r="35" ht="14.25" customHeight="1">
      <c r="A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</row>
    <row r="36" ht="14.25" customHeight="1">
      <c r="A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</row>
    <row r="37" ht="14.25" customHeight="1">
      <c r="A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</row>
    <row r="38" ht="14.25" customHeight="1">
      <c r="A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</row>
    <row r="39" ht="14.25" customHeight="1">
      <c r="A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</row>
    <row r="40" ht="14.25" customHeight="1">
      <c r="A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</row>
    <row r="41" ht="14.25" customHeight="1">
      <c r="A41" s="182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</row>
    <row r="42" ht="14.25" customHeight="1">
      <c r="A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</row>
    <row r="43" ht="14.25" customHeight="1">
      <c r="A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</row>
    <row r="44" ht="14.25" customHeight="1">
      <c r="A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</row>
    <row r="45" ht="14.25" customHeight="1">
      <c r="A45" s="182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</row>
    <row r="46" ht="14.25" customHeight="1">
      <c r="A46" s="182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</row>
    <row r="47" ht="14.25" customHeight="1">
      <c r="A47" s="182"/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</row>
    <row r="48" ht="14.25" customHeight="1">
      <c r="A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</row>
    <row r="49" ht="14.25" customHeight="1">
      <c r="A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</row>
    <row r="50" ht="14.25" customHeight="1">
      <c r="A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</row>
    <row r="51" ht="14.25" customHeight="1">
      <c r="A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</row>
    <row r="52" ht="14.25" customHeight="1">
      <c r="A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</row>
    <row r="53" ht="14.25" customHeight="1">
      <c r="A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</row>
    <row r="54" ht="14.25" customHeight="1">
      <c r="A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</row>
    <row r="55" ht="14.25" customHeight="1">
      <c r="A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</row>
    <row r="56" ht="14.25" customHeight="1">
      <c r="A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</row>
    <row r="57" ht="14.25" customHeight="1">
      <c r="A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</row>
    <row r="58" ht="14.25" customHeight="1">
      <c r="A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</row>
    <row r="59" ht="14.25" customHeight="1">
      <c r="A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</row>
    <row r="60" ht="14.25" customHeight="1">
      <c r="A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</row>
    <row r="61" ht="14.25" customHeight="1">
      <c r="A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</row>
    <row r="62" ht="14.25" customHeight="1">
      <c r="A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</row>
    <row r="63" ht="14.25" customHeight="1">
      <c r="A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</row>
    <row r="64" ht="14.25" customHeight="1">
      <c r="A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</row>
    <row r="65" ht="14.25" customHeight="1">
      <c r="A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</row>
    <row r="66" ht="14.25" customHeight="1">
      <c r="A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</row>
    <row r="67" ht="14.25" customHeight="1">
      <c r="A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</row>
    <row r="68" ht="14.25" customHeight="1">
      <c r="A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</row>
    <row r="69" ht="14.25" customHeight="1">
      <c r="A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</row>
    <row r="70" ht="14.25" customHeight="1">
      <c r="A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</row>
    <row r="71" ht="14.25" customHeight="1">
      <c r="A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</row>
    <row r="72" ht="14.25" customHeight="1">
      <c r="A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</row>
    <row r="73" ht="14.25" customHeight="1">
      <c r="A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</row>
    <row r="74" ht="14.25" customHeight="1">
      <c r="A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</row>
    <row r="75" ht="14.25" customHeight="1">
      <c r="A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</row>
    <row r="76" ht="14.25" customHeight="1">
      <c r="A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</row>
    <row r="77" ht="14.25" customHeight="1">
      <c r="A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</row>
    <row r="78" ht="14.25" customHeight="1">
      <c r="A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</row>
    <row r="79" ht="14.25" customHeight="1">
      <c r="A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</row>
    <row r="80" ht="14.25" customHeight="1">
      <c r="A80" s="182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</row>
    <row r="81" ht="14.25" customHeight="1">
      <c r="A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</row>
    <row r="82" ht="14.25" customHeight="1">
      <c r="A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</row>
    <row r="83" ht="14.25" customHeight="1">
      <c r="A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</row>
    <row r="84" ht="14.25" customHeight="1">
      <c r="A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</row>
    <row r="85" ht="14.25" customHeight="1">
      <c r="A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</row>
    <row r="86" ht="14.25" customHeight="1">
      <c r="A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</row>
    <row r="87" ht="14.25" customHeight="1">
      <c r="A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</row>
    <row r="88" ht="14.25" customHeight="1">
      <c r="A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</row>
    <row r="89" ht="14.25" customHeight="1">
      <c r="A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</row>
    <row r="90" ht="14.25" customHeight="1">
      <c r="A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</row>
    <row r="91" ht="14.25" customHeight="1">
      <c r="A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</row>
    <row r="92" ht="14.25" customHeight="1">
      <c r="A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</row>
    <row r="93" ht="14.25" customHeight="1">
      <c r="A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</row>
    <row r="94" ht="14.25" customHeight="1">
      <c r="A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</row>
    <row r="95" ht="14.25" customHeight="1">
      <c r="A95" s="182"/>
      <c r="C95" s="182"/>
      <c r="D95" s="182"/>
      <c r="E95" s="182"/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</row>
    <row r="96" ht="14.25" customHeight="1">
      <c r="A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</row>
    <row r="97" ht="14.25" customHeight="1">
      <c r="A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</row>
    <row r="98" ht="14.25" customHeight="1">
      <c r="A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</row>
    <row r="99" ht="14.25" customHeight="1">
      <c r="A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</row>
    <row r="100" ht="14.25" customHeight="1">
      <c r="A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</row>
    <row r="101" ht="14.25" customHeight="1">
      <c r="A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</row>
    <row r="102" ht="14.25" customHeight="1">
      <c r="A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</row>
    <row r="103" ht="14.25" customHeight="1">
      <c r="A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</row>
    <row r="104" ht="14.25" customHeight="1">
      <c r="A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</row>
    <row r="105" ht="14.25" customHeight="1">
      <c r="A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</row>
    <row r="106" ht="14.25" customHeight="1">
      <c r="A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</row>
    <row r="107" ht="14.25" customHeight="1">
      <c r="A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</row>
    <row r="108" ht="14.25" customHeight="1">
      <c r="A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</row>
    <row r="109" ht="14.25" customHeight="1">
      <c r="A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</row>
    <row r="110" ht="14.25" customHeight="1">
      <c r="A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</row>
    <row r="111" ht="14.25" customHeight="1">
      <c r="A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</row>
    <row r="112" ht="14.25" customHeight="1">
      <c r="A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</row>
    <row r="113" ht="14.25" customHeight="1">
      <c r="A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</row>
    <row r="114" ht="14.25" customHeight="1">
      <c r="A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</row>
    <row r="115" ht="14.25" customHeight="1">
      <c r="A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</row>
    <row r="116" ht="14.25" customHeight="1">
      <c r="A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</row>
    <row r="117" ht="14.25" customHeight="1">
      <c r="A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</row>
    <row r="118" ht="14.25" customHeight="1">
      <c r="A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</row>
    <row r="119" ht="14.25" customHeight="1">
      <c r="A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</row>
    <row r="120" ht="14.25" customHeight="1">
      <c r="A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</row>
    <row r="121" ht="14.25" customHeight="1">
      <c r="A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</row>
    <row r="122" ht="14.25" customHeight="1">
      <c r="A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</row>
    <row r="123" ht="14.25" customHeight="1">
      <c r="A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</row>
    <row r="124" ht="14.25" customHeight="1">
      <c r="A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</row>
    <row r="125" ht="14.25" customHeight="1">
      <c r="A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</row>
    <row r="126" ht="14.25" customHeight="1">
      <c r="A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</row>
    <row r="127" ht="14.25" customHeight="1">
      <c r="A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</row>
    <row r="128" ht="14.25" customHeight="1">
      <c r="A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</row>
    <row r="129" ht="14.25" customHeight="1">
      <c r="A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</row>
    <row r="130" ht="14.25" customHeight="1">
      <c r="A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</row>
    <row r="131" ht="14.25" customHeight="1">
      <c r="A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</row>
    <row r="132" ht="14.25" customHeight="1">
      <c r="A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</row>
    <row r="133" ht="14.25" customHeight="1">
      <c r="A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</row>
    <row r="134" ht="14.25" customHeight="1">
      <c r="A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</row>
    <row r="135" ht="14.25" customHeight="1">
      <c r="A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</row>
    <row r="136" ht="14.25" customHeight="1">
      <c r="A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</row>
    <row r="137" ht="14.25" customHeight="1">
      <c r="A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</row>
    <row r="138" ht="14.25" customHeight="1">
      <c r="A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</row>
    <row r="139" ht="14.25" customHeight="1">
      <c r="A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</row>
    <row r="140" ht="14.25" customHeight="1">
      <c r="A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</row>
    <row r="141" ht="14.25" customHeight="1">
      <c r="A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</row>
    <row r="142" ht="14.25" customHeight="1">
      <c r="A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</row>
    <row r="143" ht="14.25" customHeight="1">
      <c r="A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</row>
    <row r="144" ht="14.25" customHeight="1">
      <c r="A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</row>
    <row r="145" ht="14.25" customHeight="1">
      <c r="A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</row>
    <row r="146" ht="14.25" customHeight="1">
      <c r="A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</row>
    <row r="147" ht="14.25" customHeight="1">
      <c r="A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</row>
    <row r="148" ht="14.25" customHeight="1">
      <c r="A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</row>
    <row r="149" ht="14.25" customHeight="1">
      <c r="A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</row>
    <row r="150" ht="14.25" customHeight="1">
      <c r="A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</row>
    <row r="151" ht="14.25" customHeight="1">
      <c r="A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</row>
    <row r="152" ht="14.25" customHeight="1">
      <c r="A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</row>
    <row r="153" ht="14.25" customHeight="1">
      <c r="A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</row>
    <row r="154" ht="14.25" customHeight="1">
      <c r="A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</row>
    <row r="155" ht="14.25" customHeight="1">
      <c r="A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</row>
    <row r="156" ht="14.25" customHeight="1">
      <c r="A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</row>
    <row r="157" ht="14.25" customHeight="1">
      <c r="A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</row>
    <row r="158" ht="14.25" customHeight="1">
      <c r="A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</row>
    <row r="159" ht="14.25" customHeight="1">
      <c r="A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</row>
    <row r="160" ht="14.25" customHeight="1">
      <c r="A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</row>
    <row r="161" ht="14.25" customHeight="1">
      <c r="A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</row>
    <row r="162" ht="14.25" customHeight="1">
      <c r="A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</row>
    <row r="163" ht="14.25" customHeight="1">
      <c r="A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</row>
    <row r="164" ht="14.25" customHeight="1">
      <c r="A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</row>
    <row r="165" ht="14.25" customHeight="1">
      <c r="A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</row>
    <row r="166" ht="14.25" customHeight="1">
      <c r="A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</row>
    <row r="167" ht="14.25" customHeight="1">
      <c r="A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</row>
    <row r="168" ht="14.25" customHeight="1">
      <c r="A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</row>
    <row r="169" ht="14.25" customHeight="1">
      <c r="A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</row>
    <row r="170" ht="14.25" customHeight="1">
      <c r="A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</row>
    <row r="171" ht="14.25" customHeight="1">
      <c r="A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</row>
    <row r="172" ht="14.25" customHeight="1">
      <c r="A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</row>
    <row r="173" ht="14.25" customHeight="1">
      <c r="A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</row>
    <row r="174" ht="14.25" customHeight="1">
      <c r="A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</row>
    <row r="175" ht="14.25" customHeight="1">
      <c r="A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</row>
    <row r="176" ht="14.25" customHeight="1">
      <c r="A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</row>
    <row r="177" ht="14.25" customHeight="1">
      <c r="A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</row>
    <row r="178" ht="14.25" customHeight="1">
      <c r="A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</row>
    <row r="179" ht="14.25" customHeight="1">
      <c r="A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</row>
    <row r="180" ht="14.25" customHeight="1">
      <c r="A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</row>
    <row r="181" ht="14.25" customHeight="1">
      <c r="A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</row>
    <row r="182" ht="14.25" customHeight="1">
      <c r="A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</row>
    <row r="183" ht="14.25" customHeight="1">
      <c r="A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</row>
    <row r="184" ht="14.25" customHeight="1">
      <c r="A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</row>
    <row r="185" ht="14.25" customHeight="1">
      <c r="A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</row>
    <row r="186" ht="14.25" customHeight="1">
      <c r="A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</row>
    <row r="187" ht="14.25" customHeight="1">
      <c r="A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</row>
    <row r="188" ht="14.25" customHeight="1">
      <c r="A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</row>
    <row r="189" ht="14.25" customHeight="1">
      <c r="A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</row>
    <row r="190" ht="14.25" customHeight="1">
      <c r="A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</row>
    <row r="191" ht="14.25" customHeight="1">
      <c r="A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</row>
    <row r="192" ht="14.25" customHeight="1">
      <c r="A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</row>
    <row r="193" ht="14.25" customHeight="1">
      <c r="A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</row>
    <row r="194" ht="14.25" customHeight="1">
      <c r="A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</row>
    <row r="195" ht="14.25" customHeight="1">
      <c r="A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</row>
    <row r="196" ht="14.25" customHeight="1">
      <c r="A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</row>
    <row r="197" ht="14.25" customHeight="1">
      <c r="A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</row>
    <row r="198" ht="14.25" customHeight="1">
      <c r="A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</row>
    <row r="199" ht="14.25" customHeight="1">
      <c r="A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</row>
    <row r="200" ht="14.25" customHeight="1">
      <c r="A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</row>
    <row r="201" ht="14.25" customHeight="1">
      <c r="A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</row>
    <row r="202" ht="14.25" customHeight="1">
      <c r="A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</row>
    <row r="203" ht="14.25" customHeight="1">
      <c r="A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</row>
    <row r="204" ht="14.25" customHeight="1">
      <c r="A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</row>
    <row r="205" ht="14.25" customHeight="1">
      <c r="A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</row>
    <row r="206" ht="14.25" customHeight="1">
      <c r="A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</row>
    <row r="207" ht="14.25" customHeight="1">
      <c r="A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</row>
    <row r="208" ht="14.25" customHeight="1">
      <c r="A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</row>
    <row r="209" ht="14.25" customHeight="1">
      <c r="A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</row>
    <row r="210" ht="14.25" customHeight="1">
      <c r="A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</row>
    <row r="211" ht="14.25" customHeight="1">
      <c r="A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</row>
    <row r="212" ht="14.25" customHeight="1">
      <c r="A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</row>
    <row r="213" ht="14.25" customHeight="1">
      <c r="A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</row>
    <row r="214" ht="14.25" customHeight="1">
      <c r="A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</row>
    <row r="215" ht="14.25" customHeight="1">
      <c r="A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</row>
    <row r="216" ht="14.25" customHeight="1">
      <c r="A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</row>
    <row r="217" ht="14.25" customHeight="1">
      <c r="A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</row>
    <row r="218" ht="14.25" customHeight="1">
      <c r="A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</row>
    <row r="219" ht="14.25" customHeight="1">
      <c r="A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</row>
    <row r="220" ht="14.25" customHeight="1">
      <c r="A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S2"/>
  </mergeCells>
  <printOptions/>
  <pageMargins bottom="0.787401575" footer="0.0" header="0.0" left="0.511811024" right="0.511811024" top="0.7874015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6.14"/>
    <col customWidth="1" min="2" max="2" width="15.86"/>
    <col customWidth="1" min="3" max="4" width="18.29"/>
    <col customWidth="1" min="5" max="5" width="18.14"/>
    <col customWidth="1" min="6" max="7" width="18.71"/>
    <col customWidth="1" min="8" max="8" width="21.71"/>
    <col customWidth="1" min="9" max="9" width="15.14"/>
    <col customWidth="1" min="10" max="10" width="5.86"/>
    <col customWidth="1" min="18" max="18" width="17.86"/>
    <col customWidth="1" min="19" max="19" width="6.14"/>
    <col customWidth="1" min="20" max="21" width="15.86"/>
    <col customWidth="1" min="22" max="22" width="4.14"/>
    <col customWidth="1" min="23" max="26" width="15.86"/>
    <col customWidth="1" min="27" max="27" width="19.14"/>
    <col customWidth="1" min="28" max="28" width="14.0"/>
    <col customWidth="1" min="29" max="30" width="15.86"/>
    <col customWidth="1" min="31" max="31" width="6.43"/>
    <col customWidth="1" min="40" max="40" width="5.0"/>
    <col customWidth="1" min="49" max="49" width="6.43"/>
    <col customWidth="1" min="50" max="50" width="19.14"/>
    <col customWidth="1" min="51" max="51" width="16.86"/>
    <col customWidth="1" min="52" max="52" width="15.29"/>
    <col customWidth="1" min="53" max="53" width="15.86"/>
    <col customWidth="1" min="54" max="54" width="13.43"/>
    <col customWidth="1" min="55" max="55" width="16.86"/>
    <col customWidth="1" min="56" max="56" width="15.29"/>
    <col customWidth="1" min="57" max="57" width="16.86"/>
    <col customWidth="1" min="58" max="58" width="5.0"/>
    <col customWidth="1" min="67" max="67" width="5.0"/>
    <col customWidth="1" min="76" max="76" width="5.86"/>
    <col customWidth="1" min="77" max="77" width="20.71"/>
  </cols>
  <sheetData>
    <row r="1">
      <c r="J1" s="188"/>
      <c r="S1" s="29"/>
      <c r="AE1" s="188"/>
      <c r="AW1" s="188"/>
      <c r="BX1" s="29"/>
      <c r="BY1" s="29"/>
    </row>
    <row r="2">
      <c r="A2" s="44"/>
      <c r="B2" s="45" t="s">
        <v>386</v>
      </c>
      <c r="C2" s="46"/>
      <c r="D2" s="46"/>
      <c r="E2" s="46"/>
      <c r="F2" s="46"/>
      <c r="G2" s="46"/>
      <c r="H2" s="46"/>
      <c r="I2" s="47"/>
      <c r="J2" s="188"/>
      <c r="K2" s="45" t="s">
        <v>387</v>
      </c>
      <c r="L2" s="46"/>
      <c r="M2" s="46"/>
      <c r="N2" s="46"/>
      <c r="O2" s="46"/>
      <c r="P2" s="46"/>
      <c r="Q2" s="46"/>
      <c r="R2" s="47"/>
      <c r="S2" s="189"/>
      <c r="T2" s="45" t="s">
        <v>388</v>
      </c>
      <c r="U2" s="46"/>
      <c r="V2" s="46"/>
      <c r="W2" s="46"/>
      <c r="X2" s="46"/>
      <c r="Y2" s="46"/>
      <c r="Z2" s="46"/>
      <c r="AA2" s="46"/>
      <c r="AB2" s="46"/>
      <c r="AC2" s="46"/>
      <c r="AD2" s="47"/>
      <c r="AE2" s="190"/>
      <c r="AF2" s="45" t="s">
        <v>389</v>
      </c>
      <c r="AG2" s="46"/>
      <c r="AH2" s="46"/>
      <c r="AI2" s="46"/>
      <c r="AJ2" s="46"/>
      <c r="AK2" s="46"/>
      <c r="AL2" s="46"/>
      <c r="AM2" s="47"/>
      <c r="AN2" s="189"/>
      <c r="AO2" s="45" t="s">
        <v>390</v>
      </c>
      <c r="AP2" s="46"/>
      <c r="AQ2" s="46"/>
      <c r="AR2" s="46"/>
      <c r="AS2" s="46"/>
      <c r="AT2" s="46"/>
      <c r="AU2" s="46"/>
      <c r="AV2" s="47"/>
      <c r="AW2" s="190"/>
      <c r="AX2" s="45" t="s">
        <v>391</v>
      </c>
      <c r="AY2" s="46"/>
      <c r="AZ2" s="46"/>
      <c r="BA2" s="46"/>
      <c r="BB2" s="46"/>
      <c r="BC2" s="46"/>
      <c r="BD2" s="46"/>
      <c r="BE2" s="47"/>
      <c r="BF2" s="189"/>
    </row>
    <row r="3">
      <c r="J3" s="188"/>
      <c r="AE3" s="188"/>
      <c r="AW3" s="188"/>
    </row>
    <row r="4">
      <c r="A4" s="48"/>
      <c r="B4" s="19" t="s">
        <v>39</v>
      </c>
      <c r="C4" s="20"/>
      <c r="D4" s="20"/>
      <c r="E4" s="20"/>
      <c r="F4" s="20"/>
      <c r="G4" s="20"/>
      <c r="H4" s="20"/>
      <c r="I4" s="21"/>
      <c r="J4" s="188"/>
      <c r="K4" s="42" t="s">
        <v>392</v>
      </c>
      <c r="L4" s="20"/>
      <c r="M4" s="20"/>
      <c r="N4" s="20"/>
      <c r="O4" s="20"/>
      <c r="P4" s="20"/>
      <c r="Q4" s="20"/>
      <c r="R4" s="21"/>
      <c r="S4" s="29"/>
      <c r="T4" s="115" t="s">
        <v>40</v>
      </c>
      <c r="U4" s="21"/>
      <c r="W4" s="116" t="s">
        <v>236</v>
      </c>
      <c r="X4" s="20"/>
      <c r="Y4" s="20"/>
      <c r="Z4" s="20"/>
      <c r="AA4" s="20"/>
      <c r="AB4" s="20"/>
      <c r="AC4" s="20"/>
      <c r="AD4" s="21"/>
      <c r="AE4" s="188"/>
      <c r="AF4" s="42" t="s">
        <v>237</v>
      </c>
      <c r="AG4" s="20"/>
      <c r="AH4" s="20"/>
      <c r="AI4" s="20"/>
      <c r="AJ4" s="20"/>
      <c r="AK4" s="20"/>
      <c r="AL4" s="20"/>
      <c r="AM4" s="21"/>
      <c r="AO4" s="42" t="s">
        <v>393</v>
      </c>
      <c r="AP4" s="20"/>
      <c r="AQ4" s="20"/>
      <c r="AR4" s="20"/>
      <c r="AS4" s="20"/>
      <c r="AT4" s="20"/>
      <c r="AU4" s="20"/>
      <c r="AV4" s="21"/>
      <c r="AW4" s="188"/>
      <c r="AX4" s="42" t="s">
        <v>394</v>
      </c>
      <c r="AY4" s="20"/>
      <c r="AZ4" s="20"/>
      <c r="BA4" s="20"/>
      <c r="BB4" s="20"/>
      <c r="BC4" s="20"/>
      <c r="BD4" s="20"/>
      <c r="BE4" s="21"/>
    </row>
    <row r="5">
      <c r="A5" s="48"/>
      <c r="B5" s="4" t="s">
        <v>42</v>
      </c>
      <c r="C5" s="4" t="s">
        <v>25</v>
      </c>
      <c r="D5" s="49" t="s">
        <v>28</v>
      </c>
      <c r="E5" s="4" t="s">
        <v>9</v>
      </c>
      <c r="F5" s="49" t="s">
        <v>33</v>
      </c>
      <c r="G5" s="4" t="s">
        <v>8</v>
      </c>
      <c r="H5" s="4" t="s">
        <v>31</v>
      </c>
      <c r="I5" s="4" t="s">
        <v>43</v>
      </c>
      <c r="J5" s="188"/>
      <c r="K5" s="4" t="s">
        <v>42</v>
      </c>
      <c r="L5" s="4" t="s">
        <v>25</v>
      </c>
      <c r="M5" s="49" t="s">
        <v>28</v>
      </c>
      <c r="N5" s="4" t="s">
        <v>9</v>
      </c>
      <c r="O5" s="49" t="s">
        <v>33</v>
      </c>
      <c r="P5" s="49" t="s">
        <v>8</v>
      </c>
      <c r="Q5" s="4" t="s">
        <v>31</v>
      </c>
      <c r="R5" s="4" t="s">
        <v>43</v>
      </c>
      <c r="S5" s="29"/>
      <c r="T5" s="4" t="s">
        <v>44</v>
      </c>
      <c r="U5" s="4" t="s">
        <v>47</v>
      </c>
      <c r="W5" s="49" t="s">
        <v>42</v>
      </c>
      <c r="X5" s="49" t="s">
        <v>25</v>
      </c>
      <c r="Y5" s="49" t="s">
        <v>28</v>
      </c>
      <c r="Z5" s="49" t="s">
        <v>9</v>
      </c>
      <c r="AA5" s="49" t="s">
        <v>33</v>
      </c>
      <c r="AB5" s="49" t="s">
        <v>8</v>
      </c>
      <c r="AC5" s="49" t="s">
        <v>31</v>
      </c>
      <c r="AD5" s="49" t="s">
        <v>43</v>
      </c>
      <c r="AE5" s="188"/>
      <c r="AF5" s="4" t="s">
        <v>42</v>
      </c>
      <c r="AG5" s="4" t="s">
        <v>25</v>
      </c>
      <c r="AH5" s="49" t="s">
        <v>28</v>
      </c>
      <c r="AI5" s="4" t="s">
        <v>9</v>
      </c>
      <c r="AJ5" s="49" t="s">
        <v>33</v>
      </c>
      <c r="AK5" s="49" t="s">
        <v>8</v>
      </c>
      <c r="AL5" s="4" t="s">
        <v>31</v>
      </c>
      <c r="AM5" s="4" t="s">
        <v>43</v>
      </c>
      <c r="AO5" s="4" t="s">
        <v>42</v>
      </c>
      <c r="AP5" s="4" t="s">
        <v>25</v>
      </c>
      <c r="AQ5" s="49" t="s">
        <v>28</v>
      </c>
      <c r="AR5" s="4" t="s">
        <v>9</v>
      </c>
      <c r="AS5" s="49" t="s">
        <v>33</v>
      </c>
      <c r="AT5" s="49" t="s">
        <v>8</v>
      </c>
      <c r="AU5" s="4" t="s">
        <v>31</v>
      </c>
      <c r="AV5" s="4" t="s">
        <v>43</v>
      </c>
      <c r="AW5" s="188"/>
      <c r="AX5" s="4" t="s">
        <v>42</v>
      </c>
      <c r="AY5" s="4" t="s">
        <v>25</v>
      </c>
      <c r="AZ5" s="4" t="s">
        <v>28</v>
      </c>
      <c r="BA5" s="4" t="s">
        <v>9</v>
      </c>
      <c r="BB5" s="49" t="s">
        <v>33</v>
      </c>
      <c r="BC5" s="4" t="s">
        <v>8</v>
      </c>
      <c r="BD5" s="4" t="s">
        <v>31</v>
      </c>
      <c r="BE5" s="4" t="s">
        <v>43</v>
      </c>
    </row>
    <row r="6" ht="15.0" customHeight="1">
      <c r="A6" s="50"/>
      <c r="B6" s="26" t="s">
        <v>25</v>
      </c>
      <c r="C6" s="27"/>
      <c r="D6" s="27">
        <v>1747.0</v>
      </c>
      <c r="E6" s="27">
        <v>313.0</v>
      </c>
      <c r="F6" s="51">
        <v>329.0</v>
      </c>
      <c r="G6" s="27">
        <v>2513.0</v>
      </c>
      <c r="H6" s="27">
        <v>475.0</v>
      </c>
      <c r="I6" s="27">
        <f t="shared" ref="I6:I11" si="5">SUM(C6:H6)</f>
        <v>5377</v>
      </c>
      <c r="J6" s="188"/>
      <c r="K6" s="26" t="s">
        <v>25</v>
      </c>
      <c r="L6" s="191">
        <f t="shared" ref="L6:L11" si="6">INT(C6/52)</f>
        <v>0</v>
      </c>
      <c r="M6" s="191">
        <v>0.0</v>
      </c>
      <c r="N6" s="191">
        <f>INT(E6/52)</f>
        <v>6</v>
      </c>
      <c r="O6" s="191">
        <v>0.0</v>
      </c>
      <c r="P6" s="191">
        <f t="shared" ref="P6:Q6" si="1">INT(G6/52)</f>
        <v>48</v>
      </c>
      <c r="Q6" s="191">
        <f t="shared" si="1"/>
        <v>9</v>
      </c>
      <c r="R6" s="27">
        <f t="shared" ref="R6:R11" si="7">SUM(L6:Q6)</f>
        <v>63</v>
      </c>
      <c r="S6" s="29"/>
      <c r="T6" s="26" t="s">
        <v>25</v>
      </c>
      <c r="U6" s="52">
        <f>L12-$R6</f>
        <v>144</v>
      </c>
      <c r="W6" s="26" t="s">
        <v>25</v>
      </c>
      <c r="X6" s="27"/>
      <c r="Y6" s="27"/>
      <c r="Z6" s="27"/>
      <c r="AA6" s="27"/>
      <c r="AB6" s="27"/>
      <c r="AC6" s="27">
        <f>U6</f>
        <v>144</v>
      </c>
      <c r="AD6" s="27">
        <f t="shared" ref="AD6:AD11" si="8">SUM(X6:AC6)</f>
        <v>144</v>
      </c>
      <c r="AE6" s="188"/>
      <c r="AF6" s="26" t="s">
        <v>25</v>
      </c>
      <c r="AG6" s="56">
        <f t="shared" ref="AG6:AL6" si="2">L68*28</f>
        <v>0</v>
      </c>
      <c r="AH6" s="56">
        <f t="shared" si="2"/>
        <v>0</v>
      </c>
      <c r="AI6" s="191">
        <f t="shared" si="2"/>
        <v>168</v>
      </c>
      <c r="AJ6" s="56">
        <f t="shared" si="2"/>
        <v>0</v>
      </c>
      <c r="AK6" s="191">
        <f t="shared" si="2"/>
        <v>1344</v>
      </c>
      <c r="AL6" s="191">
        <f t="shared" si="2"/>
        <v>252</v>
      </c>
      <c r="AM6" s="27">
        <f t="shared" ref="AM6:AM11" si="10">SUM(AG6:AL6)</f>
        <v>1764</v>
      </c>
      <c r="AO6" s="26" t="s">
        <v>25</v>
      </c>
      <c r="AP6" s="56">
        <f t="shared" ref="AP6:AU6" si="3">L68</f>
        <v>0</v>
      </c>
      <c r="AQ6" s="56">
        <f t="shared" si="3"/>
        <v>0</v>
      </c>
      <c r="AR6" s="191">
        <f t="shared" si="3"/>
        <v>6</v>
      </c>
      <c r="AS6" s="56">
        <f t="shared" si="3"/>
        <v>0</v>
      </c>
      <c r="AT6" s="191">
        <f t="shared" si="3"/>
        <v>48</v>
      </c>
      <c r="AU6" s="191">
        <f t="shared" si="3"/>
        <v>9</v>
      </c>
      <c r="AV6" s="27">
        <f t="shared" ref="AV6:AV11" si="12">SUM(AP6:AU6)</f>
        <v>63</v>
      </c>
      <c r="AW6" s="188"/>
      <c r="AX6" s="26" t="s">
        <v>25</v>
      </c>
      <c r="AY6" s="56">
        <f t="shared" ref="AY6:BD6" si="4">L68*C76</f>
        <v>0</v>
      </c>
      <c r="AZ6" s="56">
        <f t="shared" si="4"/>
        <v>0</v>
      </c>
      <c r="BA6" s="191">
        <f t="shared" si="4"/>
        <v>96682.39627</v>
      </c>
      <c r="BB6" s="56">
        <f t="shared" si="4"/>
        <v>0</v>
      </c>
      <c r="BC6" s="191">
        <f t="shared" si="4"/>
        <v>986384.022</v>
      </c>
      <c r="BD6" s="191">
        <f t="shared" si="4"/>
        <v>211299.2431</v>
      </c>
      <c r="BE6" s="27">
        <f t="shared" ref="BE6:BE11" si="14">SUM(AY6:BD6)</f>
        <v>1294365.661</v>
      </c>
    </row>
    <row r="7">
      <c r="A7" s="50"/>
      <c r="B7" s="26" t="s">
        <v>28</v>
      </c>
      <c r="C7" s="27">
        <v>2926.0</v>
      </c>
      <c r="D7" s="27"/>
      <c r="E7" s="27">
        <v>282.0</v>
      </c>
      <c r="F7" s="53">
        <v>491.0</v>
      </c>
      <c r="G7" s="27">
        <v>9135.0</v>
      </c>
      <c r="H7" s="27">
        <v>4055.0</v>
      </c>
      <c r="I7" s="27">
        <f t="shared" si="5"/>
        <v>16889</v>
      </c>
      <c r="J7" s="188"/>
      <c r="K7" s="26" t="s">
        <v>28</v>
      </c>
      <c r="L7" s="191">
        <f t="shared" si="6"/>
        <v>56</v>
      </c>
      <c r="M7" s="191">
        <f t="shared" ref="M7:M11" si="15">INT(D7/52)</f>
        <v>0</v>
      </c>
      <c r="N7" s="191">
        <v>0.0</v>
      </c>
      <c r="O7" s="191">
        <v>0.0</v>
      </c>
      <c r="P7" s="191">
        <v>0.0</v>
      </c>
      <c r="Q7" s="191">
        <v>0.0</v>
      </c>
      <c r="R7" s="27">
        <f t="shared" si="7"/>
        <v>56</v>
      </c>
      <c r="S7" s="29"/>
      <c r="T7" s="26" t="s">
        <v>28</v>
      </c>
      <c r="U7" s="52">
        <f>M12-$R7</f>
        <v>335</v>
      </c>
      <c r="W7" s="26" t="s">
        <v>28</v>
      </c>
      <c r="X7" s="27"/>
      <c r="Y7" s="27"/>
      <c r="Z7" s="27"/>
      <c r="AA7" s="27"/>
      <c r="AB7" s="27">
        <f>U7-(U7+U10+AB9)</f>
        <v>68</v>
      </c>
      <c r="AC7" s="27">
        <f>U7-AB7</f>
        <v>267</v>
      </c>
      <c r="AD7" s="27">
        <f t="shared" si="8"/>
        <v>335</v>
      </c>
      <c r="AE7" s="188"/>
      <c r="AF7" s="26" t="s">
        <v>28</v>
      </c>
      <c r="AG7" s="191">
        <f t="shared" ref="AG7:AL7" si="9">L69*28</f>
        <v>1568</v>
      </c>
      <c r="AH7" s="56">
        <f t="shared" si="9"/>
        <v>0</v>
      </c>
      <c r="AI7" s="56">
        <f t="shared" si="9"/>
        <v>0</v>
      </c>
      <c r="AJ7" s="56">
        <f t="shared" si="9"/>
        <v>0</v>
      </c>
      <c r="AK7" s="56">
        <f t="shared" si="9"/>
        <v>0</v>
      </c>
      <c r="AL7" s="56">
        <f t="shared" si="9"/>
        <v>0</v>
      </c>
      <c r="AM7" s="27">
        <f t="shared" si="10"/>
        <v>1568</v>
      </c>
      <c r="AO7" s="26" t="s">
        <v>28</v>
      </c>
      <c r="AP7" s="191">
        <f t="shared" ref="AP7:AU7" si="11">L69</f>
        <v>56</v>
      </c>
      <c r="AQ7" s="56">
        <f t="shared" si="11"/>
        <v>0</v>
      </c>
      <c r="AR7" s="56">
        <f t="shared" si="11"/>
        <v>0</v>
      </c>
      <c r="AS7" s="56">
        <f t="shared" si="11"/>
        <v>0</v>
      </c>
      <c r="AT7" s="56">
        <f t="shared" si="11"/>
        <v>0</v>
      </c>
      <c r="AU7" s="56">
        <f t="shared" si="11"/>
        <v>0</v>
      </c>
      <c r="AV7" s="27">
        <f t="shared" si="12"/>
        <v>56</v>
      </c>
      <c r="AW7" s="188"/>
      <c r="AX7" s="26" t="s">
        <v>28</v>
      </c>
      <c r="AY7" s="191">
        <f t="shared" ref="AY7:BD7" si="13">L69*C77</f>
        <v>768475.0768</v>
      </c>
      <c r="AZ7" s="56">
        <f t="shared" si="13"/>
        <v>0</v>
      </c>
      <c r="BA7" s="56">
        <f t="shared" si="13"/>
        <v>0</v>
      </c>
      <c r="BB7" s="56">
        <f t="shared" si="13"/>
        <v>0</v>
      </c>
      <c r="BC7" s="56">
        <f t="shared" si="13"/>
        <v>0</v>
      </c>
      <c r="BD7" s="56">
        <f t="shared" si="13"/>
        <v>0</v>
      </c>
      <c r="BE7" s="27">
        <f t="shared" si="14"/>
        <v>768475.0768</v>
      </c>
    </row>
    <row r="8">
      <c r="A8" s="50"/>
      <c r="B8" s="26" t="s">
        <v>9</v>
      </c>
      <c r="C8" s="27">
        <v>2039.0</v>
      </c>
      <c r="D8" s="27">
        <v>1481.0</v>
      </c>
      <c r="E8" s="27"/>
      <c r="F8" s="53">
        <v>2967.0</v>
      </c>
      <c r="G8" s="27">
        <v>8519.0</v>
      </c>
      <c r="H8" s="27">
        <v>827.0</v>
      </c>
      <c r="I8" s="27">
        <f t="shared" si="5"/>
        <v>15833</v>
      </c>
      <c r="J8" s="188"/>
      <c r="K8" s="26" t="s">
        <v>9</v>
      </c>
      <c r="L8" s="191">
        <f t="shared" si="6"/>
        <v>39</v>
      </c>
      <c r="M8" s="191">
        <f t="shared" si="15"/>
        <v>28</v>
      </c>
      <c r="N8" s="191">
        <f t="shared" ref="N8:N11" si="20">INT(E8/52)</f>
        <v>0</v>
      </c>
      <c r="O8" s="191">
        <v>0.0</v>
      </c>
      <c r="P8" s="191">
        <f t="shared" ref="P8:Q8" si="16">INT(G8/52)</f>
        <v>163</v>
      </c>
      <c r="Q8" s="191">
        <f t="shared" si="16"/>
        <v>15</v>
      </c>
      <c r="R8" s="27">
        <f t="shared" si="7"/>
        <v>245</v>
      </c>
      <c r="S8" s="29"/>
      <c r="T8" s="54" t="s">
        <v>9</v>
      </c>
      <c r="U8" s="52">
        <f>N12-$R8</f>
        <v>160</v>
      </c>
      <c r="W8" s="26" t="s">
        <v>9</v>
      </c>
      <c r="X8" s="27"/>
      <c r="Y8" s="27"/>
      <c r="Z8" s="27"/>
      <c r="AA8" s="27"/>
      <c r="AB8" s="27"/>
      <c r="AC8" s="27">
        <f>U8</f>
        <v>160</v>
      </c>
      <c r="AD8" s="27">
        <f t="shared" si="8"/>
        <v>160</v>
      </c>
      <c r="AE8" s="188"/>
      <c r="AF8" s="26" t="s">
        <v>9</v>
      </c>
      <c r="AG8" s="191">
        <f t="shared" ref="AG8:AL8" si="17">L70*28</f>
        <v>1092</v>
      </c>
      <c r="AH8" s="191">
        <f t="shared" si="17"/>
        <v>784</v>
      </c>
      <c r="AI8" s="56">
        <f t="shared" si="17"/>
        <v>0</v>
      </c>
      <c r="AJ8" s="56">
        <f t="shared" si="17"/>
        <v>0</v>
      </c>
      <c r="AK8" s="191">
        <f t="shared" si="17"/>
        <v>532</v>
      </c>
      <c r="AL8" s="191">
        <f t="shared" si="17"/>
        <v>420</v>
      </c>
      <c r="AM8" s="27">
        <f t="shared" si="10"/>
        <v>2828</v>
      </c>
      <c r="AO8" s="26" t="s">
        <v>9</v>
      </c>
      <c r="AP8" s="191">
        <f t="shared" ref="AP8:AU8" si="18">L70</f>
        <v>39</v>
      </c>
      <c r="AQ8" s="191">
        <f t="shared" si="18"/>
        <v>28</v>
      </c>
      <c r="AR8" s="56">
        <f t="shared" si="18"/>
        <v>0</v>
      </c>
      <c r="AS8" s="56">
        <f t="shared" si="18"/>
        <v>0</v>
      </c>
      <c r="AT8" s="191">
        <f t="shared" si="18"/>
        <v>19</v>
      </c>
      <c r="AU8" s="191">
        <f t="shared" si="18"/>
        <v>15</v>
      </c>
      <c r="AV8" s="27">
        <f t="shared" si="12"/>
        <v>101</v>
      </c>
      <c r="AW8" s="188"/>
      <c r="AX8" s="26" t="s">
        <v>9</v>
      </c>
      <c r="AY8" s="191">
        <f t="shared" ref="AY8:BD8" si="19">L70*C78</f>
        <v>628435.5758</v>
      </c>
      <c r="AZ8" s="191">
        <f t="shared" si="19"/>
        <v>128325.9432</v>
      </c>
      <c r="BA8" s="56">
        <f t="shared" si="19"/>
        <v>0</v>
      </c>
      <c r="BB8" s="56">
        <f t="shared" si="19"/>
        <v>0</v>
      </c>
      <c r="BC8" s="191">
        <f t="shared" si="19"/>
        <v>269576.4817</v>
      </c>
      <c r="BD8" s="191">
        <f t="shared" si="19"/>
        <v>268208.1675</v>
      </c>
      <c r="BE8" s="27">
        <f t="shared" si="14"/>
        <v>1294546.168</v>
      </c>
    </row>
    <row r="9">
      <c r="A9" s="50"/>
      <c r="B9" s="26" t="s">
        <v>33</v>
      </c>
      <c r="C9" s="51">
        <v>407.0</v>
      </c>
      <c r="D9" s="55">
        <v>779.0</v>
      </c>
      <c r="E9" s="55">
        <v>670.0</v>
      </c>
      <c r="F9" s="9"/>
      <c r="G9" s="55">
        <v>10907.0</v>
      </c>
      <c r="H9" s="55">
        <v>289.0</v>
      </c>
      <c r="I9" s="27">
        <f t="shared" si="5"/>
        <v>13052</v>
      </c>
      <c r="J9" s="188"/>
      <c r="K9" s="26" t="s">
        <v>33</v>
      </c>
      <c r="L9" s="191">
        <f t="shared" si="6"/>
        <v>7</v>
      </c>
      <c r="M9" s="191">
        <f t="shared" si="15"/>
        <v>14</v>
      </c>
      <c r="N9" s="191">
        <f t="shared" si="20"/>
        <v>12</v>
      </c>
      <c r="O9" s="191">
        <f t="shared" ref="O9:O11" si="24">INT(F9/52)</f>
        <v>0</v>
      </c>
      <c r="P9" s="191">
        <v>0.0</v>
      </c>
      <c r="Q9" s="191">
        <v>0.0</v>
      </c>
      <c r="R9" s="27">
        <f t="shared" si="7"/>
        <v>33</v>
      </c>
      <c r="S9" s="29"/>
      <c r="T9" s="54" t="s">
        <v>33</v>
      </c>
      <c r="U9" s="52">
        <f>O12-$R9</f>
        <v>86</v>
      </c>
      <c r="W9" s="26" t="s">
        <v>33</v>
      </c>
      <c r="X9" s="27"/>
      <c r="Y9" s="27"/>
      <c r="Z9" s="27"/>
      <c r="AA9" s="27"/>
      <c r="AB9" s="27">
        <f>U9</f>
        <v>86</v>
      </c>
      <c r="AC9" s="27"/>
      <c r="AD9" s="27">
        <f t="shared" si="8"/>
        <v>86</v>
      </c>
      <c r="AE9" s="188"/>
      <c r="AF9" s="26" t="s">
        <v>33</v>
      </c>
      <c r="AG9" s="191">
        <f t="shared" ref="AG9:AL9" si="21">L71*28</f>
        <v>28</v>
      </c>
      <c r="AH9" s="191">
        <f t="shared" si="21"/>
        <v>392</v>
      </c>
      <c r="AI9" s="191">
        <f t="shared" si="21"/>
        <v>336</v>
      </c>
      <c r="AJ9" s="56">
        <f t="shared" si="21"/>
        <v>0</v>
      </c>
      <c r="AK9" s="56">
        <f t="shared" si="21"/>
        <v>0</v>
      </c>
      <c r="AL9" s="56">
        <f t="shared" si="21"/>
        <v>0</v>
      </c>
      <c r="AM9" s="27">
        <f t="shared" si="10"/>
        <v>756</v>
      </c>
      <c r="AO9" s="26" t="s">
        <v>33</v>
      </c>
      <c r="AP9" s="191">
        <f t="shared" ref="AP9:AU9" si="22">L71</f>
        <v>1</v>
      </c>
      <c r="AQ9" s="191">
        <f t="shared" si="22"/>
        <v>14</v>
      </c>
      <c r="AR9" s="191">
        <f t="shared" si="22"/>
        <v>12</v>
      </c>
      <c r="AS9" s="56">
        <f t="shared" si="22"/>
        <v>0</v>
      </c>
      <c r="AT9" s="56">
        <f t="shared" si="22"/>
        <v>0</v>
      </c>
      <c r="AU9" s="56">
        <f t="shared" si="22"/>
        <v>0</v>
      </c>
      <c r="AV9" s="27">
        <f t="shared" si="12"/>
        <v>27</v>
      </c>
      <c r="AW9" s="188"/>
      <c r="AX9" s="26" t="s">
        <v>33</v>
      </c>
      <c r="AY9" s="191">
        <f t="shared" ref="AY9:BD9" si="23">L71*C79</f>
        <v>16247.99848</v>
      </c>
      <c r="AZ9" s="191">
        <f t="shared" si="23"/>
        <v>106745.8763</v>
      </c>
      <c r="BA9" s="191">
        <f t="shared" si="23"/>
        <v>57413.61662</v>
      </c>
      <c r="BB9" s="56">
        <f t="shared" si="23"/>
        <v>0</v>
      </c>
      <c r="BC9" s="56">
        <f t="shared" si="23"/>
        <v>0</v>
      </c>
      <c r="BD9" s="56">
        <f t="shared" si="23"/>
        <v>0</v>
      </c>
      <c r="BE9" s="27">
        <f t="shared" si="14"/>
        <v>180407.4914</v>
      </c>
    </row>
    <row r="10">
      <c r="A10" s="50"/>
      <c r="B10" s="26" t="s">
        <v>8</v>
      </c>
      <c r="C10" s="27">
        <v>4058.0</v>
      </c>
      <c r="D10" s="27">
        <v>6369.0</v>
      </c>
      <c r="E10" s="27">
        <v>6570.0</v>
      </c>
      <c r="F10" s="51">
        <v>2077.0</v>
      </c>
      <c r="G10" s="31"/>
      <c r="H10" s="31"/>
      <c r="I10" s="27">
        <f t="shared" si="5"/>
        <v>19074</v>
      </c>
      <c r="J10" s="188"/>
      <c r="K10" s="26" t="s">
        <v>8</v>
      </c>
      <c r="L10" s="191">
        <f t="shared" si="6"/>
        <v>78</v>
      </c>
      <c r="M10" s="191">
        <f t="shared" si="15"/>
        <v>122</v>
      </c>
      <c r="N10" s="191">
        <f t="shared" si="20"/>
        <v>126</v>
      </c>
      <c r="O10" s="191">
        <f t="shared" si="24"/>
        <v>39</v>
      </c>
      <c r="P10" s="191">
        <f t="shared" ref="P10:Q10" si="25">INT(G10/52)</f>
        <v>0</v>
      </c>
      <c r="Q10" s="191">
        <f t="shared" si="25"/>
        <v>0</v>
      </c>
      <c r="R10" s="27">
        <f t="shared" si="7"/>
        <v>365</v>
      </c>
      <c r="S10" s="29"/>
      <c r="T10" s="54" t="s">
        <v>8</v>
      </c>
      <c r="U10" s="52">
        <f>P12-$R10</f>
        <v>-154</v>
      </c>
      <c r="W10" s="26" t="s">
        <v>8</v>
      </c>
      <c r="X10" s="27"/>
      <c r="Y10" s="27"/>
      <c r="Z10" s="27"/>
      <c r="AA10" s="27"/>
      <c r="AB10" s="27"/>
      <c r="AC10" s="27"/>
      <c r="AD10" s="27">
        <f t="shared" si="8"/>
        <v>0</v>
      </c>
      <c r="AE10" s="188"/>
      <c r="AF10" s="26" t="s">
        <v>8</v>
      </c>
      <c r="AG10" s="191">
        <f t="shared" ref="AG10:AL10" si="26">L72*28</f>
        <v>0</v>
      </c>
      <c r="AH10" s="191">
        <f t="shared" si="26"/>
        <v>392</v>
      </c>
      <c r="AI10" s="191">
        <f t="shared" si="26"/>
        <v>1484</v>
      </c>
      <c r="AJ10" s="191">
        <f t="shared" si="26"/>
        <v>0</v>
      </c>
      <c r="AK10" s="56">
        <f t="shared" si="26"/>
        <v>0</v>
      </c>
      <c r="AL10" s="56">
        <f t="shared" si="26"/>
        <v>0</v>
      </c>
      <c r="AM10" s="27">
        <f t="shared" si="10"/>
        <v>1876</v>
      </c>
      <c r="AO10" s="26" t="s">
        <v>8</v>
      </c>
      <c r="AP10" s="191">
        <f t="shared" ref="AP10:AU10" si="27">L72</f>
        <v>0</v>
      </c>
      <c r="AQ10" s="191">
        <f t="shared" si="27"/>
        <v>14</v>
      </c>
      <c r="AR10" s="191">
        <f t="shared" si="27"/>
        <v>53</v>
      </c>
      <c r="AS10" s="191">
        <f t="shared" si="27"/>
        <v>0</v>
      </c>
      <c r="AT10" s="56">
        <f t="shared" si="27"/>
        <v>0</v>
      </c>
      <c r="AU10" s="56">
        <f t="shared" si="27"/>
        <v>0</v>
      </c>
      <c r="AV10" s="27">
        <f t="shared" si="12"/>
        <v>67</v>
      </c>
      <c r="AW10" s="188"/>
      <c r="AX10" s="26" t="s">
        <v>8</v>
      </c>
      <c r="AY10" s="191">
        <f t="shared" ref="AY10:BD10" si="28">L72*C80</f>
        <v>0</v>
      </c>
      <c r="AZ10" s="191">
        <f t="shared" si="28"/>
        <v>232397.9789</v>
      </c>
      <c r="BA10" s="191">
        <f t="shared" si="28"/>
        <v>751976.5016</v>
      </c>
      <c r="BB10" s="191">
        <f t="shared" si="28"/>
        <v>0</v>
      </c>
      <c r="BC10" s="56">
        <f t="shared" si="28"/>
        <v>0</v>
      </c>
      <c r="BD10" s="56">
        <f t="shared" si="28"/>
        <v>0</v>
      </c>
      <c r="BE10" s="27">
        <f t="shared" si="14"/>
        <v>984374.4805</v>
      </c>
    </row>
    <row r="11">
      <c r="A11" s="50"/>
      <c r="B11" s="26" t="s">
        <v>31</v>
      </c>
      <c r="C11" s="27">
        <v>1452.0</v>
      </c>
      <c r="D11" s="27">
        <v>11836.0</v>
      </c>
      <c r="E11" s="27">
        <v>13601.0</v>
      </c>
      <c r="F11" s="53">
        <v>4203.0</v>
      </c>
      <c r="G11" s="31"/>
      <c r="H11" s="31"/>
      <c r="I11" s="27">
        <f t="shared" si="5"/>
        <v>31092</v>
      </c>
      <c r="J11" s="188"/>
      <c r="K11" s="26" t="s">
        <v>31</v>
      </c>
      <c r="L11" s="191">
        <f t="shared" si="6"/>
        <v>27</v>
      </c>
      <c r="M11" s="191">
        <f t="shared" si="15"/>
        <v>227</v>
      </c>
      <c r="N11" s="191">
        <f t="shared" si="20"/>
        <v>261</v>
      </c>
      <c r="O11" s="191">
        <f t="shared" si="24"/>
        <v>80</v>
      </c>
      <c r="P11" s="191">
        <f t="shared" ref="P11:Q11" si="29">INT(G11/52)</f>
        <v>0</v>
      </c>
      <c r="Q11" s="191">
        <f t="shared" si="29"/>
        <v>0</v>
      </c>
      <c r="R11" s="27">
        <f t="shared" si="7"/>
        <v>595</v>
      </c>
      <c r="S11" s="29"/>
      <c r="T11" s="54" t="s">
        <v>31</v>
      </c>
      <c r="U11" s="52">
        <f>Q12-$R11</f>
        <v>-571</v>
      </c>
      <c r="W11" s="26" t="s">
        <v>31</v>
      </c>
      <c r="X11" s="27"/>
      <c r="Y11" s="27"/>
      <c r="Z11" s="27"/>
      <c r="AA11" s="27"/>
      <c r="AB11" s="27"/>
      <c r="AC11" s="27"/>
      <c r="AD11" s="27">
        <f t="shared" si="8"/>
        <v>0</v>
      </c>
      <c r="AE11" s="188"/>
      <c r="AF11" s="26" t="s">
        <v>31</v>
      </c>
      <c r="AG11" s="191">
        <f t="shared" ref="AG11:AL11" si="30">L73*28</f>
        <v>0</v>
      </c>
      <c r="AH11" s="191">
        <f t="shared" si="30"/>
        <v>0</v>
      </c>
      <c r="AI11" s="191">
        <f t="shared" si="30"/>
        <v>840</v>
      </c>
      <c r="AJ11" s="191">
        <f t="shared" si="30"/>
        <v>756</v>
      </c>
      <c r="AK11" s="56">
        <f t="shared" si="30"/>
        <v>0</v>
      </c>
      <c r="AL11" s="56">
        <f t="shared" si="30"/>
        <v>0</v>
      </c>
      <c r="AM11" s="27">
        <f t="shared" si="10"/>
        <v>1596</v>
      </c>
      <c r="AO11" s="26" t="s">
        <v>31</v>
      </c>
      <c r="AP11" s="191">
        <f t="shared" ref="AP11:AU11" si="31">L73</f>
        <v>0</v>
      </c>
      <c r="AQ11" s="191">
        <f t="shared" si="31"/>
        <v>0</v>
      </c>
      <c r="AR11" s="191">
        <f t="shared" si="31"/>
        <v>30</v>
      </c>
      <c r="AS11" s="191">
        <f t="shared" si="31"/>
        <v>27</v>
      </c>
      <c r="AT11" s="56">
        <f t="shared" si="31"/>
        <v>0</v>
      </c>
      <c r="AU11" s="56">
        <f t="shared" si="31"/>
        <v>0</v>
      </c>
      <c r="AV11" s="27">
        <f t="shared" si="12"/>
        <v>57</v>
      </c>
      <c r="AW11" s="188"/>
      <c r="AX11" s="26" t="s">
        <v>31</v>
      </c>
      <c r="AY11" s="191">
        <f t="shared" ref="AY11:BD11" si="32">L73*C81</f>
        <v>0</v>
      </c>
      <c r="AZ11" s="191">
        <f t="shared" si="32"/>
        <v>0</v>
      </c>
      <c r="BA11" s="191">
        <f t="shared" si="32"/>
        <v>536416.335</v>
      </c>
      <c r="BB11" s="191">
        <f t="shared" si="32"/>
        <v>386149.8252</v>
      </c>
      <c r="BC11" s="56">
        <f t="shared" si="32"/>
        <v>0</v>
      </c>
      <c r="BD11" s="56">
        <f t="shared" si="32"/>
        <v>0</v>
      </c>
      <c r="BE11" s="27">
        <f t="shared" si="14"/>
        <v>922566.1602</v>
      </c>
    </row>
    <row r="12">
      <c r="A12" s="50"/>
      <c r="B12" s="32" t="s">
        <v>48</v>
      </c>
      <c r="C12" s="33">
        <f t="shared" ref="C12:I12" si="33">SUM(C6:C11)</f>
        <v>10882</v>
      </c>
      <c r="D12" s="33">
        <f t="shared" si="33"/>
        <v>22212</v>
      </c>
      <c r="E12" s="33">
        <f t="shared" si="33"/>
        <v>21436</v>
      </c>
      <c r="F12" s="33">
        <f t="shared" si="33"/>
        <v>10067</v>
      </c>
      <c r="G12" s="33">
        <f t="shared" si="33"/>
        <v>31074</v>
      </c>
      <c r="H12" s="33">
        <f t="shared" si="33"/>
        <v>5646</v>
      </c>
      <c r="I12" s="33">
        <f t="shared" si="33"/>
        <v>101317</v>
      </c>
      <c r="J12" s="188"/>
      <c r="K12" s="32" t="s">
        <v>48</v>
      </c>
      <c r="L12" s="33">
        <f t="shared" ref="L12:R12" si="34">SUM(L6:L11)</f>
        <v>207</v>
      </c>
      <c r="M12" s="33">
        <f t="shared" si="34"/>
        <v>391</v>
      </c>
      <c r="N12" s="33">
        <f t="shared" si="34"/>
        <v>405</v>
      </c>
      <c r="O12" s="33">
        <f t="shared" si="34"/>
        <v>119</v>
      </c>
      <c r="P12" s="33">
        <f t="shared" si="34"/>
        <v>211</v>
      </c>
      <c r="Q12" s="33">
        <f t="shared" si="34"/>
        <v>24</v>
      </c>
      <c r="R12" s="33">
        <f t="shared" si="34"/>
        <v>1357</v>
      </c>
      <c r="S12" s="29"/>
      <c r="T12" s="32" t="s">
        <v>49</v>
      </c>
      <c r="U12" s="33">
        <f>SUM(U6:U11)</f>
        <v>0</v>
      </c>
      <c r="W12" s="32" t="s">
        <v>48</v>
      </c>
      <c r="X12" s="33">
        <f t="shared" ref="X12:AD12" si="35">SUM(X6:X11)</f>
        <v>0</v>
      </c>
      <c r="Y12" s="33">
        <f t="shared" si="35"/>
        <v>0</v>
      </c>
      <c r="Z12" s="33">
        <f t="shared" si="35"/>
        <v>0</v>
      </c>
      <c r="AA12" s="33">
        <f t="shared" si="35"/>
        <v>0</v>
      </c>
      <c r="AB12" s="33">
        <f t="shared" si="35"/>
        <v>154</v>
      </c>
      <c r="AC12" s="33">
        <f t="shared" si="35"/>
        <v>571</v>
      </c>
      <c r="AD12" s="33">
        <f t="shared" si="35"/>
        <v>725</v>
      </c>
      <c r="AE12" s="188"/>
      <c r="AF12" s="32" t="s">
        <v>48</v>
      </c>
      <c r="AG12" s="33">
        <f t="shared" ref="AG12:AM12" si="36">SUM(AG6:AG11)</f>
        <v>2688</v>
      </c>
      <c r="AH12" s="33">
        <f t="shared" si="36"/>
        <v>1568</v>
      </c>
      <c r="AI12" s="33">
        <f t="shared" si="36"/>
        <v>2828</v>
      </c>
      <c r="AJ12" s="33">
        <f t="shared" si="36"/>
        <v>756</v>
      </c>
      <c r="AK12" s="33">
        <f t="shared" si="36"/>
        <v>1876</v>
      </c>
      <c r="AL12" s="33">
        <f t="shared" si="36"/>
        <v>672</v>
      </c>
      <c r="AM12" s="33">
        <f t="shared" si="36"/>
        <v>10388</v>
      </c>
      <c r="AO12" s="32" t="s">
        <v>48</v>
      </c>
      <c r="AP12" s="33">
        <f t="shared" ref="AP12:AV12" si="37">SUM(AP6:AP11)</f>
        <v>96</v>
      </c>
      <c r="AQ12" s="33">
        <f t="shared" si="37"/>
        <v>56</v>
      </c>
      <c r="AR12" s="33">
        <f t="shared" si="37"/>
        <v>101</v>
      </c>
      <c r="AS12" s="33">
        <f t="shared" si="37"/>
        <v>27</v>
      </c>
      <c r="AT12" s="33">
        <f t="shared" si="37"/>
        <v>67</v>
      </c>
      <c r="AU12" s="33">
        <f t="shared" si="37"/>
        <v>24</v>
      </c>
      <c r="AV12" s="33">
        <f t="shared" si="37"/>
        <v>371</v>
      </c>
      <c r="AW12" s="188"/>
      <c r="AX12" s="32" t="s">
        <v>48</v>
      </c>
      <c r="AY12" s="33">
        <f t="shared" ref="AY12:BE12" si="38">SUM(AY6:AY11)</f>
        <v>1413158.651</v>
      </c>
      <c r="AZ12" s="33">
        <f t="shared" si="38"/>
        <v>467469.7984</v>
      </c>
      <c r="BA12" s="33">
        <f t="shared" si="38"/>
        <v>1442488.85</v>
      </c>
      <c r="BB12" s="33">
        <f t="shared" si="38"/>
        <v>386149.8252</v>
      </c>
      <c r="BC12" s="33">
        <f t="shared" si="38"/>
        <v>1255960.504</v>
      </c>
      <c r="BD12" s="33">
        <f t="shared" si="38"/>
        <v>479507.4106</v>
      </c>
      <c r="BE12" s="33">
        <f t="shared" si="38"/>
        <v>5444735.038</v>
      </c>
    </row>
    <row r="13">
      <c r="J13" s="188"/>
      <c r="S13" s="29"/>
      <c r="AE13" s="188"/>
      <c r="AW13" s="188"/>
      <c r="BD13" s="29" t="s">
        <v>395</v>
      </c>
      <c r="BE13" s="2">
        <f>SUM(AY6:BD11)</f>
        <v>5444735.038</v>
      </c>
    </row>
    <row r="14">
      <c r="A14" s="48"/>
      <c r="B14" s="19" t="s">
        <v>50</v>
      </c>
      <c r="C14" s="20"/>
      <c r="D14" s="20"/>
      <c r="E14" s="20"/>
      <c r="F14" s="20"/>
      <c r="G14" s="20"/>
      <c r="H14" s="20"/>
      <c r="I14" s="21"/>
      <c r="J14" s="188"/>
      <c r="K14" s="42" t="s">
        <v>396</v>
      </c>
      <c r="L14" s="20"/>
      <c r="M14" s="20"/>
      <c r="N14" s="20"/>
      <c r="O14" s="20"/>
      <c r="P14" s="20"/>
      <c r="Q14" s="20"/>
      <c r="R14" s="21"/>
      <c r="S14" s="29"/>
      <c r="T14" s="116" t="s">
        <v>55</v>
      </c>
      <c r="U14" s="21"/>
      <c r="W14" s="116" t="s">
        <v>245</v>
      </c>
      <c r="X14" s="20"/>
      <c r="Y14" s="20"/>
      <c r="Z14" s="20"/>
      <c r="AA14" s="20"/>
      <c r="AB14" s="20"/>
      <c r="AC14" s="20"/>
      <c r="AD14" s="21"/>
      <c r="AE14" s="188"/>
      <c r="AF14" s="42" t="s">
        <v>246</v>
      </c>
      <c r="AG14" s="20"/>
      <c r="AH14" s="20"/>
      <c r="AI14" s="20"/>
      <c r="AJ14" s="20"/>
      <c r="AK14" s="20"/>
      <c r="AL14" s="20"/>
      <c r="AM14" s="21"/>
      <c r="AO14" s="42" t="s">
        <v>397</v>
      </c>
      <c r="AP14" s="20"/>
      <c r="AQ14" s="20"/>
      <c r="AR14" s="20"/>
      <c r="AS14" s="20"/>
      <c r="AT14" s="20"/>
      <c r="AU14" s="20"/>
      <c r="AV14" s="21"/>
      <c r="AW14" s="188"/>
      <c r="AX14" s="42" t="s">
        <v>398</v>
      </c>
      <c r="AY14" s="20"/>
      <c r="AZ14" s="20"/>
      <c r="BA14" s="20"/>
      <c r="BB14" s="20"/>
      <c r="BC14" s="20"/>
      <c r="BD14" s="20"/>
      <c r="BE14" s="21"/>
    </row>
    <row r="15">
      <c r="A15" s="48"/>
      <c r="B15" s="4" t="s">
        <v>42</v>
      </c>
      <c r="C15" s="4" t="s">
        <v>25</v>
      </c>
      <c r="D15" s="4" t="s">
        <v>28</v>
      </c>
      <c r="E15" s="4" t="s">
        <v>9</v>
      </c>
      <c r="F15" s="49" t="s">
        <v>33</v>
      </c>
      <c r="G15" s="4" t="s">
        <v>8</v>
      </c>
      <c r="H15" s="4" t="s">
        <v>31</v>
      </c>
      <c r="I15" s="4" t="s">
        <v>43</v>
      </c>
      <c r="J15" s="188"/>
      <c r="K15" s="4" t="s">
        <v>42</v>
      </c>
      <c r="L15" s="4" t="s">
        <v>25</v>
      </c>
      <c r="M15" s="4" t="s">
        <v>28</v>
      </c>
      <c r="N15" s="4" t="s">
        <v>9</v>
      </c>
      <c r="O15" s="49" t="s">
        <v>33</v>
      </c>
      <c r="P15" s="4" t="s">
        <v>8</v>
      </c>
      <c r="Q15" s="4" t="s">
        <v>31</v>
      </c>
      <c r="R15" s="4" t="s">
        <v>43</v>
      </c>
      <c r="S15" s="29"/>
      <c r="T15" s="4" t="s">
        <v>44</v>
      </c>
      <c r="U15" s="49" t="s">
        <v>47</v>
      </c>
      <c r="W15" s="49" t="s">
        <v>42</v>
      </c>
      <c r="X15" s="49" t="s">
        <v>25</v>
      </c>
      <c r="Y15" s="49" t="s">
        <v>28</v>
      </c>
      <c r="Z15" s="49" t="s">
        <v>9</v>
      </c>
      <c r="AA15" s="49" t="s">
        <v>33</v>
      </c>
      <c r="AB15" s="49" t="s">
        <v>8</v>
      </c>
      <c r="AC15" s="49" t="s">
        <v>31</v>
      </c>
      <c r="AD15" s="49" t="s">
        <v>43</v>
      </c>
      <c r="AE15" s="188"/>
      <c r="AF15" s="4" t="s">
        <v>42</v>
      </c>
      <c r="AG15" s="4" t="s">
        <v>25</v>
      </c>
      <c r="AH15" s="49" t="s">
        <v>28</v>
      </c>
      <c r="AI15" s="4" t="s">
        <v>9</v>
      </c>
      <c r="AJ15" s="49" t="s">
        <v>33</v>
      </c>
      <c r="AK15" s="49" t="s">
        <v>8</v>
      </c>
      <c r="AL15" s="4" t="s">
        <v>31</v>
      </c>
      <c r="AM15" s="4" t="s">
        <v>43</v>
      </c>
      <c r="AO15" s="4" t="s">
        <v>42</v>
      </c>
      <c r="AP15" s="4" t="s">
        <v>25</v>
      </c>
      <c r="AQ15" s="49" t="s">
        <v>28</v>
      </c>
      <c r="AR15" s="4" t="s">
        <v>9</v>
      </c>
      <c r="AS15" s="49" t="s">
        <v>33</v>
      </c>
      <c r="AT15" s="49" t="s">
        <v>8</v>
      </c>
      <c r="AU15" s="4" t="s">
        <v>31</v>
      </c>
      <c r="AV15" s="4" t="s">
        <v>43</v>
      </c>
      <c r="AW15" s="188"/>
      <c r="AX15" s="4" t="s">
        <v>42</v>
      </c>
      <c r="AY15" s="4" t="s">
        <v>25</v>
      </c>
      <c r="AZ15" s="4" t="s">
        <v>28</v>
      </c>
      <c r="BA15" s="4" t="s">
        <v>9</v>
      </c>
      <c r="BB15" s="49" t="s">
        <v>33</v>
      </c>
      <c r="BC15" s="4" t="s">
        <v>8</v>
      </c>
      <c r="BD15" s="4" t="s">
        <v>31</v>
      </c>
      <c r="BE15" s="4" t="s">
        <v>43</v>
      </c>
    </row>
    <row r="16">
      <c r="A16" s="50"/>
      <c r="B16" s="26" t="s">
        <v>25</v>
      </c>
      <c r="C16" s="34"/>
      <c r="D16" s="27"/>
      <c r="E16" s="27">
        <v>1.0</v>
      </c>
      <c r="F16" s="27">
        <v>2.0</v>
      </c>
      <c r="G16" s="27"/>
      <c r="H16" s="27"/>
      <c r="I16" s="27">
        <f t="shared" ref="I16:I21" si="43">SUM(C16:H16)</f>
        <v>3</v>
      </c>
      <c r="J16" s="188"/>
      <c r="K16" s="26" t="s">
        <v>25</v>
      </c>
      <c r="L16" s="191">
        <f t="shared" ref="L16:Q16" si="39">INT(C16/52)</f>
        <v>0</v>
      </c>
      <c r="M16" s="191">
        <f t="shared" si="39"/>
        <v>0</v>
      </c>
      <c r="N16" s="191">
        <f t="shared" si="39"/>
        <v>0</v>
      </c>
      <c r="O16" s="191">
        <f t="shared" si="39"/>
        <v>0</v>
      </c>
      <c r="P16" s="191">
        <f t="shared" si="39"/>
        <v>0</v>
      </c>
      <c r="Q16" s="191">
        <f t="shared" si="39"/>
        <v>0</v>
      </c>
      <c r="R16" s="27">
        <f t="shared" ref="R16:R21" si="45">SUM(L16:Q16)</f>
        <v>0</v>
      </c>
      <c r="S16" s="29"/>
      <c r="T16" s="26" t="s">
        <v>25</v>
      </c>
      <c r="U16" s="52">
        <f>L32-R26</f>
        <v>-163</v>
      </c>
      <c r="W16" s="26" t="s">
        <v>25</v>
      </c>
      <c r="X16" s="27"/>
      <c r="Y16" s="27"/>
      <c r="Z16" s="27"/>
      <c r="AA16" s="27"/>
      <c r="AB16" s="27"/>
      <c r="AC16" s="27"/>
      <c r="AD16" s="27">
        <f t="shared" ref="AD16:AD21" si="46">SUM(X16:AC16)</f>
        <v>0</v>
      </c>
      <c r="AE16" s="188"/>
      <c r="AF16" s="26" t="s">
        <v>25</v>
      </c>
      <c r="AG16" s="56">
        <f t="shared" ref="AG16:AL16" si="40">L78*28</f>
        <v>0</v>
      </c>
      <c r="AH16" s="56">
        <f t="shared" si="40"/>
        <v>0</v>
      </c>
      <c r="AI16" s="191">
        <f t="shared" si="40"/>
        <v>4424</v>
      </c>
      <c r="AJ16" s="56">
        <f t="shared" si="40"/>
        <v>0</v>
      </c>
      <c r="AK16" s="191">
        <f t="shared" si="40"/>
        <v>29596</v>
      </c>
      <c r="AL16" s="191">
        <f t="shared" si="40"/>
        <v>2940</v>
      </c>
      <c r="AM16" s="27">
        <f t="shared" ref="AM16:AM21" si="48">SUM(AG16:AL16)</f>
        <v>36960</v>
      </c>
      <c r="AO16" s="26" t="s">
        <v>25</v>
      </c>
      <c r="AP16" s="56">
        <f t="shared" ref="AP16:AU16" si="41">L78*2</f>
        <v>0</v>
      </c>
      <c r="AQ16" s="56">
        <f t="shared" si="41"/>
        <v>0</v>
      </c>
      <c r="AR16" s="191">
        <f t="shared" si="41"/>
        <v>316</v>
      </c>
      <c r="AS16" s="56">
        <f t="shared" si="41"/>
        <v>0</v>
      </c>
      <c r="AT16" s="191">
        <f t="shared" si="41"/>
        <v>2114</v>
      </c>
      <c r="AU16" s="191">
        <f t="shared" si="41"/>
        <v>210</v>
      </c>
      <c r="AV16" s="27">
        <f t="shared" ref="AV16:AV21" si="50">SUM(AP16:AU16)</f>
        <v>2640</v>
      </c>
      <c r="AW16" s="188"/>
      <c r="AX16" s="26" t="s">
        <v>25</v>
      </c>
      <c r="AY16" s="56">
        <f t="shared" ref="AY16:BD16" si="42">L78*C76</f>
        <v>0</v>
      </c>
      <c r="AZ16" s="56">
        <f t="shared" si="42"/>
        <v>0</v>
      </c>
      <c r="BA16" s="191">
        <f t="shared" si="42"/>
        <v>2545969.768</v>
      </c>
      <c r="BB16" s="56">
        <f t="shared" si="42"/>
        <v>0</v>
      </c>
      <c r="BC16" s="191">
        <f t="shared" si="42"/>
        <v>21720998.15</v>
      </c>
      <c r="BD16" s="191">
        <f t="shared" si="42"/>
        <v>2465157.836</v>
      </c>
      <c r="BE16" s="27">
        <f t="shared" ref="BE16:BE21" si="52">SUM(AY16:BD16)</f>
        <v>26732125.75</v>
      </c>
    </row>
    <row r="17">
      <c r="A17" s="50"/>
      <c r="B17" s="26" t="s">
        <v>28</v>
      </c>
      <c r="C17" s="34"/>
      <c r="D17" s="27"/>
      <c r="E17" s="27"/>
      <c r="F17" s="27"/>
      <c r="G17" s="27"/>
      <c r="H17" s="27"/>
      <c r="I17" s="27">
        <f t="shared" si="43"/>
        <v>0</v>
      </c>
      <c r="J17" s="188"/>
      <c r="K17" s="26" t="s">
        <v>28</v>
      </c>
      <c r="L17" s="191">
        <f t="shared" ref="L17:Q17" si="44">INT(C17/52)</f>
        <v>0</v>
      </c>
      <c r="M17" s="191">
        <f t="shared" si="44"/>
        <v>0</v>
      </c>
      <c r="N17" s="191">
        <f t="shared" si="44"/>
        <v>0</v>
      </c>
      <c r="O17" s="191">
        <f t="shared" si="44"/>
        <v>0</v>
      </c>
      <c r="P17" s="191">
        <f t="shared" si="44"/>
        <v>0</v>
      </c>
      <c r="Q17" s="191">
        <f t="shared" si="44"/>
        <v>0</v>
      </c>
      <c r="R17" s="27">
        <f t="shared" si="45"/>
        <v>0</v>
      </c>
      <c r="S17" s="29"/>
      <c r="T17" s="26" t="s">
        <v>28</v>
      </c>
      <c r="U17" s="52">
        <f>M32-R27</f>
        <v>630</v>
      </c>
      <c r="W17" s="26" t="s">
        <v>28</v>
      </c>
      <c r="X17" s="27"/>
      <c r="Y17" s="27"/>
      <c r="Z17" s="27"/>
      <c r="AA17" s="27"/>
      <c r="AB17" s="27"/>
      <c r="AC17" s="27">
        <f>U17</f>
        <v>630</v>
      </c>
      <c r="AD17" s="27">
        <f t="shared" si="46"/>
        <v>630</v>
      </c>
      <c r="AE17" s="188"/>
      <c r="AF17" s="26" t="s">
        <v>28</v>
      </c>
      <c r="AG17" s="191">
        <f t="shared" ref="AG17:AL17" si="47">L79*28</f>
        <v>5544</v>
      </c>
      <c r="AH17" s="56">
        <f t="shared" si="47"/>
        <v>0</v>
      </c>
      <c r="AI17" s="56">
        <f t="shared" si="47"/>
        <v>0</v>
      </c>
      <c r="AJ17" s="56">
        <f t="shared" si="47"/>
        <v>0</v>
      </c>
      <c r="AK17" s="56">
        <f t="shared" si="47"/>
        <v>0</v>
      </c>
      <c r="AL17" s="56">
        <f t="shared" si="47"/>
        <v>0</v>
      </c>
      <c r="AM17" s="27">
        <f t="shared" si="48"/>
        <v>5544</v>
      </c>
      <c r="AO17" s="26" t="s">
        <v>28</v>
      </c>
      <c r="AP17" s="191">
        <f t="shared" ref="AP17:AU17" si="49">L79*2</f>
        <v>396</v>
      </c>
      <c r="AQ17" s="56">
        <f t="shared" si="49"/>
        <v>0</v>
      </c>
      <c r="AR17" s="56">
        <f t="shared" si="49"/>
        <v>0</v>
      </c>
      <c r="AS17" s="56">
        <f t="shared" si="49"/>
        <v>0</v>
      </c>
      <c r="AT17" s="56">
        <f t="shared" si="49"/>
        <v>0</v>
      </c>
      <c r="AU17" s="56">
        <f t="shared" si="49"/>
        <v>0</v>
      </c>
      <c r="AV17" s="27">
        <f t="shared" si="50"/>
        <v>396</v>
      </c>
      <c r="AW17" s="188"/>
      <c r="AX17" s="26" t="s">
        <v>28</v>
      </c>
      <c r="AY17" s="191">
        <f t="shared" ref="AY17:BD17" si="51">L79*C77</f>
        <v>2717108.307</v>
      </c>
      <c r="AZ17" s="56">
        <f t="shared" si="51"/>
        <v>0</v>
      </c>
      <c r="BA17" s="56">
        <f t="shared" si="51"/>
        <v>0</v>
      </c>
      <c r="BB17" s="56">
        <f t="shared" si="51"/>
        <v>0</v>
      </c>
      <c r="BC17" s="56">
        <f t="shared" si="51"/>
        <v>0</v>
      </c>
      <c r="BD17" s="56">
        <f t="shared" si="51"/>
        <v>0</v>
      </c>
      <c r="BE17" s="27">
        <f t="shared" si="52"/>
        <v>2717108.307</v>
      </c>
    </row>
    <row r="18">
      <c r="A18" s="50"/>
      <c r="B18" s="26" t="s">
        <v>9</v>
      </c>
      <c r="C18" s="34"/>
      <c r="D18" s="27">
        <v>3.0</v>
      </c>
      <c r="E18" s="27"/>
      <c r="F18" s="27"/>
      <c r="G18" s="27">
        <v>1.0</v>
      </c>
      <c r="H18" s="27">
        <v>4.0</v>
      </c>
      <c r="I18" s="27">
        <f t="shared" si="43"/>
        <v>8</v>
      </c>
      <c r="J18" s="188"/>
      <c r="K18" s="26" t="s">
        <v>9</v>
      </c>
      <c r="L18" s="191">
        <f t="shared" ref="L18:Q18" si="53">INT(C18/52)</f>
        <v>0</v>
      </c>
      <c r="M18" s="191">
        <f t="shared" si="53"/>
        <v>0</v>
      </c>
      <c r="N18" s="191">
        <f t="shared" si="53"/>
        <v>0</v>
      </c>
      <c r="O18" s="191">
        <f t="shared" si="53"/>
        <v>0</v>
      </c>
      <c r="P18" s="191">
        <f t="shared" si="53"/>
        <v>0</v>
      </c>
      <c r="Q18" s="191">
        <f t="shared" si="53"/>
        <v>0</v>
      </c>
      <c r="R18" s="27">
        <f t="shared" si="45"/>
        <v>0</v>
      </c>
      <c r="S18" s="29"/>
      <c r="T18" s="54" t="s">
        <v>9</v>
      </c>
      <c r="U18" s="52">
        <f>N32-R28</f>
        <v>429</v>
      </c>
      <c r="W18" s="26" t="s">
        <v>9</v>
      </c>
      <c r="X18" s="27">
        <f>U18-(U18+U16+X19)</f>
        <v>160</v>
      </c>
      <c r="Y18" s="27"/>
      <c r="Z18" s="27"/>
      <c r="AA18" s="27"/>
      <c r="AB18" s="27">
        <f>U18-(U18+U20)</f>
        <v>187</v>
      </c>
      <c r="AC18" s="27">
        <f>U18-X18-AB18</f>
        <v>82</v>
      </c>
      <c r="AD18" s="27">
        <f t="shared" si="46"/>
        <v>429</v>
      </c>
      <c r="AE18" s="188"/>
      <c r="AF18" s="26" t="s">
        <v>9</v>
      </c>
      <c r="AG18" s="191">
        <f t="shared" ref="AG18:AL18" si="54">L80*28</f>
        <v>9408</v>
      </c>
      <c r="AH18" s="191">
        <f t="shared" si="54"/>
        <v>2716</v>
      </c>
      <c r="AI18" s="56">
        <f t="shared" si="54"/>
        <v>0</v>
      </c>
      <c r="AJ18" s="56">
        <f t="shared" si="54"/>
        <v>0</v>
      </c>
      <c r="AK18" s="191">
        <f t="shared" si="54"/>
        <v>0</v>
      </c>
      <c r="AL18" s="191">
        <f t="shared" si="54"/>
        <v>2296</v>
      </c>
      <c r="AM18" s="27">
        <f t="shared" si="48"/>
        <v>14420</v>
      </c>
      <c r="AO18" s="26" t="s">
        <v>9</v>
      </c>
      <c r="AP18" s="191">
        <f t="shared" ref="AP18:AU18" si="55">L80*2</f>
        <v>672</v>
      </c>
      <c r="AQ18" s="191">
        <f t="shared" si="55"/>
        <v>194</v>
      </c>
      <c r="AR18" s="56">
        <f t="shared" si="55"/>
        <v>0</v>
      </c>
      <c r="AS18" s="56">
        <f t="shared" si="55"/>
        <v>0</v>
      </c>
      <c r="AT18" s="191">
        <f t="shared" si="55"/>
        <v>0</v>
      </c>
      <c r="AU18" s="191">
        <f t="shared" si="55"/>
        <v>164</v>
      </c>
      <c r="AV18" s="27">
        <f t="shared" si="50"/>
        <v>1030</v>
      </c>
      <c r="AW18" s="188"/>
      <c r="AX18" s="26" t="s">
        <v>9</v>
      </c>
      <c r="AY18" s="191">
        <f t="shared" ref="AY18:BD18" si="56">L80*C78</f>
        <v>5414214.191</v>
      </c>
      <c r="AZ18" s="191">
        <f t="shared" si="56"/>
        <v>444557.7318</v>
      </c>
      <c r="BA18" s="56">
        <f t="shared" si="56"/>
        <v>0</v>
      </c>
      <c r="BB18" s="56">
        <f t="shared" si="56"/>
        <v>0</v>
      </c>
      <c r="BC18" s="191">
        <f t="shared" si="56"/>
        <v>0</v>
      </c>
      <c r="BD18" s="191">
        <f t="shared" si="56"/>
        <v>1466204.649</v>
      </c>
      <c r="BE18" s="27">
        <f t="shared" si="52"/>
        <v>7324976.572</v>
      </c>
    </row>
    <row r="19">
      <c r="A19" s="50"/>
      <c r="B19" s="26" t="s">
        <v>33</v>
      </c>
      <c r="C19" s="8"/>
      <c r="D19" s="55">
        <v>4.0</v>
      </c>
      <c r="E19" s="55">
        <v>2.0</v>
      </c>
      <c r="F19" s="31"/>
      <c r="G19" s="51">
        <v>2.0</v>
      </c>
      <c r="H19" s="55">
        <v>2.0</v>
      </c>
      <c r="I19" s="27">
        <f t="shared" si="43"/>
        <v>10</v>
      </c>
      <c r="J19" s="188"/>
      <c r="K19" s="26" t="s">
        <v>33</v>
      </c>
      <c r="L19" s="191">
        <f t="shared" ref="L19:Q19" si="57">INT(C19/52)</f>
        <v>0</v>
      </c>
      <c r="M19" s="191">
        <f t="shared" si="57"/>
        <v>0</v>
      </c>
      <c r="N19" s="191">
        <f t="shared" si="57"/>
        <v>0</v>
      </c>
      <c r="O19" s="191">
        <f t="shared" si="57"/>
        <v>0</v>
      </c>
      <c r="P19" s="191">
        <f t="shared" si="57"/>
        <v>0</v>
      </c>
      <c r="Q19" s="191">
        <f t="shared" si="57"/>
        <v>0</v>
      </c>
      <c r="R19" s="27">
        <f t="shared" si="45"/>
        <v>0</v>
      </c>
      <c r="S19" s="29"/>
      <c r="T19" s="54" t="s">
        <v>33</v>
      </c>
      <c r="U19" s="52">
        <f>O32-R29</f>
        <v>3</v>
      </c>
      <c r="W19" s="26" t="s">
        <v>33</v>
      </c>
      <c r="X19" s="27">
        <f>U19</f>
        <v>3</v>
      </c>
      <c r="Y19" s="27"/>
      <c r="Z19" s="27"/>
      <c r="AA19" s="27"/>
      <c r="AB19" s="27"/>
      <c r="AC19" s="27"/>
      <c r="AD19" s="27">
        <f t="shared" si="46"/>
        <v>3</v>
      </c>
      <c r="AE19" s="188"/>
      <c r="AF19" s="26" t="s">
        <v>33</v>
      </c>
      <c r="AG19" s="191">
        <f t="shared" ref="AG19:AL19" si="58">L81*28</f>
        <v>1736</v>
      </c>
      <c r="AH19" s="191">
        <f t="shared" si="58"/>
        <v>616</v>
      </c>
      <c r="AI19" s="191">
        <f t="shared" si="58"/>
        <v>0</v>
      </c>
      <c r="AJ19" s="56">
        <f t="shared" si="58"/>
        <v>0</v>
      </c>
      <c r="AK19" s="56">
        <f t="shared" si="58"/>
        <v>0</v>
      </c>
      <c r="AL19" s="56">
        <f t="shared" si="58"/>
        <v>0</v>
      </c>
      <c r="AM19" s="27">
        <f t="shared" si="48"/>
        <v>2352</v>
      </c>
      <c r="AO19" s="26" t="s">
        <v>33</v>
      </c>
      <c r="AP19" s="191">
        <f t="shared" ref="AP19:AU19" si="59">L81*2</f>
        <v>124</v>
      </c>
      <c r="AQ19" s="191">
        <f t="shared" si="59"/>
        <v>44</v>
      </c>
      <c r="AR19" s="191">
        <f t="shared" si="59"/>
        <v>0</v>
      </c>
      <c r="AS19" s="56">
        <f t="shared" si="59"/>
        <v>0</v>
      </c>
      <c r="AT19" s="56">
        <f t="shared" si="59"/>
        <v>0</v>
      </c>
      <c r="AU19" s="56">
        <f t="shared" si="59"/>
        <v>0</v>
      </c>
      <c r="AV19" s="27">
        <f t="shared" si="50"/>
        <v>168</v>
      </c>
      <c r="AW19" s="188"/>
      <c r="AX19" s="26" t="s">
        <v>33</v>
      </c>
      <c r="AY19" s="191">
        <f t="shared" ref="AY19:BD19" si="60">L81*C79</f>
        <v>1007375.906</v>
      </c>
      <c r="AZ19" s="191">
        <f t="shared" si="60"/>
        <v>167743.5199</v>
      </c>
      <c r="BA19" s="191">
        <f t="shared" si="60"/>
        <v>0</v>
      </c>
      <c r="BB19" s="56">
        <f t="shared" si="60"/>
        <v>0</v>
      </c>
      <c r="BC19" s="56">
        <f t="shared" si="60"/>
        <v>0</v>
      </c>
      <c r="BD19" s="56">
        <f t="shared" si="60"/>
        <v>0</v>
      </c>
      <c r="BE19" s="27">
        <f t="shared" si="52"/>
        <v>1175119.426</v>
      </c>
    </row>
    <row r="20">
      <c r="A20" s="50"/>
      <c r="B20" s="26" t="s">
        <v>8</v>
      </c>
      <c r="C20" s="34"/>
      <c r="D20" s="27">
        <v>17.0</v>
      </c>
      <c r="E20" s="27">
        <v>16.0</v>
      </c>
      <c r="F20" s="56">
        <v>2.0</v>
      </c>
      <c r="G20" s="56"/>
      <c r="H20" s="56"/>
      <c r="I20" s="27">
        <f t="shared" si="43"/>
        <v>35</v>
      </c>
      <c r="J20" s="188"/>
      <c r="K20" s="26" t="s">
        <v>8</v>
      </c>
      <c r="L20" s="191">
        <f t="shared" ref="L20:Q20" si="61">INT(C20/52)</f>
        <v>0</v>
      </c>
      <c r="M20" s="191">
        <f t="shared" si="61"/>
        <v>0</v>
      </c>
      <c r="N20" s="191">
        <f t="shared" si="61"/>
        <v>0</v>
      </c>
      <c r="O20" s="191">
        <f t="shared" si="61"/>
        <v>0</v>
      </c>
      <c r="P20" s="191">
        <f t="shared" si="61"/>
        <v>0</v>
      </c>
      <c r="Q20" s="191">
        <f t="shared" si="61"/>
        <v>0</v>
      </c>
      <c r="R20" s="27">
        <f t="shared" si="45"/>
        <v>0</v>
      </c>
      <c r="S20" s="29"/>
      <c r="T20" s="54" t="s">
        <v>8</v>
      </c>
      <c r="U20" s="52">
        <f>P32-R30</f>
        <v>-187</v>
      </c>
      <c r="W20" s="26" t="s">
        <v>8</v>
      </c>
      <c r="X20" s="27"/>
      <c r="Y20" s="27"/>
      <c r="Z20" s="27"/>
      <c r="AA20" s="27"/>
      <c r="AB20" s="27"/>
      <c r="AC20" s="27"/>
      <c r="AD20" s="27">
        <f t="shared" si="46"/>
        <v>0</v>
      </c>
      <c r="AE20" s="188"/>
      <c r="AF20" s="26" t="s">
        <v>8</v>
      </c>
      <c r="AG20" s="191">
        <f t="shared" ref="AG20:AL20" si="62">L82*28</f>
        <v>9688</v>
      </c>
      <c r="AH20" s="191">
        <f t="shared" si="62"/>
        <v>2212</v>
      </c>
      <c r="AI20" s="191">
        <f t="shared" si="62"/>
        <v>15344</v>
      </c>
      <c r="AJ20" s="191">
        <f t="shared" si="62"/>
        <v>2352</v>
      </c>
      <c r="AK20" s="56">
        <f t="shared" si="62"/>
        <v>0</v>
      </c>
      <c r="AL20" s="56">
        <f t="shared" si="62"/>
        <v>0</v>
      </c>
      <c r="AM20" s="27">
        <f t="shared" si="48"/>
        <v>29596</v>
      </c>
      <c r="AO20" s="26" t="s">
        <v>8</v>
      </c>
      <c r="AP20" s="191">
        <f t="shared" ref="AP20:AU20" si="63">L82*2</f>
        <v>692</v>
      </c>
      <c r="AQ20" s="191">
        <f t="shared" si="63"/>
        <v>158</v>
      </c>
      <c r="AR20" s="191">
        <f t="shared" si="63"/>
        <v>1096</v>
      </c>
      <c r="AS20" s="191">
        <f t="shared" si="63"/>
        <v>168</v>
      </c>
      <c r="AT20" s="56">
        <f t="shared" si="63"/>
        <v>0</v>
      </c>
      <c r="AU20" s="56">
        <f t="shared" si="63"/>
        <v>0</v>
      </c>
      <c r="AV20" s="27">
        <f t="shared" si="50"/>
        <v>2114</v>
      </c>
      <c r="AW20" s="188"/>
      <c r="AX20" s="26" t="s">
        <v>8</v>
      </c>
      <c r="AY20" s="191">
        <f t="shared" ref="AY20:BD20" si="64">L82*C80</f>
        <v>7110184.825</v>
      </c>
      <c r="AZ20" s="191">
        <f t="shared" si="64"/>
        <v>1311388.595</v>
      </c>
      <c r="BA20" s="191">
        <f t="shared" si="64"/>
        <v>7775153.262</v>
      </c>
      <c r="BB20" s="191">
        <f t="shared" si="64"/>
        <v>889032.1789</v>
      </c>
      <c r="BC20" s="56">
        <f t="shared" si="64"/>
        <v>0</v>
      </c>
      <c r="BD20" s="56">
        <f t="shared" si="64"/>
        <v>0</v>
      </c>
      <c r="BE20" s="27">
        <f t="shared" si="52"/>
        <v>17085758.86</v>
      </c>
    </row>
    <row r="21" ht="15.75" customHeight="1">
      <c r="A21" s="50"/>
      <c r="B21" s="26" t="s">
        <v>31</v>
      </c>
      <c r="C21" s="34"/>
      <c r="D21" s="27">
        <v>7.0</v>
      </c>
      <c r="E21" s="27">
        <v>9.0</v>
      </c>
      <c r="F21" s="56"/>
      <c r="G21" s="56"/>
      <c r="H21" s="56"/>
      <c r="I21" s="27">
        <f t="shared" si="43"/>
        <v>16</v>
      </c>
      <c r="J21" s="188"/>
      <c r="K21" s="26" t="s">
        <v>31</v>
      </c>
      <c r="L21" s="191">
        <f t="shared" ref="L21:Q21" si="65">INT(C21/52)</f>
        <v>0</v>
      </c>
      <c r="M21" s="191">
        <f t="shared" si="65"/>
        <v>0</v>
      </c>
      <c r="N21" s="191">
        <f t="shared" si="65"/>
        <v>0</v>
      </c>
      <c r="O21" s="191">
        <f t="shared" si="65"/>
        <v>0</v>
      </c>
      <c r="P21" s="191">
        <f t="shared" si="65"/>
        <v>0</v>
      </c>
      <c r="Q21" s="191">
        <f t="shared" si="65"/>
        <v>0</v>
      </c>
      <c r="R21" s="27">
        <f t="shared" si="45"/>
        <v>0</v>
      </c>
      <c r="S21" s="29"/>
      <c r="T21" s="54" t="s">
        <v>31</v>
      </c>
      <c r="U21" s="52">
        <f>Q32-R31</f>
        <v>-712</v>
      </c>
      <c r="W21" s="26" t="s">
        <v>31</v>
      </c>
      <c r="X21" s="27"/>
      <c r="Y21" s="27"/>
      <c r="Z21" s="27"/>
      <c r="AA21" s="27"/>
      <c r="AB21" s="27"/>
      <c r="AC21" s="27"/>
      <c r="AD21" s="27">
        <f t="shared" si="46"/>
        <v>0</v>
      </c>
      <c r="AE21" s="188"/>
      <c r="AF21" s="26" t="s">
        <v>31</v>
      </c>
      <c r="AG21" s="191">
        <f t="shared" ref="AG21:AL21" si="66">L83*28</f>
        <v>5236</v>
      </c>
      <c r="AH21" s="191">
        <f t="shared" si="66"/>
        <v>0</v>
      </c>
      <c r="AI21" s="191">
        <f t="shared" si="66"/>
        <v>0</v>
      </c>
      <c r="AJ21" s="191">
        <f t="shared" si="66"/>
        <v>0</v>
      </c>
      <c r="AK21" s="56">
        <f t="shared" si="66"/>
        <v>0</v>
      </c>
      <c r="AL21" s="56">
        <f t="shared" si="66"/>
        <v>0</v>
      </c>
      <c r="AM21" s="27">
        <f t="shared" si="48"/>
        <v>5236</v>
      </c>
      <c r="AO21" s="26" t="s">
        <v>31</v>
      </c>
      <c r="AP21" s="191">
        <f t="shared" ref="AP21:AU21" si="67">L83*2</f>
        <v>374</v>
      </c>
      <c r="AQ21" s="191">
        <f t="shared" si="67"/>
        <v>0</v>
      </c>
      <c r="AR21" s="191">
        <f t="shared" si="67"/>
        <v>0</v>
      </c>
      <c r="AS21" s="191">
        <f t="shared" si="67"/>
        <v>0</v>
      </c>
      <c r="AT21" s="56">
        <f t="shared" si="67"/>
        <v>0</v>
      </c>
      <c r="AU21" s="56">
        <f t="shared" si="67"/>
        <v>0</v>
      </c>
      <c r="AV21" s="27">
        <f t="shared" si="50"/>
        <v>374</v>
      </c>
      <c r="AW21" s="188"/>
      <c r="AX21" s="26" t="s">
        <v>31</v>
      </c>
      <c r="AY21" s="191">
        <f t="shared" ref="AY21:BD21" si="68">L83*C81</f>
        <v>4390328.718</v>
      </c>
      <c r="AZ21" s="191">
        <f t="shared" si="68"/>
        <v>0</v>
      </c>
      <c r="BA21" s="191">
        <f t="shared" si="68"/>
        <v>0</v>
      </c>
      <c r="BB21" s="191">
        <f t="shared" si="68"/>
        <v>0</v>
      </c>
      <c r="BC21" s="56">
        <f t="shared" si="68"/>
        <v>0</v>
      </c>
      <c r="BD21" s="56">
        <f t="shared" si="68"/>
        <v>0</v>
      </c>
      <c r="BE21" s="27">
        <f t="shared" si="52"/>
        <v>4390328.718</v>
      </c>
    </row>
    <row r="22" ht="15.75" customHeight="1">
      <c r="A22" s="50"/>
      <c r="B22" s="32" t="s">
        <v>48</v>
      </c>
      <c r="C22" s="35">
        <f t="shared" ref="C22:I22" si="69">SUM(C16:C21)</f>
        <v>0</v>
      </c>
      <c r="D22" s="35">
        <f t="shared" si="69"/>
        <v>31</v>
      </c>
      <c r="E22" s="35">
        <f t="shared" si="69"/>
        <v>28</v>
      </c>
      <c r="F22" s="35">
        <f t="shared" si="69"/>
        <v>4</v>
      </c>
      <c r="G22" s="35">
        <f t="shared" si="69"/>
        <v>3</v>
      </c>
      <c r="H22" s="35">
        <f t="shared" si="69"/>
        <v>6</v>
      </c>
      <c r="I22" s="33">
        <f t="shared" si="69"/>
        <v>72</v>
      </c>
      <c r="J22" s="188"/>
      <c r="K22" s="32" t="s">
        <v>48</v>
      </c>
      <c r="L22" s="35">
        <f t="shared" ref="L22:R22" si="70">SUM(L16:L21)</f>
        <v>0</v>
      </c>
      <c r="M22" s="35">
        <f t="shared" si="70"/>
        <v>0</v>
      </c>
      <c r="N22" s="35">
        <f t="shared" si="70"/>
        <v>0</v>
      </c>
      <c r="O22" s="35">
        <f t="shared" si="70"/>
        <v>0</v>
      </c>
      <c r="P22" s="35">
        <f t="shared" si="70"/>
        <v>0</v>
      </c>
      <c r="Q22" s="35">
        <f t="shared" si="70"/>
        <v>0</v>
      </c>
      <c r="R22" s="33">
        <f t="shared" si="70"/>
        <v>0</v>
      </c>
      <c r="S22" s="29"/>
      <c r="T22" s="32" t="s">
        <v>49</v>
      </c>
      <c r="U22" s="33">
        <f>SUM(U16:U21)</f>
        <v>0</v>
      </c>
      <c r="W22" s="32" t="s">
        <v>48</v>
      </c>
      <c r="X22" s="33">
        <f t="shared" ref="X22:AD22" si="71">SUM(X16:X21)</f>
        <v>163</v>
      </c>
      <c r="Y22" s="33">
        <f t="shared" si="71"/>
        <v>0</v>
      </c>
      <c r="Z22" s="33">
        <f t="shared" si="71"/>
        <v>0</v>
      </c>
      <c r="AA22" s="33">
        <f t="shared" si="71"/>
        <v>0</v>
      </c>
      <c r="AB22" s="33">
        <f t="shared" si="71"/>
        <v>187</v>
      </c>
      <c r="AC22" s="33">
        <f t="shared" si="71"/>
        <v>712</v>
      </c>
      <c r="AD22" s="33">
        <f t="shared" si="71"/>
        <v>1062</v>
      </c>
      <c r="AE22" s="188"/>
      <c r="AF22" s="32" t="s">
        <v>48</v>
      </c>
      <c r="AG22" s="33">
        <f t="shared" ref="AG22:AM22" si="72">SUM(AG16:AG21)</f>
        <v>31612</v>
      </c>
      <c r="AH22" s="33">
        <f t="shared" si="72"/>
        <v>5544</v>
      </c>
      <c r="AI22" s="33">
        <f t="shared" si="72"/>
        <v>19768</v>
      </c>
      <c r="AJ22" s="33">
        <f t="shared" si="72"/>
        <v>2352</v>
      </c>
      <c r="AK22" s="33">
        <f t="shared" si="72"/>
        <v>29596</v>
      </c>
      <c r="AL22" s="33">
        <f t="shared" si="72"/>
        <v>5236</v>
      </c>
      <c r="AM22" s="33">
        <f t="shared" si="72"/>
        <v>94108</v>
      </c>
      <c r="AO22" s="32" t="s">
        <v>48</v>
      </c>
      <c r="AP22" s="33">
        <f t="shared" ref="AP22:AV22" si="73">SUM(AP16:AP21)</f>
        <v>2258</v>
      </c>
      <c r="AQ22" s="33">
        <f t="shared" si="73"/>
        <v>396</v>
      </c>
      <c r="AR22" s="33">
        <f t="shared" si="73"/>
        <v>1412</v>
      </c>
      <c r="AS22" s="33">
        <f t="shared" si="73"/>
        <v>168</v>
      </c>
      <c r="AT22" s="33">
        <f t="shared" si="73"/>
        <v>2114</v>
      </c>
      <c r="AU22" s="33">
        <f t="shared" si="73"/>
        <v>374</v>
      </c>
      <c r="AV22" s="33">
        <f t="shared" si="73"/>
        <v>6722</v>
      </c>
      <c r="AW22" s="188"/>
      <c r="AX22" s="32" t="s">
        <v>48</v>
      </c>
      <c r="AY22" s="33">
        <f t="shared" ref="AY22:BE22" si="74">SUM(AY16:AY21)</f>
        <v>20639211.95</v>
      </c>
      <c r="AZ22" s="33">
        <f t="shared" si="74"/>
        <v>1923689.847</v>
      </c>
      <c r="BA22" s="33">
        <f t="shared" si="74"/>
        <v>10321123.03</v>
      </c>
      <c r="BB22" s="33">
        <f t="shared" si="74"/>
        <v>889032.1789</v>
      </c>
      <c r="BC22" s="33">
        <f t="shared" si="74"/>
        <v>21720998.15</v>
      </c>
      <c r="BD22" s="33">
        <f t="shared" si="74"/>
        <v>3931362.485</v>
      </c>
      <c r="BE22" s="33">
        <f t="shared" si="74"/>
        <v>59425417.64</v>
      </c>
    </row>
    <row r="23" ht="15.75" customHeight="1">
      <c r="J23" s="188"/>
      <c r="S23" s="29"/>
      <c r="AE23" s="188"/>
      <c r="AW23" s="188"/>
      <c r="BD23" s="29" t="s">
        <v>395</v>
      </c>
      <c r="BE23" s="2">
        <f>SUM(AY16:BD21)</f>
        <v>59425417.64</v>
      </c>
    </row>
    <row r="24" ht="15.75" customHeight="1">
      <c r="A24" s="48"/>
      <c r="B24" s="19" t="s">
        <v>52</v>
      </c>
      <c r="C24" s="20"/>
      <c r="D24" s="20"/>
      <c r="E24" s="20"/>
      <c r="F24" s="20"/>
      <c r="G24" s="20"/>
      <c r="H24" s="20"/>
      <c r="I24" s="21"/>
      <c r="J24" s="188"/>
      <c r="K24" s="42" t="s">
        <v>398</v>
      </c>
      <c r="L24" s="20"/>
      <c r="M24" s="20"/>
      <c r="N24" s="20"/>
      <c r="O24" s="20"/>
      <c r="P24" s="20"/>
      <c r="Q24" s="20"/>
      <c r="R24" s="21"/>
      <c r="S24" s="29"/>
      <c r="T24" s="116" t="s">
        <v>55</v>
      </c>
      <c r="U24" s="21"/>
      <c r="W24" s="116" t="s">
        <v>251</v>
      </c>
      <c r="X24" s="20"/>
      <c r="Y24" s="20"/>
      <c r="Z24" s="20"/>
      <c r="AA24" s="20"/>
      <c r="AB24" s="20"/>
      <c r="AC24" s="20"/>
      <c r="AD24" s="21"/>
      <c r="AE24" s="188"/>
      <c r="AF24" s="42" t="s">
        <v>252</v>
      </c>
      <c r="AG24" s="20"/>
      <c r="AH24" s="20"/>
      <c r="AI24" s="20"/>
      <c r="AJ24" s="20"/>
      <c r="AK24" s="20"/>
      <c r="AL24" s="20"/>
      <c r="AM24" s="21"/>
      <c r="AO24" s="42" t="s">
        <v>399</v>
      </c>
      <c r="AP24" s="20"/>
      <c r="AQ24" s="20"/>
      <c r="AR24" s="20"/>
      <c r="AS24" s="20"/>
      <c r="AT24" s="20"/>
      <c r="AU24" s="20"/>
      <c r="AV24" s="21"/>
      <c r="AW24" s="188"/>
      <c r="AX24" s="42" t="s">
        <v>400</v>
      </c>
      <c r="AY24" s="20"/>
      <c r="AZ24" s="20"/>
      <c r="BA24" s="20"/>
      <c r="BB24" s="20"/>
      <c r="BC24" s="20"/>
      <c r="BD24" s="20"/>
      <c r="BE24" s="21"/>
    </row>
    <row r="25" ht="15.75" customHeight="1">
      <c r="A25" s="48"/>
      <c r="B25" s="4" t="s">
        <v>42</v>
      </c>
      <c r="C25" s="4" t="s">
        <v>25</v>
      </c>
      <c r="D25" s="4" t="s">
        <v>28</v>
      </c>
      <c r="E25" s="4" t="s">
        <v>9</v>
      </c>
      <c r="F25" s="49" t="s">
        <v>33</v>
      </c>
      <c r="G25" s="4" t="s">
        <v>8</v>
      </c>
      <c r="H25" s="4" t="s">
        <v>31</v>
      </c>
      <c r="I25" s="4" t="s">
        <v>43</v>
      </c>
      <c r="J25" s="188"/>
      <c r="K25" s="4" t="s">
        <v>42</v>
      </c>
      <c r="L25" s="4" t="s">
        <v>25</v>
      </c>
      <c r="M25" s="4" t="s">
        <v>28</v>
      </c>
      <c r="N25" s="4" t="s">
        <v>9</v>
      </c>
      <c r="O25" s="49" t="s">
        <v>33</v>
      </c>
      <c r="P25" s="4" t="s">
        <v>8</v>
      </c>
      <c r="Q25" s="4" t="s">
        <v>31</v>
      </c>
      <c r="R25" s="4" t="s">
        <v>43</v>
      </c>
      <c r="S25" s="29"/>
      <c r="T25" s="4" t="s">
        <v>44</v>
      </c>
      <c r="U25" s="4" t="s">
        <v>47</v>
      </c>
      <c r="W25" s="49" t="s">
        <v>42</v>
      </c>
      <c r="X25" s="49" t="s">
        <v>25</v>
      </c>
      <c r="Y25" s="49" t="s">
        <v>28</v>
      </c>
      <c r="Z25" s="49" t="s">
        <v>9</v>
      </c>
      <c r="AA25" s="49" t="s">
        <v>33</v>
      </c>
      <c r="AB25" s="49" t="s">
        <v>8</v>
      </c>
      <c r="AC25" s="49" t="s">
        <v>31</v>
      </c>
      <c r="AD25" s="49" t="s">
        <v>43</v>
      </c>
      <c r="AE25" s="188"/>
      <c r="AF25" s="4" t="s">
        <v>42</v>
      </c>
      <c r="AG25" s="4" t="s">
        <v>25</v>
      </c>
      <c r="AH25" s="49" t="s">
        <v>28</v>
      </c>
      <c r="AI25" s="4" t="s">
        <v>9</v>
      </c>
      <c r="AJ25" s="49" t="s">
        <v>33</v>
      </c>
      <c r="AK25" s="49" t="s">
        <v>8</v>
      </c>
      <c r="AL25" s="4" t="s">
        <v>31</v>
      </c>
      <c r="AM25" s="4" t="s">
        <v>43</v>
      </c>
      <c r="AO25" s="4" t="s">
        <v>42</v>
      </c>
      <c r="AP25" s="4" t="s">
        <v>25</v>
      </c>
      <c r="AQ25" s="49" t="s">
        <v>28</v>
      </c>
      <c r="AR25" s="4" t="s">
        <v>9</v>
      </c>
      <c r="AS25" s="49" t="s">
        <v>33</v>
      </c>
      <c r="AT25" s="49" t="s">
        <v>8</v>
      </c>
      <c r="AU25" s="4" t="s">
        <v>31</v>
      </c>
      <c r="AV25" s="4" t="s">
        <v>43</v>
      </c>
      <c r="AW25" s="188"/>
      <c r="AX25" s="4" t="s">
        <v>42</v>
      </c>
      <c r="AY25" s="4" t="s">
        <v>25</v>
      </c>
      <c r="AZ25" s="4" t="s">
        <v>28</v>
      </c>
      <c r="BA25" s="4" t="s">
        <v>9</v>
      </c>
      <c r="BB25" s="49" t="s">
        <v>33</v>
      </c>
      <c r="BC25" s="4" t="s">
        <v>8</v>
      </c>
      <c r="BD25" s="4" t="s">
        <v>31</v>
      </c>
      <c r="BE25" s="4" t="s">
        <v>43</v>
      </c>
    </row>
    <row r="26" ht="15.75" customHeight="1">
      <c r="A26" s="50"/>
      <c r="B26" s="26" t="s">
        <v>25</v>
      </c>
      <c r="C26" s="27"/>
      <c r="D26" s="27">
        <v>6066.0</v>
      </c>
      <c r="E26" s="27">
        <v>8232.0</v>
      </c>
      <c r="F26" s="51">
        <v>3166.0</v>
      </c>
      <c r="G26" s="27">
        <v>54983.0</v>
      </c>
      <c r="H26" s="27">
        <v>5501.0</v>
      </c>
      <c r="I26" s="27">
        <f t="shared" ref="I26:I31" si="79">SUM(C26:H26)</f>
        <v>77948</v>
      </c>
      <c r="J26" s="192"/>
      <c r="K26" s="26" t="s">
        <v>25</v>
      </c>
      <c r="L26" s="191">
        <f t="shared" ref="L26:L31" si="80">INT(C26/52)</f>
        <v>0</v>
      </c>
      <c r="M26" s="191">
        <v>0.0</v>
      </c>
      <c r="N26" s="191">
        <f>INT(E26/52)</f>
        <v>158</v>
      </c>
      <c r="O26" s="191">
        <v>0.0</v>
      </c>
      <c r="P26" s="191">
        <f t="shared" ref="P26:Q26" si="75">INT(G26/52)</f>
        <v>1057</v>
      </c>
      <c r="Q26" s="191">
        <f t="shared" si="75"/>
        <v>105</v>
      </c>
      <c r="R26" s="27">
        <f t="shared" ref="R26:R31" si="81">SUM(L26:Q26)</f>
        <v>1320</v>
      </c>
      <c r="S26" s="29"/>
      <c r="T26" s="26" t="s">
        <v>25</v>
      </c>
      <c r="U26" s="52">
        <f>L42-R36</f>
        <v>198</v>
      </c>
      <c r="W26" s="26" t="s">
        <v>25</v>
      </c>
      <c r="X26" s="27"/>
      <c r="Y26" s="27"/>
      <c r="Z26" s="27"/>
      <c r="AA26" s="27"/>
      <c r="AB26" s="27"/>
      <c r="AC26" s="27">
        <f>U26</f>
        <v>198</v>
      </c>
      <c r="AD26" s="27">
        <f t="shared" ref="AD26:AD31" si="82">SUM(X26:AC26)</f>
        <v>198</v>
      </c>
      <c r="AE26" s="188"/>
      <c r="AF26" s="26" t="s">
        <v>25</v>
      </c>
      <c r="AG26" s="56">
        <f t="shared" ref="AG26:AL26" si="76">L88*28</f>
        <v>0</v>
      </c>
      <c r="AH26" s="56">
        <f t="shared" si="76"/>
        <v>0</v>
      </c>
      <c r="AI26" s="191">
        <f t="shared" si="76"/>
        <v>0</v>
      </c>
      <c r="AJ26" s="56">
        <f t="shared" si="76"/>
        <v>0</v>
      </c>
      <c r="AK26" s="191">
        <f t="shared" si="76"/>
        <v>28</v>
      </c>
      <c r="AL26" s="191">
        <f t="shared" si="76"/>
        <v>0</v>
      </c>
      <c r="AM26" s="27">
        <f t="shared" ref="AM26:AM31" si="84">SUM(AG26:AL26)</f>
        <v>28</v>
      </c>
      <c r="AO26" s="26" t="s">
        <v>25</v>
      </c>
      <c r="AP26" s="56">
        <f t="shared" ref="AP26:AU26" si="77">L88*2</f>
        <v>0</v>
      </c>
      <c r="AQ26" s="56">
        <f t="shared" si="77"/>
        <v>0</v>
      </c>
      <c r="AR26" s="191">
        <f t="shared" si="77"/>
        <v>0</v>
      </c>
      <c r="AS26" s="56">
        <f t="shared" si="77"/>
        <v>0</v>
      </c>
      <c r="AT26" s="191">
        <f t="shared" si="77"/>
        <v>2</v>
      </c>
      <c r="AU26" s="191">
        <f t="shared" si="77"/>
        <v>0</v>
      </c>
      <c r="AV26" s="27">
        <f t="shared" ref="AV26:AV31" si="86">SUM(AP26:AU26)</f>
        <v>2</v>
      </c>
      <c r="AW26" s="188"/>
      <c r="AX26" s="26" t="s">
        <v>25</v>
      </c>
      <c r="AY26" s="56">
        <f t="shared" ref="AY26:BD26" si="78">L88*C76</f>
        <v>0</v>
      </c>
      <c r="AZ26" s="56">
        <f t="shared" si="78"/>
        <v>0</v>
      </c>
      <c r="BA26" s="191">
        <f t="shared" si="78"/>
        <v>0</v>
      </c>
      <c r="BB26" s="56">
        <f t="shared" si="78"/>
        <v>0</v>
      </c>
      <c r="BC26" s="191">
        <f t="shared" si="78"/>
        <v>20549.66712</v>
      </c>
      <c r="BD26" s="191">
        <f t="shared" si="78"/>
        <v>0</v>
      </c>
      <c r="BE26" s="27">
        <f t="shared" ref="BE26:BE31" si="88">SUM(AY26:BD26)</f>
        <v>20549.66712</v>
      </c>
    </row>
    <row r="27" ht="15.75" customHeight="1">
      <c r="A27" s="50"/>
      <c r="B27" s="26" t="s">
        <v>28</v>
      </c>
      <c r="C27" s="27">
        <v>10303.0</v>
      </c>
      <c r="D27" s="27"/>
      <c r="E27" s="27">
        <v>2481.0</v>
      </c>
      <c r="F27" s="53">
        <v>101.0</v>
      </c>
      <c r="G27" s="27">
        <v>7856.0</v>
      </c>
      <c r="H27" s="27">
        <v>3188.0</v>
      </c>
      <c r="I27" s="27">
        <f t="shared" si="79"/>
        <v>23929</v>
      </c>
      <c r="J27" s="188"/>
      <c r="K27" s="26" t="s">
        <v>28</v>
      </c>
      <c r="L27" s="191">
        <f t="shared" si="80"/>
        <v>198</v>
      </c>
      <c r="M27" s="191">
        <f t="shared" ref="M27:M31" si="89">INT(D27/52)</f>
        <v>0</v>
      </c>
      <c r="N27" s="191">
        <v>0.0</v>
      </c>
      <c r="O27" s="191">
        <v>0.0</v>
      </c>
      <c r="P27" s="191">
        <v>0.0</v>
      </c>
      <c r="Q27" s="191">
        <v>0.0</v>
      </c>
      <c r="R27" s="27">
        <f t="shared" si="81"/>
        <v>198</v>
      </c>
      <c r="S27" s="29"/>
      <c r="T27" s="26" t="s">
        <v>28</v>
      </c>
      <c r="U27" s="52">
        <f>M42-R37</f>
        <v>121</v>
      </c>
      <c r="W27" s="26" t="s">
        <v>28</v>
      </c>
      <c r="X27" s="27"/>
      <c r="Y27" s="27"/>
      <c r="Z27" s="27"/>
      <c r="AA27" s="27"/>
      <c r="AB27" s="27">
        <f>-(U30+U28+U29)</f>
        <v>16</v>
      </c>
      <c r="AC27" s="27">
        <f>U27-AB27</f>
        <v>105</v>
      </c>
      <c r="AD27" s="27">
        <f t="shared" si="82"/>
        <v>121</v>
      </c>
      <c r="AE27" s="188"/>
      <c r="AF27" s="26" t="s">
        <v>28</v>
      </c>
      <c r="AG27" s="191">
        <f t="shared" ref="AG27:AL27" si="83">L89*28</f>
        <v>56</v>
      </c>
      <c r="AH27" s="56">
        <f t="shared" si="83"/>
        <v>0</v>
      </c>
      <c r="AI27" s="56">
        <f t="shared" si="83"/>
        <v>0</v>
      </c>
      <c r="AJ27" s="56">
        <f t="shared" si="83"/>
        <v>0</v>
      </c>
      <c r="AK27" s="56">
        <f t="shared" si="83"/>
        <v>0</v>
      </c>
      <c r="AL27" s="56">
        <f t="shared" si="83"/>
        <v>0</v>
      </c>
      <c r="AM27" s="27">
        <f t="shared" si="84"/>
        <v>56</v>
      </c>
      <c r="AO27" s="26" t="s">
        <v>28</v>
      </c>
      <c r="AP27" s="191">
        <f t="shared" ref="AP27:AU27" si="85">L89*2</f>
        <v>4</v>
      </c>
      <c r="AQ27" s="56">
        <f t="shared" si="85"/>
        <v>0</v>
      </c>
      <c r="AR27" s="56">
        <f t="shared" si="85"/>
        <v>0</v>
      </c>
      <c r="AS27" s="56">
        <f t="shared" si="85"/>
        <v>0</v>
      </c>
      <c r="AT27" s="56">
        <f t="shared" si="85"/>
        <v>0</v>
      </c>
      <c r="AU27" s="56">
        <f t="shared" si="85"/>
        <v>0</v>
      </c>
      <c r="AV27" s="27">
        <f t="shared" si="86"/>
        <v>4</v>
      </c>
      <c r="AW27" s="188"/>
      <c r="AX27" s="26" t="s">
        <v>28</v>
      </c>
      <c r="AY27" s="191">
        <f t="shared" ref="AY27:BD27" si="87">L89*C77</f>
        <v>27445.53846</v>
      </c>
      <c r="AZ27" s="56">
        <f t="shared" si="87"/>
        <v>0</v>
      </c>
      <c r="BA27" s="56">
        <f t="shared" si="87"/>
        <v>0</v>
      </c>
      <c r="BB27" s="56">
        <f t="shared" si="87"/>
        <v>0</v>
      </c>
      <c r="BC27" s="56">
        <f t="shared" si="87"/>
        <v>0</v>
      </c>
      <c r="BD27" s="56">
        <f t="shared" si="87"/>
        <v>0</v>
      </c>
      <c r="BE27" s="27">
        <f t="shared" si="88"/>
        <v>27445.53846</v>
      </c>
    </row>
    <row r="28" ht="15.75" customHeight="1">
      <c r="A28" s="50"/>
      <c r="B28" s="26" t="s">
        <v>9</v>
      </c>
      <c r="C28" s="27">
        <v>17515.0</v>
      </c>
      <c r="D28" s="27">
        <v>5046.0</v>
      </c>
      <c r="E28" s="27"/>
      <c r="F28" s="53">
        <v>652.0</v>
      </c>
      <c r="G28" s="27">
        <v>9764.0</v>
      </c>
      <c r="H28" s="27">
        <v>4287.0</v>
      </c>
      <c r="I28" s="27">
        <f t="shared" si="79"/>
        <v>37264</v>
      </c>
      <c r="J28" s="188"/>
      <c r="K28" s="26" t="s">
        <v>9</v>
      </c>
      <c r="L28" s="191">
        <f t="shared" si="80"/>
        <v>336</v>
      </c>
      <c r="M28" s="191">
        <f t="shared" si="89"/>
        <v>97</v>
      </c>
      <c r="N28" s="191">
        <f t="shared" ref="N28:N31" si="94">INT(E28/52)</f>
        <v>0</v>
      </c>
      <c r="O28" s="191">
        <v>0.0</v>
      </c>
      <c r="P28" s="191">
        <f t="shared" ref="P28:Q28" si="90">INT(G28/52)</f>
        <v>187</v>
      </c>
      <c r="Q28" s="191">
        <f t="shared" si="90"/>
        <v>82</v>
      </c>
      <c r="R28" s="27">
        <f t="shared" si="81"/>
        <v>702</v>
      </c>
      <c r="S28" s="29"/>
      <c r="T28" s="54" t="s">
        <v>9</v>
      </c>
      <c r="U28" s="52">
        <f>N42-R38</f>
        <v>109</v>
      </c>
      <c r="W28" s="26" t="s">
        <v>9</v>
      </c>
      <c r="X28" s="27"/>
      <c r="Y28" s="27"/>
      <c r="Z28" s="27"/>
      <c r="AA28" s="27"/>
      <c r="AB28" s="27">
        <f t="shared" ref="AB28:AB29" si="95">U28</f>
        <v>109</v>
      </c>
      <c r="AC28" s="27"/>
      <c r="AD28" s="27">
        <f t="shared" si="82"/>
        <v>109</v>
      </c>
      <c r="AE28" s="188"/>
      <c r="AF28" s="26" t="s">
        <v>9</v>
      </c>
      <c r="AG28" s="191">
        <f t="shared" ref="AG28:AL28" si="91">L90*28</f>
        <v>840</v>
      </c>
      <c r="AH28" s="191">
        <f t="shared" si="91"/>
        <v>56</v>
      </c>
      <c r="AI28" s="56">
        <f t="shared" si="91"/>
        <v>0</v>
      </c>
      <c r="AJ28" s="56">
        <f t="shared" si="91"/>
        <v>0</v>
      </c>
      <c r="AK28" s="191">
        <f t="shared" si="91"/>
        <v>0</v>
      </c>
      <c r="AL28" s="191">
        <f t="shared" si="91"/>
        <v>0</v>
      </c>
      <c r="AM28" s="27">
        <f t="shared" si="84"/>
        <v>896</v>
      </c>
      <c r="AO28" s="26" t="s">
        <v>9</v>
      </c>
      <c r="AP28" s="191">
        <f t="shared" ref="AP28:AU28" si="92">L90*2</f>
        <v>60</v>
      </c>
      <c r="AQ28" s="191">
        <f t="shared" si="92"/>
        <v>4</v>
      </c>
      <c r="AR28" s="56">
        <f t="shared" si="92"/>
        <v>0</v>
      </c>
      <c r="AS28" s="56">
        <f t="shared" si="92"/>
        <v>0</v>
      </c>
      <c r="AT28" s="191">
        <f t="shared" si="92"/>
        <v>0</v>
      </c>
      <c r="AU28" s="191">
        <f t="shared" si="92"/>
        <v>0</v>
      </c>
      <c r="AV28" s="27">
        <f t="shared" si="86"/>
        <v>64</v>
      </c>
      <c r="AW28" s="188"/>
      <c r="AX28" s="26" t="s">
        <v>9</v>
      </c>
      <c r="AY28" s="191">
        <f t="shared" ref="AY28:BD28" si="93">L90*C78</f>
        <v>483411.9814</v>
      </c>
      <c r="AZ28" s="191">
        <f t="shared" si="93"/>
        <v>9166.1388</v>
      </c>
      <c r="BA28" s="56">
        <f t="shared" si="93"/>
        <v>0</v>
      </c>
      <c r="BB28" s="56">
        <f t="shared" si="93"/>
        <v>0</v>
      </c>
      <c r="BC28" s="191">
        <f t="shared" si="93"/>
        <v>0</v>
      </c>
      <c r="BD28" s="191">
        <f t="shared" si="93"/>
        <v>0</v>
      </c>
      <c r="BE28" s="27">
        <f t="shared" si="88"/>
        <v>492578.1202</v>
      </c>
    </row>
    <row r="29" ht="15.75" customHeight="1">
      <c r="A29" s="50"/>
      <c r="B29" s="26" t="s">
        <v>33</v>
      </c>
      <c r="C29" s="51">
        <v>3252.0</v>
      </c>
      <c r="D29" s="55">
        <v>2029.0</v>
      </c>
      <c r="E29" s="55">
        <v>1364.0</v>
      </c>
      <c r="F29" s="31"/>
      <c r="G29" s="51">
        <v>10648.0</v>
      </c>
      <c r="H29" s="55">
        <v>2531.0</v>
      </c>
      <c r="I29" s="27">
        <f t="shared" si="79"/>
        <v>19824</v>
      </c>
      <c r="J29" s="188"/>
      <c r="K29" s="26" t="s">
        <v>33</v>
      </c>
      <c r="L29" s="191">
        <f t="shared" si="80"/>
        <v>62</v>
      </c>
      <c r="M29" s="191">
        <f t="shared" si="89"/>
        <v>39</v>
      </c>
      <c r="N29" s="191">
        <f t="shared" si="94"/>
        <v>26</v>
      </c>
      <c r="O29" s="191">
        <f t="shared" ref="O29:O31" si="99">INT(F29/52)</f>
        <v>0</v>
      </c>
      <c r="P29" s="191">
        <v>0.0</v>
      </c>
      <c r="Q29" s="191">
        <v>0.0</v>
      </c>
      <c r="R29" s="27">
        <f t="shared" si="81"/>
        <v>127</v>
      </c>
      <c r="S29" s="29"/>
      <c r="T29" s="54" t="s">
        <v>33</v>
      </c>
      <c r="U29" s="52">
        <f>O42-R39</f>
        <v>11</v>
      </c>
      <c r="W29" s="26" t="s">
        <v>33</v>
      </c>
      <c r="X29" s="27"/>
      <c r="Y29" s="27"/>
      <c r="Z29" s="27"/>
      <c r="AA29" s="27"/>
      <c r="AB29" s="27">
        <f t="shared" si="95"/>
        <v>11</v>
      </c>
      <c r="AC29" s="27"/>
      <c r="AD29" s="27">
        <f t="shared" si="82"/>
        <v>11</v>
      </c>
      <c r="AE29" s="188"/>
      <c r="AF29" s="26" t="s">
        <v>33</v>
      </c>
      <c r="AG29" s="191">
        <f t="shared" ref="AG29:AL29" si="96">L91*28</f>
        <v>0</v>
      </c>
      <c r="AH29" s="191">
        <f t="shared" si="96"/>
        <v>0</v>
      </c>
      <c r="AI29" s="191">
        <f t="shared" si="96"/>
        <v>168</v>
      </c>
      <c r="AJ29" s="56">
        <f t="shared" si="96"/>
        <v>0</v>
      </c>
      <c r="AK29" s="56">
        <f t="shared" si="96"/>
        <v>0</v>
      </c>
      <c r="AL29" s="56">
        <f t="shared" si="96"/>
        <v>0</v>
      </c>
      <c r="AM29" s="27">
        <f t="shared" si="84"/>
        <v>168</v>
      </c>
      <c r="AO29" s="26" t="s">
        <v>33</v>
      </c>
      <c r="AP29" s="191">
        <f t="shared" ref="AP29:AU29" si="97">L91*2</f>
        <v>0</v>
      </c>
      <c r="AQ29" s="191">
        <f t="shared" si="97"/>
        <v>0</v>
      </c>
      <c r="AR29" s="191">
        <f t="shared" si="97"/>
        <v>12</v>
      </c>
      <c r="AS29" s="56">
        <f t="shared" si="97"/>
        <v>0</v>
      </c>
      <c r="AT29" s="56">
        <f t="shared" si="97"/>
        <v>0</v>
      </c>
      <c r="AU29" s="56">
        <f t="shared" si="97"/>
        <v>0</v>
      </c>
      <c r="AV29" s="27">
        <f t="shared" si="86"/>
        <v>12</v>
      </c>
      <c r="AW29" s="188"/>
      <c r="AX29" s="26" t="s">
        <v>33</v>
      </c>
      <c r="AY29" s="191">
        <f t="shared" ref="AY29:BD29" si="98">L91*C79</f>
        <v>0</v>
      </c>
      <c r="AZ29" s="191">
        <f t="shared" si="98"/>
        <v>0</v>
      </c>
      <c r="BA29" s="191">
        <f t="shared" si="98"/>
        <v>28706.80831</v>
      </c>
      <c r="BB29" s="56">
        <f t="shared" si="98"/>
        <v>0</v>
      </c>
      <c r="BC29" s="56">
        <f t="shared" si="98"/>
        <v>0</v>
      </c>
      <c r="BD29" s="56">
        <f t="shared" si="98"/>
        <v>0</v>
      </c>
      <c r="BE29" s="27">
        <f t="shared" si="88"/>
        <v>28706.80831</v>
      </c>
    </row>
    <row r="30" ht="15.75" customHeight="1">
      <c r="A30" s="50"/>
      <c r="B30" s="26" t="s">
        <v>8</v>
      </c>
      <c r="C30" s="27">
        <v>18041.0</v>
      </c>
      <c r="D30" s="27">
        <v>22859.0</v>
      </c>
      <c r="E30" s="27">
        <v>29225.0</v>
      </c>
      <c r="F30" s="51">
        <v>4383.0</v>
      </c>
      <c r="G30" s="31"/>
      <c r="H30" s="31"/>
      <c r="I30" s="27">
        <f t="shared" si="79"/>
        <v>74508</v>
      </c>
      <c r="J30" s="188"/>
      <c r="K30" s="26" t="s">
        <v>8</v>
      </c>
      <c r="L30" s="191">
        <f t="shared" si="80"/>
        <v>346</v>
      </c>
      <c r="M30" s="191">
        <f t="shared" si="89"/>
        <v>439</v>
      </c>
      <c r="N30" s="191">
        <f t="shared" si="94"/>
        <v>562</v>
      </c>
      <c r="O30" s="191">
        <f t="shared" si="99"/>
        <v>84</v>
      </c>
      <c r="P30" s="191">
        <f t="shared" ref="P30:Q30" si="100">INT(G30/52)</f>
        <v>0</v>
      </c>
      <c r="Q30" s="191">
        <f t="shared" si="100"/>
        <v>0</v>
      </c>
      <c r="R30" s="27">
        <f t="shared" si="81"/>
        <v>1431</v>
      </c>
      <c r="S30" s="29"/>
      <c r="T30" s="54" t="s">
        <v>8</v>
      </c>
      <c r="U30" s="52">
        <f>P42-R40</f>
        <v>-136</v>
      </c>
      <c r="W30" s="26" t="s">
        <v>8</v>
      </c>
      <c r="X30" s="27"/>
      <c r="Y30" s="27"/>
      <c r="Z30" s="27"/>
      <c r="AA30" s="27"/>
      <c r="AB30" s="27"/>
      <c r="AC30" s="27"/>
      <c r="AD30" s="27">
        <f t="shared" si="82"/>
        <v>0</v>
      </c>
      <c r="AE30" s="188"/>
      <c r="AF30" s="26" t="s">
        <v>8</v>
      </c>
      <c r="AG30" s="191">
        <f t="shared" ref="AG30:AL30" si="101">L92*28</f>
        <v>0</v>
      </c>
      <c r="AH30" s="191">
        <f t="shared" si="101"/>
        <v>0</v>
      </c>
      <c r="AI30" s="191">
        <f t="shared" si="101"/>
        <v>28</v>
      </c>
      <c r="AJ30" s="191">
        <f t="shared" si="101"/>
        <v>0</v>
      </c>
      <c r="AK30" s="56">
        <f t="shared" si="101"/>
        <v>0</v>
      </c>
      <c r="AL30" s="56">
        <f t="shared" si="101"/>
        <v>0</v>
      </c>
      <c r="AM30" s="27">
        <f t="shared" si="84"/>
        <v>28</v>
      </c>
      <c r="AO30" s="26" t="s">
        <v>8</v>
      </c>
      <c r="AP30" s="191">
        <f t="shared" ref="AP30:AU30" si="102">L92*2</f>
        <v>0</v>
      </c>
      <c r="AQ30" s="191">
        <f t="shared" si="102"/>
        <v>0</v>
      </c>
      <c r="AR30" s="191">
        <f t="shared" si="102"/>
        <v>2</v>
      </c>
      <c r="AS30" s="191">
        <f t="shared" si="102"/>
        <v>0</v>
      </c>
      <c r="AT30" s="56">
        <f t="shared" si="102"/>
        <v>0</v>
      </c>
      <c r="AU30" s="56">
        <f t="shared" si="102"/>
        <v>0</v>
      </c>
      <c r="AV30" s="27">
        <f t="shared" si="86"/>
        <v>2</v>
      </c>
      <c r="AW30" s="188"/>
      <c r="AX30" s="26" t="s">
        <v>8</v>
      </c>
      <c r="AY30" s="191">
        <f t="shared" ref="AY30:BD30" si="103">L92*C80</f>
        <v>0</v>
      </c>
      <c r="AZ30" s="191">
        <f t="shared" si="103"/>
        <v>0</v>
      </c>
      <c r="BA30" s="191">
        <f t="shared" si="103"/>
        <v>14188.23588</v>
      </c>
      <c r="BB30" s="191">
        <f t="shared" si="103"/>
        <v>0</v>
      </c>
      <c r="BC30" s="56">
        <f t="shared" si="103"/>
        <v>0</v>
      </c>
      <c r="BD30" s="56">
        <f t="shared" si="103"/>
        <v>0</v>
      </c>
      <c r="BE30" s="27">
        <f t="shared" si="88"/>
        <v>14188.23588</v>
      </c>
    </row>
    <row r="31" ht="15.75" customHeight="1">
      <c r="A31" s="50"/>
      <c r="B31" s="26" t="s">
        <v>31</v>
      </c>
      <c r="C31" s="27">
        <v>11210.0</v>
      </c>
      <c r="D31" s="27">
        <v>13198.0</v>
      </c>
      <c r="E31" s="27">
        <v>20046.0</v>
      </c>
      <c r="F31" s="53">
        <v>2406.0</v>
      </c>
      <c r="G31" s="31"/>
      <c r="H31" s="31"/>
      <c r="I31" s="27">
        <f t="shared" si="79"/>
        <v>46860</v>
      </c>
      <c r="J31" s="188"/>
      <c r="K31" s="26" t="s">
        <v>31</v>
      </c>
      <c r="L31" s="191">
        <f t="shared" si="80"/>
        <v>215</v>
      </c>
      <c r="M31" s="191">
        <f t="shared" si="89"/>
        <v>253</v>
      </c>
      <c r="N31" s="191">
        <f t="shared" si="94"/>
        <v>385</v>
      </c>
      <c r="O31" s="191">
        <f t="shared" si="99"/>
        <v>46</v>
      </c>
      <c r="P31" s="191">
        <f t="shared" ref="P31:Q31" si="104">INT(G31/52)</f>
        <v>0</v>
      </c>
      <c r="Q31" s="191">
        <f t="shared" si="104"/>
        <v>0</v>
      </c>
      <c r="R31" s="27">
        <f t="shared" si="81"/>
        <v>899</v>
      </c>
      <c r="S31" s="29"/>
      <c r="T31" s="54" t="s">
        <v>31</v>
      </c>
      <c r="U31" s="52">
        <f>Q42-R41</f>
        <v>-303</v>
      </c>
      <c r="W31" s="26" t="s">
        <v>31</v>
      </c>
      <c r="X31" s="27"/>
      <c r="Y31" s="27"/>
      <c r="Z31" s="27"/>
      <c r="AA31" s="27"/>
      <c r="AB31" s="27"/>
      <c r="AC31" s="27"/>
      <c r="AD31" s="27">
        <f t="shared" si="82"/>
        <v>0</v>
      </c>
      <c r="AE31" s="188"/>
      <c r="AF31" s="26" t="s">
        <v>31</v>
      </c>
      <c r="AG31" s="191">
        <f t="shared" ref="AG31:AL31" si="105">L93*28</f>
        <v>0</v>
      </c>
      <c r="AH31" s="191">
        <f t="shared" si="105"/>
        <v>0</v>
      </c>
      <c r="AI31" s="191">
        <f t="shared" si="105"/>
        <v>700</v>
      </c>
      <c r="AJ31" s="191">
        <f t="shared" si="105"/>
        <v>168</v>
      </c>
      <c r="AK31" s="56">
        <f t="shared" si="105"/>
        <v>0</v>
      </c>
      <c r="AL31" s="56">
        <f t="shared" si="105"/>
        <v>0</v>
      </c>
      <c r="AM31" s="27">
        <f t="shared" si="84"/>
        <v>868</v>
      </c>
      <c r="AO31" s="26" t="s">
        <v>31</v>
      </c>
      <c r="AP31" s="191">
        <f t="shared" ref="AP31:AU31" si="106">L93*2</f>
        <v>0</v>
      </c>
      <c r="AQ31" s="191">
        <f t="shared" si="106"/>
        <v>0</v>
      </c>
      <c r="AR31" s="191">
        <f t="shared" si="106"/>
        <v>50</v>
      </c>
      <c r="AS31" s="191">
        <f t="shared" si="106"/>
        <v>12</v>
      </c>
      <c r="AT31" s="56">
        <f t="shared" si="106"/>
        <v>0</v>
      </c>
      <c r="AU31" s="56">
        <f t="shared" si="106"/>
        <v>0</v>
      </c>
      <c r="AV31" s="27">
        <f t="shared" si="86"/>
        <v>62</v>
      </c>
      <c r="AW31" s="188"/>
      <c r="AX31" s="26" t="s">
        <v>31</v>
      </c>
      <c r="AY31" s="191">
        <f t="shared" ref="AY31:BD31" si="107">L93*C81</f>
        <v>0</v>
      </c>
      <c r="AZ31" s="191">
        <f t="shared" si="107"/>
        <v>0</v>
      </c>
      <c r="BA31" s="191">
        <f t="shared" si="107"/>
        <v>447013.6125</v>
      </c>
      <c r="BB31" s="191">
        <f t="shared" si="107"/>
        <v>85811.07226</v>
      </c>
      <c r="BC31" s="56">
        <f t="shared" si="107"/>
        <v>0</v>
      </c>
      <c r="BD31" s="56">
        <f t="shared" si="107"/>
        <v>0</v>
      </c>
      <c r="BE31" s="27">
        <f t="shared" si="88"/>
        <v>532824.6848</v>
      </c>
    </row>
    <row r="32" ht="15.75" customHeight="1">
      <c r="A32" s="50"/>
      <c r="B32" s="32" t="s">
        <v>48</v>
      </c>
      <c r="C32" s="33">
        <f t="shared" ref="C32:I32" si="108">SUM(C26:C31)</f>
        <v>60321</v>
      </c>
      <c r="D32" s="33">
        <f t="shared" si="108"/>
        <v>49198</v>
      </c>
      <c r="E32" s="33">
        <f t="shared" si="108"/>
        <v>61348</v>
      </c>
      <c r="F32" s="33">
        <f t="shared" si="108"/>
        <v>10708</v>
      </c>
      <c r="G32" s="33">
        <f t="shared" si="108"/>
        <v>83251</v>
      </c>
      <c r="H32" s="33">
        <f t="shared" si="108"/>
        <v>15507</v>
      </c>
      <c r="I32" s="33">
        <f t="shared" si="108"/>
        <v>280333</v>
      </c>
      <c r="J32" s="188"/>
      <c r="K32" s="32" t="s">
        <v>48</v>
      </c>
      <c r="L32" s="33">
        <f t="shared" ref="L32:R32" si="109">SUM(L26:L31)</f>
        <v>1157</v>
      </c>
      <c r="M32" s="33">
        <f t="shared" si="109"/>
        <v>828</v>
      </c>
      <c r="N32" s="33">
        <f t="shared" si="109"/>
        <v>1131</v>
      </c>
      <c r="O32" s="33">
        <f t="shared" si="109"/>
        <v>130</v>
      </c>
      <c r="P32" s="33">
        <f t="shared" si="109"/>
        <v>1244</v>
      </c>
      <c r="Q32" s="33">
        <f t="shared" si="109"/>
        <v>187</v>
      </c>
      <c r="R32" s="33">
        <f t="shared" si="109"/>
        <v>4677</v>
      </c>
      <c r="S32" s="29"/>
      <c r="T32" s="32" t="s">
        <v>49</v>
      </c>
      <c r="U32" s="33">
        <f>SUM(U26:U31)</f>
        <v>0</v>
      </c>
      <c r="W32" s="32" t="s">
        <v>48</v>
      </c>
      <c r="X32" s="33">
        <f t="shared" ref="X32:AD32" si="110">SUM(X26:X31)</f>
        <v>0</v>
      </c>
      <c r="Y32" s="33">
        <f t="shared" si="110"/>
        <v>0</v>
      </c>
      <c r="Z32" s="33">
        <f t="shared" si="110"/>
        <v>0</v>
      </c>
      <c r="AA32" s="33">
        <f t="shared" si="110"/>
        <v>0</v>
      </c>
      <c r="AB32" s="33">
        <f t="shared" si="110"/>
        <v>136</v>
      </c>
      <c r="AC32" s="33">
        <f t="shared" si="110"/>
        <v>303</v>
      </c>
      <c r="AD32" s="33">
        <f t="shared" si="110"/>
        <v>439</v>
      </c>
      <c r="AE32" s="188"/>
      <c r="AF32" s="32" t="s">
        <v>48</v>
      </c>
      <c r="AG32" s="33">
        <f t="shared" ref="AG32:AM32" si="111">SUM(AG26:AG31)</f>
        <v>896</v>
      </c>
      <c r="AH32" s="33">
        <f t="shared" si="111"/>
        <v>56</v>
      </c>
      <c r="AI32" s="33">
        <f t="shared" si="111"/>
        <v>896</v>
      </c>
      <c r="AJ32" s="33">
        <f t="shared" si="111"/>
        <v>168</v>
      </c>
      <c r="AK32" s="33">
        <f t="shared" si="111"/>
        <v>28</v>
      </c>
      <c r="AL32" s="33">
        <f t="shared" si="111"/>
        <v>0</v>
      </c>
      <c r="AM32" s="33">
        <f t="shared" si="111"/>
        <v>2044</v>
      </c>
      <c r="AO32" s="32" t="s">
        <v>48</v>
      </c>
      <c r="AP32" s="33">
        <f t="shared" ref="AP32:AV32" si="112">SUM(AP26:AP31)</f>
        <v>64</v>
      </c>
      <c r="AQ32" s="33">
        <f t="shared" si="112"/>
        <v>4</v>
      </c>
      <c r="AR32" s="33">
        <f t="shared" si="112"/>
        <v>64</v>
      </c>
      <c r="AS32" s="33">
        <f t="shared" si="112"/>
        <v>12</v>
      </c>
      <c r="AT32" s="33">
        <f t="shared" si="112"/>
        <v>2</v>
      </c>
      <c r="AU32" s="33">
        <f t="shared" si="112"/>
        <v>0</v>
      </c>
      <c r="AV32" s="33">
        <f t="shared" si="112"/>
        <v>146</v>
      </c>
      <c r="AW32" s="188"/>
      <c r="AX32" s="32" t="s">
        <v>48</v>
      </c>
      <c r="AY32" s="33">
        <f t="shared" ref="AY32:BE32" si="113">SUM(AY26:AY31)</f>
        <v>510857.5198</v>
      </c>
      <c r="AZ32" s="33">
        <f t="shared" si="113"/>
        <v>9166.1388</v>
      </c>
      <c r="BA32" s="33">
        <f t="shared" si="113"/>
        <v>489908.6567</v>
      </c>
      <c r="BB32" s="33">
        <f t="shared" si="113"/>
        <v>85811.07226</v>
      </c>
      <c r="BC32" s="33">
        <f t="shared" si="113"/>
        <v>20549.66712</v>
      </c>
      <c r="BD32" s="33">
        <f t="shared" si="113"/>
        <v>0</v>
      </c>
      <c r="BE32" s="33">
        <f t="shared" si="113"/>
        <v>1116293.055</v>
      </c>
    </row>
    <row r="33" ht="15.75" customHeight="1">
      <c r="J33" s="188"/>
      <c r="S33" s="29"/>
      <c r="AE33" s="188"/>
      <c r="AW33" s="188"/>
      <c r="BD33" s="29" t="s">
        <v>395</v>
      </c>
      <c r="BE33" s="2">
        <f>SUM(AY26:BD31)</f>
        <v>1116293.055</v>
      </c>
    </row>
    <row r="34" ht="15.75" customHeight="1">
      <c r="A34" s="48"/>
      <c r="B34" s="19" t="s">
        <v>54</v>
      </c>
      <c r="C34" s="20"/>
      <c r="D34" s="20"/>
      <c r="E34" s="20"/>
      <c r="F34" s="20"/>
      <c r="G34" s="20"/>
      <c r="H34" s="20"/>
      <c r="I34" s="21"/>
      <c r="J34" s="188"/>
      <c r="K34" s="42" t="s">
        <v>400</v>
      </c>
      <c r="L34" s="20"/>
      <c r="M34" s="20"/>
      <c r="N34" s="20"/>
      <c r="O34" s="20"/>
      <c r="P34" s="20"/>
      <c r="Q34" s="20"/>
      <c r="R34" s="21"/>
      <c r="S34" s="29"/>
      <c r="T34" s="193" t="s">
        <v>401</v>
      </c>
      <c r="AE34" s="194"/>
      <c r="AF34" s="116" t="s">
        <v>238</v>
      </c>
      <c r="AG34" s="20"/>
      <c r="AH34" s="20"/>
      <c r="AI34" s="20"/>
      <c r="AJ34" s="20"/>
      <c r="AK34" s="20"/>
      <c r="AL34" s="20"/>
      <c r="AM34" s="21"/>
      <c r="AO34" s="116" t="s">
        <v>402</v>
      </c>
      <c r="AP34" s="20"/>
      <c r="AQ34" s="20"/>
      <c r="AR34" s="20"/>
      <c r="AS34" s="20"/>
      <c r="AT34" s="20"/>
      <c r="AU34" s="20"/>
      <c r="AV34" s="21"/>
      <c r="AW34" s="194"/>
    </row>
    <row r="35" ht="15.75" customHeight="1">
      <c r="A35" s="48"/>
      <c r="B35" s="4" t="s">
        <v>42</v>
      </c>
      <c r="C35" s="4" t="s">
        <v>25</v>
      </c>
      <c r="D35" s="4" t="s">
        <v>28</v>
      </c>
      <c r="E35" s="4" t="s">
        <v>9</v>
      </c>
      <c r="F35" s="49" t="s">
        <v>33</v>
      </c>
      <c r="G35" s="4" t="s">
        <v>8</v>
      </c>
      <c r="H35" s="4" t="s">
        <v>31</v>
      </c>
      <c r="I35" s="4" t="s">
        <v>43</v>
      </c>
      <c r="J35" s="188"/>
      <c r="K35" s="4" t="s">
        <v>42</v>
      </c>
      <c r="L35" s="4" t="s">
        <v>25</v>
      </c>
      <c r="M35" s="4" t="s">
        <v>28</v>
      </c>
      <c r="N35" s="4" t="s">
        <v>9</v>
      </c>
      <c r="O35" s="49" t="s">
        <v>33</v>
      </c>
      <c r="P35" s="4" t="s">
        <v>8</v>
      </c>
      <c r="Q35" s="4" t="s">
        <v>31</v>
      </c>
      <c r="R35" s="4" t="s">
        <v>43</v>
      </c>
      <c r="S35" s="29"/>
      <c r="AE35" s="194"/>
      <c r="AF35" s="49" t="s">
        <v>42</v>
      </c>
      <c r="AG35" s="49" t="s">
        <v>25</v>
      </c>
      <c r="AH35" s="49" t="s">
        <v>28</v>
      </c>
      <c r="AI35" s="49" t="s">
        <v>9</v>
      </c>
      <c r="AJ35" s="49" t="s">
        <v>33</v>
      </c>
      <c r="AK35" s="49" t="s">
        <v>8</v>
      </c>
      <c r="AL35" s="49" t="s">
        <v>31</v>
      </c>
      <c r="AM35" s="49" t="s">
        <v>43</v>
      </c>
      <c r="AO35" s="49" t="s">
        <v>42</v>
      </c>
      <c r="AP35" s="49" t="s">
        <v>25</v>
      </c>
      <c r="AQ35" s="49" t="s">
        <v>28</v>
      </c>
      <c r="AR35" s="49" t="s">
        <v>9</v>
      </c>
      <c r="AS35" s="49" t="s">
        <v>33</v>
      </c>
      <c r="AT35" s="49" t="s">
        <v>8</v>
      </c>
      <c r="AU35" s="49" t="s">
        <v>31</v>
      </c>
      <c r="AV35" s="49" t="s">
        <v>43</v>
      </c>
      <c r="AW35" s="194"/>
    </row>
    <row r="36" ht="15.75" customHeight="1">
      <c r="A36" s="50"/>
      <c r="B36" s="26" t="s">
        <v>25</v>
      </c>
      <c r="C36" s="27"/>
      <c r="D36" s="27">
        <v>12.0</v>
      </c>
      <c r="E36" s="27">
        <v>6.0</v>
      </c>
      <c r="F36" s="51">
        <v>1.0</v>
      </c>
      <c r="G36" s="27">
        <v>58.0</v>
      </c>
      <c r="H36" s="27">
        <v>46.0</v>
      </c>
      <c r="I36" s="27">
        <f t="shared" ref="I36:I41" si="117">SUM(C36:H36)</f>
        <v>123</v>
      </c>
      <c r="J36" s="188"/>
      <c r="K36" s="26" t="s">
        <v>25</v>
      </c>
      <c r="L36" s="191">
        <f t="shared" ref="L36:L41" si="118">INT(C36/52)</f>
        <v>0</v>
      </c>
      <c r="M36" s="191">
        <v>0.0</v>
      </c>
      <c r="N36" s="191">
        <f>INT(E36/52)</f>
        <v>0</v>
      </c>
      <c r="O36" s="191">
        <v>0.0</v>
      </c>
      <c r="P36" s="191">
        <f t="shared" ref="P36:Q36" si="114">INT(G36/52)</f>
        <v>1</v>
      </c>
      <c r="Q36" s="191">
        <f t="shared" si="114"/>
        <v>0</v>
      </c>
      <c r="R36" s="27">
        <f t="shared" ref="R36:R41" si="119">SUM(L36:Q36)</f>
        <v>1</v>
      </c>
      <c r="S36" s="29"/>
      <c r="AE36" s="194"/>
      <c r="AF36" s="26" t="s">
        <v>25</v>
      </c>
      <c r="AG36" s="27">
        <f t="shared" ref="AG36:AL36" si="115">X68*2</f>
        <v>0</v>
      </c>
      <c r="AH36" s="27">
        <f t="shared" si="115"/>
        <v>0</v>
      </c>
      <c r="AI36" s="27">
        <f t="shared" si="115"/>
        <v>0</v>
      </c>
      <c r="AJ36" s="27">
        <f t="shared" si="115"/>
        <v>0</v>
      </c>
      <c r="AK36" s="27">
        <f t="shared" si="115"/>
        <v>0</v>
      </c>
      <c r="AL36" s="195">
        <f t="shared" si="115"/>
        <v>66</v>
      </c>
      <c r="AM36" s="27">
        <f t="shared" ref="AM36:AM41" si="121">SUM(AG36:AL36)</f>
        <v>66</v>
      </c>
      <c r="AO36" s="26" t="s">
        <v>25</v>
      </c>
      <c r="AP36" s="27" t="str">
        <f t="shared" ref="AP36:AU36" si="116">X68</f>
        <v/>
      </c>
      <c r="AQ36" s="27" t="str">
        <f t="shared" si="116"/>
        <v/>
      </c>
      <c r="AR36" s="27" t="str">
        <f t="shared" si="116"/>
        <v/>
      </c>
      <c r="AS36" s="27" t="str">
        <f t="shared" si="116"/>
        <v/>
      </c>
      <c r="AT36" s="27" t="str">
        <f t="shared" si="116"/>
        <v/>
      </c>
      <c r="AU36" s="195">
        <f t="shared" si="116"/>
        <v>33</v>
      </c>
      <c r="AV36" s="27">
        <f t="shared" ref="AV36:AV41" si="123">SUM(AP36:AU36)</f>
        <v>33</v>
      </c>
      <c r="AW36" s="194"/>
    </row>
    <row r="37" ht="15.75" customHeight="1">
      <c r="A37" s="50"/>
      <c r="B37" s="26" t="s">
        <v>28</v>
      </c>
      <c r="C37" s="27">
        <v>155.0</v>
      </c>
      <c r="D37" s="27"/>
      <c r="E37" s="27">
        <v>17.0</v>
      </c>
      <c r="F37" s="53">
        <v>2.0</v>
      </c>
      <c r="G37" s="27">
        <v>215.0</v>
      </c>
      <c r="H37" s="27">
        <v>78.0</v>
      </c>
      <c r="I37" s="27">
        <f t="shared" si="117"/>
        <v>467</v>
      </c>
      <c r="J37" s="188"/>
      <c r="K37" s="26" t="s">
        <v>28</v>
      </c>
      <c r="L37" s="191">
        <f t="shared" si="118"/>
        <v>2</v>
      </c>
      <c r="M37" s="191">
        <f t="shared" ref="M37:M41" si="124">INT(D37/52)</f>
        <v>0</v>
      </c>
      <c r="N37" s="191">
        <v>0.0</v>
      </c>
      <c r="O37" s="191">
        <v>0.0</v>
      </c>
      <c r="P37" s="191">
        <v>0.0</v>
      </c>
      <c r="Q37" s="191">
        <v>0.0</v>
      </c>
      <c r="R37" s="27">
        <f t="shared" si="119"/>
        <v>2</v>
      </c>
      <c r="S37" s="29"/>
      <c r="AE37" s="194"/>
      <c r="AF37" s="26" t="s">
        <v>28</v>
      </c>
      <c r="AG37" s="27">
        <f t="shared" ref="AG37:AL37" si="120">X69*2</f>
        <v>0</v>
      </c>
      <c r="AH37" s="27">
        <f t="shared" si="120"/>
        <v>0</v>
      </c>
      <c r="AI37" s="27">
        <f t="shared" si="120"/>
        <v>0</v>
      </c>
      <c r="AJ37" s="27">
        <f t="shared" si="120"/>
        <v>0</v>
      </c>
      <c r="AK37" s="195">
        <f t="shared" si="120"/>
        <v>0</v>
      </c>
      <c r="AL37" s="195">
        <f t="shared" si="120"/>
        <v>0</v>
      </c>
      <c r="AM37" s="27">
        <f t="shared" si="121"/>
        <v>0</v>
      </c>
      <c r="AO37" s="26" t="s">
        <v>28</v>
      </c>
      <c r="AP37" s="27" t="str">
        <f t="shared" ref="AP37:AU37" si="122">X69</f>
        <v/>
      </c>
      <c r="AQ37" s="27" t="str">
        <f t="shared" si="122"/>
        <v/>
      </c>
      <c r="AR37" s="27" t="str">
        <f t="shared" si="122"/>
        <v/>
      </c>
      <c r="AS37" s="27" t="str">
        <f t="shared" si="122"/>
        <v/>
      </c>
      <c r="AT37" s="195">
        <f t="shared" si="122"/>
        <v>0</v>
      </c>
      <c r="AU37" s="195">
        <f t="shared" si="122"/>
        <v>0</v>
      </c>
      <c r="AV37" s="27">
        <f t="shared" si="123"/>
        <v>0</v>
      </c>
      <c r="AW37" s="194"/>
      <c r="AX37" s="4" t="s">
        <v>403</v>
      </c>
    </row>
    <row r="38" ht="15.75" customHeight="1">
      <c r="A38" s="50"/>
      <c r="B38" s="26" t="s">
        <v>9</v>
      </c>
      <c r="C38" s="27">
        <v>1593.0</v>
      </c>
      <c r="D38" s="27">
        <v>407.0</v>
      </c>
      <c r="E38" s="27"/>
      <c r="F38" s="53">
        <v>1.0</v>
      </c>
      <c r="G38" s="27">
        <v>40.0</v>
      </c>
      <c r="H38" s="27">
        <v>9.0</v>
      </c>
      <c r="I38" s="27">
        <f t="shared" si="117"/>
        <v>2050</v>
      </c>
      <c r="J38" s="188"/>
      <c r="K38" s="26" t="s">
        <v>9</v>
      </c>
      <c r="L38" s="191">
        <f t="shared" si="118"/>
        <v>30</v>
      </c>
      <c r="M38" s="191">
        <f t="shared" si="124"/>
        <v>7</v>
      </c>
      <c r="N38" s="191">
        <f t="shared" ref="N38:N41" si="128">INT(E38/52)</f>
        <v>0</v>
      </c>
      <c r="O38" s="191">
        <v>0.0</v>
      </c>
      <c r="P38" s="191">
        <f t="shared" ref="P38:Q38" si="125">INT(G38/52)</f>
        <v>0</v>
      </c>
      <c r="Q38" s="191">
        <f t="shared" si="125"/>
        <v>0</v>
      </c>
      <c r="R38" s="27">
        <f t="shared" si="119"/>
        <v>37</v>
      </c>
      <c r="S38" s="29"/>
      <c r="AE38" s="194"/>
      <c r="AF38" s="26" t="s">
        <v>9</v>
      </c>
      <c r="AG38" s="27">
        <f t="shared" ref="AG38:AL38" si="126">X70*2</f>
        <v>0</v>
      </c>
      <c r="AH38" s="27">
        <f t="shared" si="126"/>
        <v>0</v>
      </c>
      <c r="AI38" s="27">
        <f t="shared" si="126"/>
        <v>0</v>
      </c>
      <c r="AJ38" s="27">
        <f t="shared" si="126"/>
        <v>0</v>
      </c>
      <c r="AK38" s="27">
        <f t="shared" si="126"/>
        <v>0</v>
      </c>
      <c r="AL38" s="195">
        <f t="shared" si="126"/>
        <v>0</v>
      </c>
      <c r="AM38" s="27">
        <f t="shared" si="121"/>
        <v>0</v>
      </c>
      <c r="AO38" s="26" t="s">
        <v>9</v>
      </c>
      <c r="AP38" s="27" t="str">
        <f t="shared" ref="AP38:AU38" si="127">X70</f>
        <v/>
      </c>
      <c r="AQ38" s="27" t="str">
        <f t="shared" si="127"/>
        <v/>
      </c>
      <c r="AR38" s="27" t="str">
        <f t="shared" si="127"/>
        <v/>
      </c>
      <c r="AS38" s="27" t="str">
        <f t="shared" si="127"/>
        <v/>
      </c>
      <c r="AT38" s="27" t="str">
        <f t="shared" si="127"/>
        <v/>
      </c>
      <c r="AU38" s="195">
        <f t="shared" si="127"/>
        <v>0</v>
      </c>
      <c r="AV38" s="27">
        <f t="shared" si="123"/>
        <v>0</v>
      </c>
      <c r="AW38" s="194"/>
      <c r="AX38" s="29" t="s">
        <v>395</v>
      </c>
      <c r="AY38" s="2">
        <f>BE33+BE23+BE13</f>
        <v>65986445.73</v>
      </c>
    </row>
    <row r="39" ht="15.75" customHeight="1">
      <c r="A39" s="50"/>
      <c r="B39" s="26" t="s">
        <v>33</v>
      </c>
      <c r="C39" s="51">
        <v>214.0</v>
      </c>
      <c r="D39" s="55">
        <v>327.0</v>
      </c>
      <c r="E39" s="55">
        <v>339.0</v>
      </c>
      <c r="F39" s="31"/>
      <c r="G39" s="51">
        <v>644.0</v>
      </c>
      <c r="H39" s="55">
        <v>24.0</v>
      </c>
      <c r="I39" s="27">
        <f t="shared" si="117"/>
        <v>1548</v>
      </c>
      <c r="J39" s="188"/>
      <c r="K39" s="26" t="s">
        <v>33</v>
      </c>
      <c r="L39" s="191">
        <f t="shared" si="118"/>
        <v>4</v>
      </c>
      <c r="M39" s="191">
        <f t="shared" si="124"/>
        <v>6</v>
      </c>
      <c r="N39" s="191">
        <f t="shared" si="128"/>
        <v>6</v>
      </c>
      <c r="O39" s="191">
        <f t="shared" ref="O39:O41" si="131">INT(F39/52)</f>
        <v>0</v>
      </c>
      <c r="P39" s="191">
        <v>0.0</v>
      </c>
      <c r="Q39" s="191">
        <v>0.0</v>
      </c>
      <c r="R39" s="27">
        <f t="shared" si="119"/>
        <v>16</v>
      </c>
      <c r="S39" s="29"/>
      <c r="AE39" s="188"/>
      <c r="AF39" s="26" t="s">
        <v>33</v>
      </c>
      <c r="AG39" s="27">
        <f t="shared" ref="AG39:AL39" si="129">X71*2</f>
        <v>0</v>
      </c>
      <c r="AH39" s="27">
        <f t="shared" si="129"/>
        <v>0</v>
      </c>
      <c r="AI39" s="27">
        <f t="shared" si="129"/>
        <v>0</v>
      </c>
      <c r="AJ39" s="27">
        <f t="shared" si="129"/>
        <v>0</v>
      </c>
      <c r="AK39" s="195">
        <f t="shared" si="129"/>
        <v>0</v>
      </c>
      <c r="AL39" s="27">
        <f t="shared" si="129"/>
        <v>0</v>
      </c>
      <c r="AM39" s="27">
        <f t="shared" si="121"/>
        <v>0</v>
      </c>
      <c r="AO39" s="26" t="s">
        <v>33</v>
      </c>
      <c r="AP39" s="27" t="str">
        <f t="shared" ref="AP39:AU39" si="130">X71</f>
        <v/>
      </c>
      <c r="AQ39" s="27" t="str">
        <f t="shared" si="130"/>
        <v/>
      </c>
      <c r="AR39" s="27" t="str">
        <f t="shared" si="130"/>
        <v/>
      </c>
      <c r="AS39" s="27" t="str">
        <f t="shared" si="130"/>
        <v/>
      </c>
      <c r="AT39" s="195">
        <f t="shared" si="130"/>
        <v>0</v>
      </c>
      <c r="AU39" s="27" t="str">
        <f t="shared" si="130"/>
        <v/>
      </c>
      <c r="AV39" s="27">
        <f t="shared" si="123"/>
        <v>0</v>
      </c>
      <c r="AW39" s="188"/>
    </row>
    <row r="40" ht="15.75" customHeight="1">
      <c r="A40" s="50"/>
      <c r="B40" s="26" t="s">
        <v>8</v>
      </c>
      <c r="C40" s="27">
        <v>2308.0</v>
      </c>
      <c r="D40" s="27">
        <v>2321.0</v>
      </c>
      <c r="E40" s="27">
        <v>2268.0</v>
      </c>
      <c r="F40" s="51">
        <v>331.0</v>
      </c>
      <c r="G40" s="31"/>
      <c r="H40" s="31"/>
      <c r="I40" s="27">
        <f t="shared" si="117"/>
        <v>7228</v>
      </c>
      <c r="J40" s="188"/>
      <c r="K40" s="26" t="s">
        <v>8</v>
      </c>
      <c r="L40" s="191">
        <f t="shared" si="118"/>
        <v>44</v>
      </c>
      <c r="M40" s="191">
        <f t="shared" si="124"/>
        <v>44</v>
      </c>
      <c r="N40" s="191">
        <f t="shared" si="128"/>
        <v>43</v>
      </c>
      <c r="O40" s="191">
        <f t="shared" si="131"/>
        <v>6</v>
      </c>
      <c r="P40" s="191">
        <f t="shared" ref="P40:Q40" si="132">INT(G40/52)</f>
        <v>0</v>
      </c>
      <c r="Q40" s="191">
        <f t="shared" si="132"/>
        <v>0</v>
      </c>
      <c r="R40" s="27">
        <f t="shared" si="119"/>
        <v>137</v>
      </c>
      <c r="S40" s="29"/>
      <c r="AE40" s="188"/>
      <c r="AF40" s="26" t="s">
        <v>8</v>
      </c>
      <c r="AG40" s="27">
        <f t="shared" ref="AG40:AL40" si="133">X72*2</f>
        <v>0</v>
      </c>
      <c r="AH40" s="27">
        <f t="shared" si="133"/>
        <v>0</v>
      </c>
      <c r="AI40" s="27">
        <f t="shared" si="133"/>
        <v>0</v>
      </c>
      <c r="AJ40" s="27">
        <f t="shared" si="133"/>
        <v>0</v>
      </c>
      <c r="AK40" s="27">
        <f t="shared" si="133"/>
        <v>0</v>
      </c>
      <c r="AL40" s="27">
        <f t="shared" si="133"/>
        <v>0</v>
      </c>
      <c r="AM40" s="27">
        <f t="shared" si="121"/>
        <v>0</v>
      </c>
      <c r="AO40" s="26" t="s">
        <v>8</v>
      </c>
      <c r="AP40" s="27" t="str">
        <f t="shared" ref="AP40:AU40" si="134">X72</f>
        <v/>
      </c>
      <c r="AQ40" s="27" t="str">
        <f t="shared" si="134"/>
        <v/>
      </c>
      <c r="AR40" s="27" t="str">
        <f t="shared" si="134"/>
        <v/>
      </c>
      <c r="AS40" s="27" t="str">
        <f t="shared" si="134"/>
        <v/>
      </c>
      <c r="AT40" s="27" t="str">
        <f t="shared" si="134"/>
        <v/>
      </c>
      <c r="AU40" s="27" t="str">
        <f t="shared" si="134"/>
        <v/>
      </c>
      <c r="AV40" s="27">
        <f t="shared" si="123"/>
        <v>0</v>
      </c>
      <c r="AW40" s="188"/>
    </row>
    <row r="41" ht="15.75" customHeight="1">
      <c r="A41" s="50"/>
      <c r="B41" s="26" t="s">
        <v>31</v>
      </c>
      <c r="C41" s="27">
        <v>6226.0</v>
      </c>
      <c r="D41" s="27">
        <v>3479.0</v>
      </c>
      <c r="E41" s="27">
        <v>5045.0</v>
      </c>
      <c r="F41" s="53">
        <v>1134.0</v>
      </c>
      <c r="G41" s="31"/>
      <c r="H41" s="31"/>
      <c r="I41" s="27">
        <f t="shared" si="117"/>
        <v>15884</v>
      </c>
      <c r="J41" s="188"/>
      <c r="K41" s="26" t="s">
        <v>31</v>
      </c>
      <c r="L41" s="191">
        <f t="shared" si="118"/>
        <v>119</v>
      </c>
      <c r="M41" s="191">
        <f t="shared" si="124"/>
        <v>66</v>
      </c>
      <c r="N41" s="191">
        <f t="shared" si="128"/>
        <v>97</v>
      </c>
      <c r="O41" s="191">
        <f t="shared" si="131"/>
        <v>21</v>
      </c>
      <c r="P41" s="191">
        <f t="shared" ref="P41:Q41" si="135">INT(G41/52)</f>
        <v>0</v>
      </c>
      <c r="Q41" s="191">
        <f t="shared" si="135"/>
        <v>0</v>
      </c>
      <c r="R41" s="27">
        <f t="shared" si="119"/>
        <v>303</v>
      </c>
      <c r="S41" s="29"/>
      <c r="AE41" s="188"/>
      <c r="AF41" s="26" t="s">
        <v>31</v>
      </c>
      <c r="AG41" s="27">
        <f t="shared" ref="AG41:AL41" si="136">X73*2</f>
        <v>0</v>
      </c>
      <c r="AH41" s="27">
        <f t="shared" si="136"/>
        <v>0</v>
      </c>
      <c r="AI41" s="27">
        <f t="shared" si="136"/>
        <v>0</v>
      </c>
      <c r="AJ41" s="27">
        <f t="shared" si="136"/>
        <v>0</v>
      </c>
      <c r="AK41" s="27">
        <f t="shared" si="136"/>
        <v>0</v>
      </c>
      <c r="AL41" s="27">
        <f t="shared" si="136"/>
        <v>0</v>
      </c>
      <c r="AM41" s="27">
        <f t="shared" si="121"/>
        <v>0</v>
      </c>
      <c r="AO41" s="26" t="s">
        <v>31</v>
      </c>
      <c r="AP41" s="27" t="str">
        <f t="shared" ref="AP41:AU41" si="137">X73</f>
        <v/>
      </c>
      <c r="AQ41" s="27" t="str">
        <f t="shared" si="137"/>
        <v/>
      </c>
      <c r="AR41" s="27" t="str">
        <f t="shared" si="137"/>
        <v/>
      </c>
      <c r="AS41" s="27" t="str">
        <f t="shared" si="137"/>
        <v/>
      </c>
      <c r="AT41" s="27" t="str">
        <f t="shared" si="137"/>
        <v/>
      </c>
      <c r="AU41" s="27" t="str">
        <f t="shared" si="137"/>
        <v/>
      </c>
      <c r="AV41" s="27">
        <f t="shared" si="123"/>
        <v>0</v>
      </c>
      <c r="AW41" s="188"/>
      <c r="AX41" s="2">
        <f>AY38*52</f>
        <v>3431295178</v>
      </c>
    </row>
    <row r="42" ht="15.75" customHeight="1">
      <c r="A42" s="50"/>
      <c r="B42" s="32" t="s">
        <v>48</v>
      </c>
      <c r="C42" s="33">
        <f t="shared" ref="C42:I42" si="138">SUM(C36:C41)</f>
        <v>10496</v>
      </c>
      <c r="D42" s="33">
        <f t="shared" si="138"/>
        <v>6546</v>
      </c>
      <c r="E42" s="33">
        <f t="shared" si="138"/>
        <v>7675</v>
      </c>
      <c r="F42" s="33">
        <f t="shared" si="138"/>
        <v>1469</v>
      </c>
      <c r="G42" s="33">
        <f t="shared" si="138"/>
        <v>957</v>
      </c>
      <c r="H42" s="33">
        <f t="shared" si="138"/>
        <v>157</v>
      </c>
      <c r="I42" s="33">
        <f t="shared" si="138"/>
        <v>27300</v>
      </c>
      <c r="J42" s="188"/>
      <c r="K42" s="32" t="s">
        <v>48</v>
      </c>
      <c r="L42" s="33">
        <f t="shared" ref="L42:R42" si="139">SUM(L36:L41)</f>
        <v>199</v>
      </c>
      <c r="M42" s="33">
        <f t="shared" si="139"/>
        <v>123</v>
      </c>
      <c r="N42" s="33">
        <f t="shared" si="139"/>
        <v>146</v>
      </c>
      <c r="O42" s="33">
        <f t="shared" si="139"/>
        <v>27</v>
      </c>
      <c r="P42" s="33">
        <f t="shared" si="139"/>
        <v>1</v>
      </c>
      <c r="Q42" s="33">
        <f t="shared" si="139"/>
        <v>0</v>
      </c>
      <c r="R42" s="33">
        <f t="shared" si="139"/>
        <v>496</v>
      </c>
      <c r="S42" s="29"/>
      <c r="AE42" s="188"/>
      <c r="AF42" s="32" t="s">
        <v>48</v>
      </c>
      <c r="AG42" s="33">
        <f t="shared" ref="AG42:AM42" si="140">SUM(AG36:AG41)</f>
        <v>0</v>
      </c>
      <c r="AH42" s="33">
        <f t="shared" si="140"/>
        <v>0</v>
      </c>
      <c r="AI42" s="33">
        <f t="shared" si="140"/>
        <v>0</v>
      </c>
      <c r="AJ42" s="33">
        <f t="shared" si="140"/>
        <v>0</v>
      </c>
      <c r="AK42" s="33">
        <f t="shared" si="140"/>
        <v>0</v>
      </c>
      <c r="AL42" s="33">
        <f t="shared" si="140"/>
        <v>66</v>
      </c>
      <c r="AM42" s="33">
        <f t="shared" si="140"/>
        <v>66</v>
      </c>
      <c r="AO42" s="32" t="s">
        <v>48</v>
      </c>
      <c r="AP42" s="33">
        <f t="shared" ref="AP42:AV42" si="141">SUM(AP36:AP41)</f>
        <v>0</v>
      </c>
      <c r="AQ42" s="33">
        <f t="shared" si="141"/>
        <v>0</v>
      </c>
      <c r="AR42" s="33">
        <f t="shared" si="141"/>
        <v>0</v>
      </c>
      <c r="AS42" s="33">
        <f t="shared" si="141"/>
        <v>0</v>
      </c>
      <c r="AT42" s="33">
        <f t="shared" si="141"/>
        <v>0</v>
      </c>
      <c r="AU42" s="33">
        <f t="shared" si="141"/>
        <v>33</v>
      </c>
      <c r="AV42" s="33">
        <f t="shared" si="141"/>
        <v>33</v>
      </c>
      <c r="AW42" s="188"/>
    </row>
    <row r="43" ht="15.75" customHeight="1">
      <c r="J43" s="188"/>
      <c r="S43" s="29"/>
      <c r="T43" s="50"/>
      <c r="U43" s="50"/>
      <c r="V43" s="50"/>
      <c r="W43" s="50"/>
      <c r="X43" s="50"/>
      <c r="Y43" s="50"/>
      <c r="Z43" s="50"/>
      <c r="AA43" s="50"/>
      <c r="AD43" s="50"/>
      <c r="AE43" s="188"/>
      <c r="AW43" s="188"/>
    </row>
    <row r="44" ht="15.75" customHeight="1">
      <c r="A44" s="48"/>
      <c r="B44" s="19" t="s">
        <v>56</v>
      </c>
      <c r="C44" s="20"/>
      <c r="D44" s="20"/>
      <c r="E44" s="20"/>
      <c r="F44" s="20"/>
      <c r="G44" s="20"/>
      <c r="H44" s="20"/>
      <c r="I44" s="21"/>
      <c r="J44" s="188"/>
      <c r="K44" s="42" t="s">
        <v>404</v>
      </c>
      <c r="L44" s="20"/>
      <c r="M44" s="20"/>
      <c r="N44" s="20"/>
      <c r="O44" s="20"/>
      <c r="P44" s="20"/>
      <c r="Q44" s="20"/>
      <c r="R44" s="21"/>
      <c r="S44" s="29"/>
      <c r="AE44" s="188"/>
      <c r="AF44" s="116" t="s">
        <v>247</v>
      </c>
      <c r="AG44" s="20"/>
      <c r="AH44" s="20"/>
      <c r="AI44" s="20"/>
      <c r="AJ44" s="20"/>
      <c r="AK44" s="20"/>
      <c r="AL44" s="20"/>
      <c r="AM44" s="21"/>
      <c r="AO44" s="116" t="s">
        <v>405</v>
      </c>
      <c r="AP44" s="20"/>
      <c r="AQ44" s="20"/>
      <c r="AR44" s="20"/>
      <c r="AS44" s="20"/>
      <c r="AT44" s="20"/>
      <c r="AU44" s="20"/>
      <c r="AV44" s="21"/>
      <c r="AW44" s="188"/>
      <c r="AX44" s="57"/>
      <c r="AY44" s="57"/>
      <c r="AZ44" s="57"/>
      <c r="BA44" s="57"/>
      <c r="BB44" s="57"/>
      <c r="BC44" s="57"/>
      <c r="BD44" s="57"/>
      <c r="BE44" s="57"/>
    </row>
    <row r="45" ht="15.75" customHeight="1">
      <c r="A45" s="48"/>
      <c r="B45" s="4" t="s">
        <v>42</v>
      </c>
      <c r="C45" s="4" t="s">
        <v>25</v>
      </c>
      <c r="D45" s="4" t="s">
        <v>28</v>
      </c>
      <c r="E45" s="4" t="s">
        <v>9</v>
      </c>
      <c r="F45" s="49" t="s">
        <v>33</v>
      </c>
      <c r="G45" s="4" t="s">
        <v>8</v>
      </c>
      <c r="H45" s="4" t="s">
        <v>31</v>
      </c>
      <c r="I45" s="4" t="s">
        <v>43</v>
      </c>
      <c r="J45" s="188"/>
      <c r="K45" s="4" t="s">
        <v>42</v>
      </c>
      <c r="L45" s="4" t="s">
        <v>25</v>
      </c>
      <c r="M45" s="4" t="s">
        <v>28</v>
      </c>
      <c r="N45" s="4" t="s">
        <v>9</v>
      </c>
      <c r="O45" s="49" t="s">
        <v>33</v>
      </c>
      <c r="P45" s="4" t="s">
        <v>8</v>
      </c>
      <c r="Q45" s="4" t="s">
        <v>31</v>
      </c>
      <c r="R45" s="4" t="s">
        <v>43</v>
      </c>
      <c r="S45" s="29"/>
      <c r="AE45" s="188"/>
      <c r="AF45" s="49" t="s">
        <v>42</v>
      </c>
      <c r="AG45" s="49" t="s">
        <v>25</v>
      </c>
      <c r="AH45" s="49" t="s">
        <v>28</v>
      </c>
      <c r="AI45" s="49" t="s">
        <v>9</v>
      </c>
      <c r="AJ45" s="49" t="s">
        <v>33</v>
      </c>
      <c r="AK45" s="49" t="s">
        <v>8</v>
      </c>
      <c r="AL45" s="49" t="s">
        <v>31</v>
      </c>
      <c r="AM45" s="49" t="s">
        <v>43</v>
      </c>
      <c r="AO45" s="49" t="s">
        <v>42</v>
      </c>
      <c r="AP45" s="49" t="s">
        <v>25</v>
      </c>
      <c r="AQ45" s="49" t="s">
        <v>28</v>
      </c>
      <c r="AR45" s="49" t="s">
        <v>9</v>
      </c>
      <c r="AS45" s="49" t="s">
        <v>33</v>
      </c>
      <c r="AT45" s="49" t="s">
        <v>8</v>
      </c>
      <c r="AU45" s="49" t="s">
        <v>31</v>
      </c>
      <c r="AV45" s="49" t="s">
        <v>43</v>
      </c>
      <c r="AW45" s="188"/>
      <c r="AX45" s="57"/>
      <c r="AY45" s="57"/>
      <c r="AZ45" s="57"/>
      <c r="BA45" s="57"/>
      <c r="BB45" s="57"/>
      <c r="BC45" s="57"/>
      <c r="BD45" s="57"/>
      <c r="BE45" s="57"/>
    </row>
    <row r="46" ht="15.75" customHeight="1">
      <c r="A46" s="50"/>
      <c r="B46" s="26" t="s">
        <v>25</v>
      </c>
      <c r="C46" s="27">
        <f t="shared" ref="C46:H46" si="142">C6+C16+C26+C36</f>
        <v>0</v>
      </c>
      <c r="D46" s="27">
        <f t="shared" si="142"/>
        <v>7825</v>
      </c>
      <c r="E46" s="27">
        <f t="shared" si="142"/>
        <v>8552</v>
      </c>
      <c r="F46" s="27">
        <f t="shared" si="142"/>
        <v>3498</v>
      </c>
      <c r="G46" s="27">
        <f t="shared" si="142"/>
        <v>57554</v>
      </c>
      <c r="H46" s="27">
        <f t="shared" si="142"/>
        <v>6022</v>
      </c>
      <c r="I46" s="27">
        <f t="shared" ref="I46:I51" si="147">SUM(C46:H46)</f>
        <v>83451</v>
      </c>
      <c r="J46" s="188"/>
      <c r="K46" s="26" t="s">
        <v>25</v>
      </c>
      <c r="L46" s="191">
        <f t="shared" ref="L46:Q46" si="143">L6+L16+L26+L36</f>
        <v>0</v>
      </c>
      <c r="M46" s="191">
        <f t="shared" si="143"/>
        <v>0</v>
      </c>
      <c r="N46" s="191">
        <f t="shared" si="143"/>
        <v>164</v>
      </c>
      <c r="O46" s="191">
        <f t="shared" si="143"/>
        <v>0</v>
      </c>
      <c r="P46" s="191">
        <f t="shared" si="143"/>
        <v>1106</v>
      </c>
      <c r="Q46" s="191">
        <f t="shared" si="143"/>
        <v>114</v>
      </c>
      <c r="R46" s="27">
        <f t="shared" ref="R46:R51" si="149">SUM(L46:Q46)</f>
        <v>1384</v>
      </c>
      <c r="S46" s="29"/>
      <c r="AE46" s="188"/>
      <c r="AF46" s="26" t="s">
        <v>25</v>
      </c>
      <c r="AG46" s="27">
        <f t="shared" ref="AG46:AL46" si="144">X78*4</f>
        <v>0</v>
      </c>
      <c r="AH46" s="27">
        <f t="shared" si="144"/>
        <v>0</v>
      </c>
      <c r="AI46" s="27">
        <f t="shared" si="144"/>
        <v>0</v>
      </c>
      <c r="AJ46" s="27">
        <f t="shared" si="144"/>
        <v>0</v>
      </c>
      <c r="AK46" s="27">
        <f t="shared" si="144"/>
        <v>0</v>
      </c>
      <c r="AL46" s="27">
        <f t="shared" si="144"/>
        <v>0</v>
      </c>
      <c r="AM46" s="27">
        <f t="shared" ref="AM46:AM51" si="151">SUM(AG46:AL46)</f>
        <v>0</v>
      </c>
      <c r="AO46" s="26" t="s">
        <v>25</v>
      </c>
      <c r="AP46" s="27">
        <f t="shared" ref="AP46:AU46" si="145">X78*2</f>
        <v>0</v>
      </c>
      <c r="AQ46" s="27">
        <f t="shared" si="145"/>
        <v>0</v>
      </c>
      <c r="AR46" s="27">
        <f t="shared" si="145"/>
        <v>0</v>
      </c>
      <c r="AS46" s="27">
        <f t="shared" si="145"/>
        <v>0</v>
      </c>
      <c r="AT46" s="27">
        <f t="shared" si="145"/>
        <v>0</v>
      </c>
      <c r="AU46" s="27">
        <f t="shared" si="145"/>
        <v>0</v>
      </c>
      <c r="AV46" s="27">
        <f t="shared" ref="AV46:AV51" si="153">SUM(AP46:AU46)</f>
        <v>0</v>
      </c>
      <c r="AW46" s="188"/>
      <c r="AX46" s="50"/>
      <c r="AY46" s="50"/>
      <c r="AZ46" s="50"/>
      <c r="BA46" s="50"/>
      <c r="BB46" s="50"/>
      <c r="BC46" s="50"/>
      <c r="BD46" s="50"/>
      <c r="BE46" s="50"/>
      <c r="BX46" s="29"/>
      <c r="BY46" s="29"/>
    </row>
    <row r="47" ht="15.75" customHeight="1">
      <c r="A47" s="50"/>
      <c r="B47" s="26" t="s">
        <v>28</v>
      </c>
      <c r="C47" s="27">
        <f t="shared" ref="C47:H47" si="146">C7+C17+C27+C37</f>
        <v>13384</v>
      </c>
      <c r="D47" s="27">
        <f t="shared" si="146"/>
        <v>0</v>
      </c>
      <c r="E47" s="27">
        <f t="shared" si="146"/>
        <v>2780</v>
      </c>
      <c r="F47" s="27">
        <f t="shared" si="146"/>
        <v>594</v>
      </c>
      <c r="G47" s="27">
        <f t="shared" si="146"/>
        <v>17206</v>
      </c>
      <c r="H47" s="27">
        <f t="shared" si="146"/>
        <v>7321</v>
      </c>
      <c r="I47" s="27">
        <f t="shared" si="147"/>
        <v>41285</v>
      </c>
      <c r="J47" s="188"/>
      <c r="K47" s="26" t="s">
        <v>28</v>
      </c>
      <c r="L47" s="191">
        <f t="shared" ref="L47:Q47" si="148">L7+L17+L27+L37</f>
        <v>256</v>
      </c>
      <c r="M47" s="191">
        <f t="shared" si="148"/>
        <v>0</v>
      </c>
      <c r="N47" s="191">
        <f t="shared" si="148"/>
        <v>0</v>
      </c>
      <c r="O47" s="191">
        <f t="shared" si="148"/>
        <v>0</v>
      </c>
      <c r="P47" s="191">
        <f t="shared" si="148"/>
        <v>0</v>
      </c>
      <c r="Q47" s="191">
        <f t="shared" si="148"/>
        <v>0</v>
      </c>
      <c r="R47" s="27">
        <f t="shared" si="149"/>
        <v>256</v>
      </c>
      <c r="S47" s="29"/>
      <c r="AE47" s="188"/>
      <c r="AF47" s="26" t="s">
        <v>28</v>
      </c>
      <c r="AG47" s="27">
        <f t="shared" ref="AG47:AL47" si="150">X79*4</f>
        <v>0</v>
      </c>
      <c r="AH47" s="27">
        <f t="shared" si="150"/>
        <v>0</v>
      </c>
      <c r="AI47" s="27">
        <f t="shared" si="150"/>
        <v>0</v>
      </c>
      <c r="AJ47" s="27">
        <f t="shared" si="150"/>
        <v>0</v>
      </c>
      <c r="AK47" s="27">
        <f t="shared" si="150"/>
        <v>0</v>
      </c>
      <c r="AL47" s="195">
        <f t="shared" si="150"/>
        <v>0</v>
      </c>
      <c r="AM47" s="27">
        <f t="shared" si="151"/>
        <v>0</v>
      </c>
      <c r="AO47" s="26" t="s">
        <v>28</v>
      </c>
      <c r="AP47" s="27">
        <f t="shared" ref="AP47:AU47" si="152">X79*2</f>
        <v>0</v>
      </c>
      <c r="AQ47" s="27">
        <f t="shared" si="152"/>
        <v>0</v>
      </c>
      <c r="AR47" s="27">
        <f t="shared" si="152"/>
        <v>0</v>
      </c>
      <c r="AS47" s="27">
        <f t="shared" si="152"/>
        <v>0</v>
      </c>
      <c r="AT47" s="27">
        <f t="shared" si="152"/>
        <v>0</v>
      </c>
      <c r="AU47" s="195">
        <f t="shared" si="152"/>
        <v>0</v>
      </c>
      <c r="AV47" s="27">
        <f t="shared" si="153"/>
        <v>0</v>
      </c>
      <c r="AW47" s="188"/>
      <c r="AX47" s="50"/>
      <c r="AY47" s="50"/>
      <c r="AZ47" s="50"/>
      <c r="BA47" s="50"/>
      <c r="BB47" s="50"/>
      <c r="BC47" s="50"/>
      <c r="BD47" s="50"/>
      <c r="BE47" s="50"/>
      <c r="BX47" s="29"/>
      <c r="BY47" s="29"/>
    </row>
    <row r="48" ht="15.75" customHeight="1">
      <c r="A48" s="50"/>
      <c r="B48" s="26" t="s">
        <v>9</v>
      </c>
      <c r="C48" s="27">
        <f t="shared" ref="C48:H48" si="154">C8+C18+C28+C38</f>
        <v>21147</v>
      </c>
      <c r="D48" s="27">
        <f t="shared" si="154"/>
        <v>6937</v>
      </c>
      <c r="E48" s="27">
        <f t="shared" si="154"/>
        <v>0</v>
      </c>
      <c r="F48" s="27">
        <f t="shared" si="154"/>
        <v>3620</v>
      </c>
      <c r="G48" s="27">
        <f t="shared" si="154"/>
        <v>18324</v>
      </c>
      <c r="H48" s="27">
        <f t="shared" si="154"/>
        <v>5127</v>
      </c>
      <c r="I48" s="27">
        <f t="shared" si="147"/>
        <v>55155</v>
      </c>
      <c r="J48" s="188"/>
      <c r="K48" s="26" t="s">
        <v>9</v>
      </c>
      <c r="L48" s="191">
        <f t="shared" ref="L48:Q48" si="155">L8+L18+L28+L38</f>
        <v>405</v>
      </c>
      <c r="M48" s="191">
        <f t="shared" si="155"/>
        <v>132</v>
      </c>
      <c r="N48" s="191">
        <f t="shared" si="155"/>
        <v>0</v>
      </c>
      <c r="O48" s="191">
        <f t="shared" si="155"/>
        <v>0</v>
      </c>
      <c r="P48" s="191">
        <f t="shared" si="155"/>
        <v>350</v>
      </c>
      <c r="Q48" s="191">
        <f t="shared" si="155"/>
        <v>97</v>
      </c>
      <c r="R48" s="27">
        <f t="shared" si="149"/>
        <v>984</v>
      </c>
      <c r="S48" s="29"/>
      <c r="AE48" s="188"/>
      <c r="AF48" s="26" t="s">
        <v>9</v>
      </c>
      <c r="AG48" s="195">
        <f t="shared" ref="AG48:AL48" si="156">X80*4</f>
        <v>764</v>
      </c>
      <c r="AH48" s="27">
        <f t="shared" si="156"/>
        <v>0</v>
      </c>
      <c r="AI48" s="27">
        <f t="shared" si="156"/>
        <v>0</v>
      </c>
      <c r="AJ48" s="27">
        <f t="shared" si="156"/>
        <v>0</v>
      </c>
      <c r="AK48" s="195">
        <f t="shared" si="156"/>
        <v>0</v>
      </c>
      <c r="AL48" s="195">
        <f t="shared" si="156"/>
        <v>0</v>
      </c>
      <c r="AM48" s="27">
        <f t="shared" si="151"/>
        <v>764</v>
      </c>
      <c r="AO48" s="26" t="s">
        <v>9</v>
      </c>
      <c r="AP48" s="195">
        <f t="shared" ref="AP48:AU48" si="157">X80*2</f>
        <v>382</v>
      </c>
      <c r="AQ48" s="27">
        <f t="shared" si="157"/>
        <v>0</v>
      </c>
      <c r="AR48" s="27">
        <f t="shared" si="157"/>
        <v>0</v>
      </c>
      <c r="AS48" s="27">
        <f t="shared" si="157"/>
        <v>0</v>
      </c>
      <c r="AT48" s="195">
        <f t="shared" si="157"/>
        <v>0</v>
      </c>
      <c r="AU48" s="195">
        <f t="shared" si="157"/>
        <v>0</v>
      </c>
      <c r="AV48" s="27">
        <f t="shared" si="153"/>
        <v>382</v>
      </c>
      <c r="AW48" s="188"/>
      <c r="AX48" s="50"/>
      <c r="AY48" s="50"/>
      <c r="AZ48" s="50"/>
      <c r="BA48" s="50"/>
      <c r="BB48" s="50"/>
      <c r="BC48" s="50"/>
      <c r="BD48" s="50"/>
      <c r="BE48" s="50"/>
      <c r="BX48" s="29"/>
      <c r="BY48" s="29"/>
    </row>
    <row r="49" ht="15.75" customHeight="1">
      <c r="A49" s="50"/>
      <c r="B49" s="26" t="s">
        <v>33</v>
      </c>
      <c r="C49" s="27">
        <f t="shared" ref="C49:H49" si="158">C9+C19+C29+C39</f>
        <v>3873</v>
      </c>
      <c r="D49" s="27">
        <f t="shared" si="158"/>
        <v>3139</v>
      </c>
      <c r="E49" s="27">
        <f t="shared" si="158"/>
        <v>2375</v>
      </c>
      <c r="F49" s="27">
        <f t="shared" si="158"/>
        <v>0</v>
      </c>
      <c r="G49" s="27">
        <f t="shared" si="158"/>
        <v>22201</v>
      </c>
      <c r="H49" s="27">
        <f t="shared" si="158"/>
        <v>2846</v>
      </c>
      <c r="I49" s="27">
        <f t="shared" si="147"/>
        <v>34434</v>
      </c>
      <c r="J49" s="188"/>
      <c r="K49" s="26" t="s">
        <v>33</v>
      </c>
      <c r="L49" s="191">
        <f t="shared" ref="L49:Q49" si="159">L9+L19+L29+L39</f>
        <v>73</v>
      </c>
      <c r="M49" s="191">
        <f t="shared" si="159"/>
        <v>59</v>
      </c>
      <c r="N49" s="191">
        <f t="shared" si="159"/>
        <v>44</v>
      </c>
      <c r="O49" s="191">
        <f t="shared" si="159"/>
        <v>0</v>
      </c>
      <c r="P49" s="191">
        <f t="shared" si="159"/>
        <v>0</v>
      </c>
      <c r="Q49" s="191">
        <f t="shared" si="159"/>
        <v>0</v>
      </c>
      <c r="R49" s="27">
        <f t="shared" si="149"/>
        <v>176</v>
      </c>
      <c r="S49" s="29"/>
      <c r="AE49" s="188"/>
      <c r="AF49" s="26" t="s">
        <v>33</v>
      </c>
      <c r="AG49" s="195">
        <f t="shared" ref="AG49:AL49" si="160">X81*4</f>
        <v>0</v>
      </c>
      <c r="AH49" s="27">
        <f t="shared" si="160"/>
        <v>0</v>
      </c>
      <c r="AI49" s="27">
        <f t="shared" si="160"/>
        <v>0</v>
      </c>
      <c r="AJ49" s="27">
        <f t="shared" si="160"/>
        <v>0</v>
      </c>
      <c r="AK49" s="27">
        <f t="shared" si="160"/>
        <v>0</v>
      </c>
      <c r="AL49" s="27">
        <f t="shared" si="160"/>
        <v>0</v>
      </c>
      <c r="AM49" s="27">
        <f t="shared" si="151"/>
        <v>0</v>
      </c>
      <c r="AO49" s="26" t="s">
        <v>33</v>
      </c>
      <c r="AP49" s="195">
        <f t="shared" ref="AP49:AU49" si="161">X81*2</f>
        <v>0</v>
      </c>
      <c r="AQ49" s="27">
        <f t="shared" si="161"/>
        <v>0</v>
      </c>
      <c r="AR49" s="27">
        <f t="shared" si="161"/>
        <v>0</v>
      </c>
      <c r="AS49" s="27">
        <f t="shared" si="161"/>
        <v>0</v>
      </c>
      <c r="AT49" s="27">
        <f t="shared" si="161"/>
        <v>0</v>
      </c>
      <c r="AU49" s="27">
        <f t="shared" si="161"/>
        <v>0</v>
      </c>
      <c r="AV49" s="27">
        <f t="shared" si="153"/>
        <v>0</v>
      </c>
      <c r="AW49" s="188"/>
      <c r="AX49" s="50"/>
      <c r="AY49" s="50"/>
      <c r="AZ49" s="50"/>
      <c r="BA49" s="50"/>
      <c r="BB49" s="50"/>
      <c r="BC49" s="50"/>
      <c r="BD49" s="50"/>
      <c r="BE49" s="50"/>
      <c r="BX49" s="29"/>
      <c r="BY49" s="29"/>
    </row>
    <row r="50" ht="15.75" customHeight="1">
      <c r="A50" s="50"/>
      <c r="B50" s="26" t="s">
        <v>8</v>
      </c>
      <c r="C50" s="27">
        <f t="shared" ref="C50:H50" si="162">C10+C20+C30+C40</f>
        <v>24407</v>
      </c>
      <c r="D50" s="27">
        <f t="shared" si="162"/>
        <v>31566</v>
      </c>
      <c r="E50" s="27">
        <f t="shared" si="162"/>
        <v>38079</v>
      </c>
      <c r="F50" s="27">
        <f t="shared" si="162"/>
        <v>6793</v>
      </c>
      <c r="G50" s="27">
        <f t="shared" si="162"/>
        <v>0</v>
      </c>
      <c r="H50" s="27">
        <f t="shared" si="162"/>
        <v>0</v>
      </c>
      <c r="I50" s="27">
        <f t="shared" si="147"/>
        <v>100845</v>
      </c>
      <c r="J50" s="188"/>
      <c r="K50" s="26" t="s">
        <v>8</v>
      </c>
      <c r="L50" s="191">
        <f t="shared" ref="L50:Q50" si="163">L10+L20+L30+L40</f>
        <v>468</v>
      </c>
      <c r="M50" s="191">
        <f t="shared" si="163"/>
        <v>605</v>
      </c>
      <c r="N50" s="191">
        <f t="shared" si="163"/>
        <v>731</v>
      </c>
      <c r="O50" s="191">
        <f t="shared" si="163"/>
        <v>129</v>
      </c>
      <c r="P50" s="191">
        <f t="shared" si="163"/>
        <v>0</v>
      </c>
      <c r="Q50" s="191">
        <f t="shared" si="163"/>
        <v>0</v>
      </c>
      <c r="R50" s="27">
        <f t="shared" si="149"/>
        <v>1933</v>
      </c>
      <c r="S50" s="29"/>
      <c r="AE50" s="188"/>
      <c r="AF50" s="26" t="s">
        <v>8</v>
      </c>
      <c r="AG50" s="27">
        <f t="shared" ref="AG50:AL50" si="164">X82*4</f>
        <v>0</v>
      </c>
      <c r="AH50" s="27">
        <f t="shared" si="164"/>
        <v>0</v>
      </c>
      <c r="AI50" s="27">
        <f t="shared" si="164"/>
        <v>0</v>
      </c>
      <c r="AJ50" s="27">
        <f t="shared" si="164"/>
        <v>0</v>
      </c>
      <c r="AK50" s="27">
        <f t="shared" si="164"/>
        <v>0</v>
      </c>
      <c r="AL50" s="27">
        <f t="shared" si="164"/>
        <v>0</v>
      </c>
      <c r="AM50" s="27">
        <f t="shared" si="151"/>
        <v>0</v>
      </c>
      <c r="AO50" s="26" t="s">
        <v>8</v>
      </c>
      <c r="AP50" s="27">
        <f t="shared" ref="AP50:AU50" si="165">X82*2</f>
        <v>0</v>
      </c>
      <c r="AQ50" s="27">
        <f t="shared" si="165"/>
        <v>0</v>
      </c>
      <c r="AR50" s="27">
        <f t="shared" si="165"/>
        <v>0</v>
      </c>
      <c r="AS50" s="27">
        <f t="shared" si="165"/>
        <v>0</v>
      </c>
      <c r="AT50" s="27">
        <f t="shared" si="165"/>
        <v>0</v>
      </c>
      <c r="AU50" s="27">
        <f t="shared" si="165"/>
        <v>0</v>
      </c>
      <c r="AV50" s="27">
        <f t="shared" si="153"/>
        <v>0</v>
      </c>
      <c r="AW50" s="188"/>
      <c r="AX50" s="50"/>
      <c r="AY50" s="50"/>
      <c r="AZ50" s="50"/>
      <c r="BA50" s="50"/>
      <c r="BB50" s="50"/>
      <c r="BC50" s="50"/>
      <c r="BD50" s="50"/>
      <c r="BE50" s="50"/>
      <c r="BX50" s="29"/>
      <c r="BY50" s="29"/>
    </row>
    <row r="51" ht="15.75" customHeight="1">
      <c r="A51" s="50"/>
      <c r="B51" s="26" t="s">
        <v>31</v>
      </c>
      <c r="C51" s="27">
        <f t="shared" ref="C51:H51" si="166">C11+C21+C31+C41</f>
        <v>18888</v>
      </c>
      <c r="D51" s="27">
        <f t="shared" si="166"/>
        <v>28520</v>
      </c>
      <c r="E51" s="27">
        <f t="shared" si="166"/>
        <v>38701</v>
      </c>
      <c r="F51" s="27">
        <f t="shared" si="166"/>
        <v>7743</v>
      </c>
      <c r="G51" s="27">
        <f t="shared" si="166"/>
        <v>0</v>
      </c>
      <c r="H51" s="27">
        <f t="shared" si="166"/>
        <v>0</v>
      </c>
      <c r="I51" s="27">
        <f t="shared" si="147"/>
        <v>93852</v>
      </c>
      <c r="J51" s="188"/>
      <c r="K51" s="26" t="s">
        <v>31</v>
      </c>
      <c r="L51" s="191">
        <f t="shared" ref="L51:Q51" si="167">L11+L21+L31+L41</f>
        <v>361</v>
      </c>
      <c r="M51" s="191">
        <f t="shared" si="167"/>
        <v>546</v>
      </c>
      <c r="N51" s="191">
        <f t="shared" si="167"/>
        <v>743</v>
      </c>
      <c r="O51" s="191">
        <f t="shared" si="167"/>
        <v>147</v>
      </c>
      <c r="P51" s="191">
        <f t="shared" si="167"/>
        <v>0</v>
      </c>
      <c r="Q51" s="191">
        <f t="shared" si="167"/>
        <v>0</v>
      </c>
      <c r="R51" s="27">
        <f t="shared" si="149"/>
        <v>1797</v>
      </c>
      <c r="S51" s="29"/>
      <c r="AE51" s="188"/>
      <c r="AF51" s="26" t="s">
        <v>31</v>
      </c>
      <c r="AG51" s="27">
        <f t="shared" ref="AG51:AL51" si="168">X83*4</f>
        <v>0</v>
      </c>
      <c r="AH51" s="27">
        <f t="shared" si="168"/>
        <v>0</v>
      </c>
      <c r="AI51" s="27">
        <f t="shared" si="168"/>
        <v>0</v>
      </c>
      <c r="AJ51" s="27">
        <f t="shared" si="168"/>
        <v>0</v>
      </c>
      <c r="AK51" s="27">
        <f t="shared" si="168"/>
        <v>0</v>
      </c>
      <c r="AL51" s="27">
        <f t="shared" si="168"/>
        <v>0</v>
      </c>
      <c r="AM51" s="27">
        <f t="shared" si="151"/>
        <v>0</v>
      </c>
      <c r="AO51" s="26" t="s">
        <v>31</v>
      </c>
      <c r="AP51" s="27">
        <f t="shared" ref="AP51:AU51" si="169">X83*2</f>
        <v>0</v>
      </c>
      <c r="AQ51" s="27">
        <f t="shared" si="169"/>
        <v>0</v>
      </c>
      <c r="AR51" s="27">
        <f t="shared" si="169"/>
        <v>0</v>
      </c>
      <c r="AS51" s="27">
        <f t="shared" si="169"/>
        <v>0</v>
      </c>
      <c r="AT51" s="27">
        <f t="shared" si="169"/>
        <v>0</v>
      </c>
      <c r="AU51" s="27">
        <f t="shared" si="169"/>
        <v>0</v>
      </c>
      <c r="AV51" s="27">
        <f t="shared" si="153"/>
        <v>0</v>
      </c>
      <c r="AW51" s="188"/>
      <c r="AX51" s="50"/>
      <c r="AY51" s="50"/>
      <c r="AZ51" s="50"/>
      <c r="BA51" s="50"/>
      <c r="BB51" s="50"/>
      <c r="BC51" s="50"/>
      <c r="BD51" s="50"/>
      <c r="BE51" s="50"/>
      <c r="BX51" s="29"/>
      <c r="BY51" s="29"/>
    </row>
    <row r="52" ht="15.75" customHeight="1">
      <c r="A52" s="50"/>
      <c r="B52" s="32" t="s">
        <v>48</v>
      </c>
      <c r="C52" s="33">
        <f t="shared" ref="C52:I52" si="170">SUM(C46:C51)</f>
        <v>81699</v>
      </c>
      <c r="D52" s="33">
        <f t="shared" si="170"/>
        <v>77987</v>
      </c>
      <c r="E52" s="33">
        <f t="shared" si="170"/>
        <v>90487</v>
      </c>
      <c r="F52" s="33">
        <f t="shared" si="170"/>
        <v>22248</v>
      </c>
      <c r="G52" s="33">
        <f t="shared" si="170"/>
        <v>115285</v>
      </c>
      <c r="H52" s="33">
        <f t="shared" si="170"/>
        <v>21316</v>
      </c>
      <c r="I52" s="33">
        <f t="shared" si="170"/>
        <v>409022</v>
      </c>
      <c r="J52" s="188"/>
      <c r="K52" s="32" t="s">
        <v>48</v>
      </c>
      <c r="L52" s="33">
        <f t="shared" ref="L52:R52" si="171">SUM(L46:L51)</f>
        <v>1563</v>
      </c>
      <c r="M52" s="33">
        <f t="shared" si="171"/>
        <v>1342</v>
      </c>
      <c r="N52" s="33">
        <f t="shared" si="171"/>
        <v>1682</v>
      </c>
      <c r="O52" s="33">
        <f t="shared" si="171"/>
        <v>276</v>
      </c>
      <c r="P52" s="33">
        <f t="shared" si="171"/>
        <v>1456</v>
      </c>
      <c r="Q52" s="33">
        <f t="shared" si="171"/>
        <v>211</v>
      </c>
      <c r="R52" s="33">
        <f t="shared" si="171"/>
        <v>6530</v>
      </c>
      <c r="S52" s="29"/>
      <c r="AE52" s="188"/>
      <c r="AF52" s="32" t="s">
        <v>48</v>
      </c>
      <c r="AG52" s="33">
        <f t="shared" ref="AG52:AM52" si="172">SUM(AG46:AG51)</f>
        <v>764</v>
      </c>
      <c r="AH52" s="33">
        <f t="shared" si="172"/>
        <v>0</v>
      </c>
      <c r="AI52" s="33">
        <f t="shared" si="172"/>
        <v>0</v>
      </c>
      <c r="AJ52" s="33">
        <f t="shared" si="172"/>
        <v>0</v>
      </c>
      <c r="AK52" s="33">
        <f t="shared" si="172"/>
        <v>0</v>
      </c>
      <c r="AL52" s="33">
        <f t="shared" si="172"/>
        <v>0</v>
      </c>
      <c r="AM52" s="33">
        <f t="shared" si="172"/>
        <v>764</v>
      </c>
      <c r="AO52" s="32" t="s">
        <v>48</v>
      </c>
      <c r="AP52" s="33">
        <f t="shared" ref="AP52:AV52" si="173">SUM(AP46:AP51)</f>
        <v>382</v>
      </c>
      <c r="AQ52" s="33">
        <f t="shared" si="173"/>
        <v>0</v>
      </c>
      <c r="AR52" s="33">
        <f t="shared" si="173"/>
        <v>0</v>
      </c>
      <c r="AS52" s="33">
        <f t="shared" si="173"/>
        <v>0</v>
      </c>
      <c r="AT52" s="33">
        <f t="shared" si="173"/>
        <v>0</v>
      </c>
      <c r="AU52" s="33">
        <f t="shared" si="173"/>
        <v>0</v>
      </c>
      <c r="AV52" s="33">
        <f t="shared" si="173"/>
        <v>382</v>
      </c>
      <c r="AW52" s="188"/>
      <c r="AX52" s="50"/>
      <c r="AY52" s="50"/>
      <c r="AZ52" s="50"/>
      <c r="BA52" s="50"/>
      <c r="BB52" s="50"/>
      <c r="BC52" s="50"/>
      <c r="BD52" s="50"/>
      <c r="BE52" s="50"/>
      <c r="BX52" s="29"/>
      <c r="BY52" s="29"/>
    </row>
    <row r="53" ht="15.75" customHeight="1">
      <c r="J53" s="188"/>
      <c r="S53" s="29"/>
      <c r="AE53" s="188"/>
      <c r="AW53" s="188"/>
      <c r="BX53" s="29"/>
      <c r="BY53" s="29"/>
    </row>
    <row r="54" ht="15.75" customHeight="1">
      <c r="A54" s="48"/>
      <c r="B54" s="19" t="s">
        <v>58</v>
      </c>
      <c r="C54" s="20"/>
      <c r="D54" s="20"/>
      <c r="E54" s="20"/>
      <c r="F54" s="20"/>
      <c r="G54" s="20"/>
      <c r="H54" s="20"/>
      <c r="I54" s="21"/>
      <c r="J54" s="188"/>
      <c r="K54" s="42" t="s">
        <v>406</v>
      </c>
      <c r="L54" s="20"/>
      <c r="M54" s="20"/>
      <c r="N54" s="20"/>
      <c r="O54" s="20"/>
      <c r="P54" s="20"/>
      <c r="Q54" s="20"/>
      <c r="R54" s="21"/>
      <c r="S54" s="29"/>
      <c r="AE54" s="188"/>
      <c r="AF54" s="116" t="s">
        <v>253</v>
      </c>
      <c r="AG54" s="20"/>
      <c r="AH54" s="20"/>
      <c r="AI54" s="20"/>
      <c r="AJ54" s="20"/>
      <c r="AK54" s="20"/>
      <c r="AL54" s="20"/>
      <c r="AM54" s="21"/>
      <c r="AO54" s="116" t="s">
        <v>407</v>
      </c>
      <c r="AP54" s="20"/>
      <c r="AQ54" s="20"/>
      <c r="AR54" s="20"/>
      <c r="AS54" s="20"/>
      <c r="AT54" s="20"/>
      <c r="AU54" s="20"/>
      <c r="AV54" s="21"/>
      <c r="AW54" s="188"/>
      <c r="AX54" s="57"/>
      <c r="AY54" s="57"/>
      <c r="AZ54" s="57"/>
      <c r="BA54" s="57"/>
      <c r="BB54" s="57"/>
      <c r="BC54" s="57"/>
      <c r="BD54" s="57"/>
      <c r="BE54" s="57"/>
      <c r="BX54" s="29"/>
      <c r="BY54" s="29"/>
    </row>
    <row r="55" ht="15.75" customHeight="1">
      <c r="A55" s="48"/>
      <c r="B55" s="4" t="s">
        <v>42</v>
      </c>
      <c r="C55" s="4" t="s">
        <v>25</v>
      </c>
      <c r="D55" s="4" t="s">
        <v>28</v>
      </c>
      <c r="E55" s="4" t="s">
        <v>9</v>
      </c>
      <c r="F55" s="49" t="s">
        <v>33</v>
      </c>
      <c r="G55" s="4" t="s">
        <v>8</v>
      </c>
      <c r="H55" s="4" t="s">
        <v>31</v>
      </c>
      <c r="I55" s="4" t="s">
        <v>43</v>
      </c>
      <c r="J55" s="188"/>
      <c r="K55" s="4" t="s">
        <v>42</v>
      </c>
      <c r="L55" s="4" t="s">
        <v>25</v>
      </c>
      <c r="M55" s="4" t="s">
        <v>28</v>
      </c>
      <c r="N55" s="4" t="s">
        <v>9</v>
      </c>
      <c r="O55" s="49" t="s">
        <v>33</v>
      </c>
      <c r="P55" s="4" t="s">
        <v>8</v>
      </c>
      <c r="Q55" s="4" t="s">
        <v>31</v>
      </c>
      <c r="R55" s="4" t="s">
        <v>43</v>
      </c>
      <c r="S55" s="29"/>
      <c r="AE55" s="188"/>
      <c r="AF55" s="49" t="s">
        <v>42</v>
      </c>
      <c r="AG55" s="49" t="s">
        <v>25</v>
      </c>
      <c r="AH55" s="49" t="s">
        <v>28</v>
      </c>
      <c r="AI55" s="49" t="s">
        <v>9</v>
      </c>
      <c r="AJ55" s="49" t="s">
        <v>33</v>
      </c>
      <c r="AK55" s="49" t="s">
        <v>8</v>
      </c>
      <c r="AL55" s="49" t="s">
        <v>31</v>
      </c>
      <c r="AM55" s="49" t="s">
        <v>43</v>
      </c>
      <c r="AO55" s="49" t="s">
        <v>42</v>
      </c>
      <c r="AP55" s="49" t="s">
        <v>25</v>
      </c>
      <c r="AQ55" s="49" t="s">
        <v>28</v>
      </c>
      <c r="AR55" s="49" t="s">
        <v>9</v>
      </c>
      <c r="AS55" s="49" t="s">
        <v>33</v>
      </c>
      <c r="AT55" s="49" t="s">
        <v>8</v>
      </c>
      <c r="AU55" s="49" t="s">
        <v>31</v>
      </c>
      <c r="AV55" s="49" t="s">
        <v>43</v>
      </c>
      <c r="AW55" s="188"/>
      <c r="AX55" s="57"/>
      <c r="AY55" s="57"/>
      <c r="AZ55" s="57"/>
      <c r="BA55" s="57"/>
      <c r="BB55" s="57"/>
      <c r="BC55" s="57"/>
      <c r="BD55" s="57"/>
      <c r="BE55" s="57"/>
      <c r="BX55" s="29"/>
      <c r="BY55" s="29"/>
    </row>
    <row r="56" ht="15.75" customHeight="1">
      <c r="A56" s="50"/>
      <c r="B56" s="26" t="s">
        <v>25</v>
      </c>
      <c r="C56" s="27">
        <f t="shared" ref="C56:H56" si="174">C46+C26+C36</f>
        <v>0</v>
      </c>
      <c r="D56" s="27">
        <f t="shared" si="174"/>
        <v>13903</v>
      </c>
      <c r="E56" s="27">
        <f t="shared" si="174"/>
        <v>16790</v>
      </c>
      <c r="F56" s="27">
        <f t="shared" si="174"/>
        <v>6665</v>
      </c>
      <c r="G56" s="27">
        <f t="shared" si="174"/>
        <v>112595</v>
      </c>
      <c r="H56" s="27">
        <f t="shared" si="174"/>
        <v>11569</v>
      </c>
      <c r="I56" s="27">
        <f t="shared" ref="I56:I61" si="179">SUM(C56:H56)</f>
        <v>161522</v>
      </c>
      <c r="J56" s="188"/>
      <c r="K56" s="26" t="s">
        <v>25</v>
      </c>
      <c r="L56" s="191">
        <f t="shared" ref="L56:Q56" si="175">L46+L26+L36</f>
        <v>0</v>
      </c>
      <c r="M56" s="191">
        <f t="shared" si="175"/>
        <v>0</v>
      </c>
      <c r="N56" s="191">
        <f t="shared" si="175"/>
        <v>322</v>
      </c>
      <c r="O56" s="191">
        <f t="shared" si="175"/>
        <v>0</v>
      </c>
      <c r="P56" s="191">
        <f t="shared" si="175"/>
        <v>2164</v>
      </c>
      <c r="Q56" s="191">
        <f t="shared" si="175"/>
        <v>219</v>
      </c>
      <c r="R56" s="27">
        <f t="shared" ref="R56:R61" si="181">SUM(L56:Q56)</f>
        <v>2705</v>
      </c>
      <c r="S56" s="29"/>
      <c r="AE56" s="188"/>
      <c r="AF56" s="26" t="s">
        <v>25</v>
      </c>
      <c r="AG56" s="27">
        <f t="shared" ref="AG56:AL56" si="176">X88*4</f>
        <v>0</v>
      </c>
      <c r="AH56" s="27">
        <f t="shared" si="176"/>
        <v>0</v>
      </c>
      <c r="AI56" s="27">
        <f t="shared" si="176"/>
        <v>0</v>
      </c>
      <c r="AJ56" s="27">
        <f t="shared" si="176"/>
        <v>0</v>
      </c>
      <c r="AK56" s="27">
        <f t="shared" si="176"/>
        <v>0</v>
      </c>
      <c r="AL56" s="195">
        <f t="shared" si="176"/>
        <v>124</v>
      </c>
      <c r="AM56" s="27">
        <f t="shared" ref="AM56:AM61" si="183">SUM(AG56:AL56)</f>
        <v>124</v>
      </c>
      <c r="AO56" s="26" t="s">
        <v>25</v>
      </c>
      <c r="AP56" s="27">
        <f t="shared" ref="AP56:AU56" si="177">X88*2</f>
        <v>0</v>
      </c>
      <c r="AQ56" s="27">
        <f t="shared" si="177"/>
        <v>0</v>
      </c>
      <c r="AR56" s="27">
        <f t="shared" si="177"/>
        <v>0</v>
      </c>
      <c r="AS56" s="27">
        <f t="shared" si="177"/>
        <v>0</v>
      </c>
      <c r="AT56" s="27">
        <f t="shared" si="177"/>
        <v>0</v>
      </c>
      <c r="AU56" s="195">
        <f t="shared" si="177"/>
        <v>62</v>
      </c>
      <c r="AV56" s="27">
        <f t="shared" ref="AV56:AV61" si="185">SUM(AP56:AU56)</f>
        <v>62</v>
      </c>
      <c r="AW56" s="188"/>
      <c r="AX56" s="50"/>
      <c r="AY56" s="50"/>
      <c r="AZ56" s="50"/>
      <c r="BA56" s="50"/>
      <c r="BB56" s="50"/>
      <c r="BC56" s="50"/>
      <c r="BD56" s="50"/>
      <c r="BE56" s="50"/>
      <c r="BX56" s="29"/>
      <c r="BY56" s="29"/>
    </row>
    <row r="57" ht="15.75" customHeight="1">
      <c r="A57" s="50"/>
      <c r="B57" s="26" t="s">
        <v>28</v>
      </c>
      <c r="C57" s="27">
        <f t="shared" ref="C57:H57" si="178">C47+C27+C37</f>
        <v>23842</v>
      </c>
      <c r="D57" s="27">
        <f t="shared" si="178"/>
        <v>0</v>
      </c>
      <c r="E57" s="27">
        <f t="shared" si="178"/>
        <v>5278</v>
      </c>
      <c r="F57" s="27">
        <f t="shared" si="178"/>
        <v>697</v>
      </c>
      <c r="G57" s="27">
        <f t="shared" si="178"/>
        <v>25277</v>
      </c>
      <c r="H57" s="27">
        <f t="shared" si="178"/>
        <v>10587</v>
      </c>
      <c r="I57" s="27">
        <f t="shared" si="179"/>
        <v>65681</v>
      </c>
      <c r="J57" s="188"/>
      <c r="K57" s="26" t="s">
        <v>28</v>
      </c>
      <c r="L57" s="191">
        <f t="shared" ref="L57:Q57" si="180">L47+L27+L37</f>
        <v>456</v>
      </c>
      <c r="M57" s="191">
        <f t="shared" si="180"/>
        <v>0</v>
      </c>
      <c r="N57" s="191">
        <f t="shared" si="180"/>
        <v>0</v>
      </c>
      <c r="O57" s="191">
        <f t="shared" si="180"/>
        <v>0</v>
      </c>
      <c r="P57" s="191">
        <f t="shared" si="180"/>
        <v>0</v>
      </c>
      <c r="Q57" s="191">
        <f t="shared" si="180"/>
        <v>0</v>
      </c>
      <c r="R57" s="27">
        <f t="shared" si="181"/>
        <v>456</v>
      </c>
      <c r="S57" s="29"/>
      <c r="AE57" s="188"/>
      <c r="AF57" s="26" t="s">
        <v>28</v>
      </c>
      <c r="AG57" s="27">
        <f t="shared" ref="AG57:AL57" si="182">X89*4</f>
        <v>0</v>
      </c>
      <c r="AH57" s="27">
        <f t="shared" si="182"/>
        <v>0</v>
      </c>
      <c r="AI57" s="27">
        <f t="shared" si="182"/>
        <v>0</v>
      </c>
      <c r="AJ57" s="27">
        <f t="shared" si="182"/>
        <v>0</v>
      </c>
      <c r="AK57" s="195">
        <f t="shared" si="182"/>
        <v>0</v>
      </c>
      <c r="AL57" s="195">
        <f t="shared" si="182"/>
        <v>0</v>
      </c>
      <c r="AM57" s="27">
        <f t="shared" si="183"/>
        <v>0</v>
      </c>
      <c r="AO57" s="26" t="s">
        <v>28</v>
      </c>
      <c r="AP57" s="27">
        <f t="shared" ref="AP57:AU57" si="184">X89*2</f>
        <v>0</v>
      </c>
      <c r="AQ57" s="27">
        <f t="shared" si="184"/>
        <v>0</v>
      </c>
      <c r="AR57" s="27">
        <f t="shared" si="184"/>
        <v>0</v>
      </c>
      <c r="AS57" s="27">
        <f t="shared" si="184"/>
        <v>0</v>
      </c>
      <c r="AT57" s="195">
        <f t="shared" si="184"/>
        <v>0</v>
      </c>
      <c r="AU57" s="195">
        <f t="shared" si="184"/>
        <v>0</v>
      </c>
      <c r="AV57" s="27">
        <f t="shared" si="185"/>
        <v>0</v>
      </c>
      <c r="AW57" s="188"/>
      <c r="AX57" s="50"/>
      <c r="AY57" s="50"/>
      <c r="AZ57" s="50"/>
      <c r="BA57" s="50"/>
      <c r="BB57" s="50"/>
      <c r="BC57" s="50"/>
      <c r="BD57" s="50"/>
      <c r="BE57" s="50"/>
      <c r="BX57" s="29"/>
      <c r="BY57" s="29"/>
    </row>
    <row r="58" ht="15.75" customHeight="1">
      <c r="A58" s="50"/>
      <c r="B58" s="26" t="s">
        <v>9</v>
      </c>
      <c r="C58" s="27">
        <f t="shared" ref="C58:H58" si="186">C48+C28+C38</f>
        <v>40255</v>
      </c>
      <c r="D58" s="27">
        <f t="shared" si="186"/>
        <v>12390</v>
      </c>
      <c r="E58" s="27">
        <f t="shared" si="186"/>
        <v>0</v>
      </c>
      <c r="F58" s="27">
        <f t="shared" si="186"/>
        <v>4273</v>
      </c>
      <c r="G58" s="27">
        <f t="shared" si="186"/>
        <v>28128</v>
      </c>
      <c r="H58" s="27">
        <f t="shared" si="186"/>
        <v>9423</v>
      </c>
      <c r="I58" s="27">
        <f t="shared" si="179"/>
        <v>94469</v>
      </c>
      <c r="J58" s="188"/>
      <c r="K58" s="26" t="s">
        <v>9</v>
      </c>
      <c r="L58" s="191">
        <f t="shared" ref="L58:Q58" si="187">L48+L28+L38</f>
        <v>771</v>
      </c>
      <c r="M58" s="191">
        <f t="shared" si="187"/>
        <v>236</v>
      </c>
      <c r="N58" s="191">
        <f t="shared" si="187"/>
        <v>0</v>
      </c>
      <c r="O58" s="191">
        <f t="shared" si="187"/>
        <v>0</v>
      </c>
      <c r="P58" s="191">
        <f t="shared" si="187"/>
        <v>537</v>
      </c>
      <c r="Q58" s="191">
        <f t="shared" si="187"/>
        <v>179</v>
      </c>
      <c r="R58" s="27">
        <f t="shared" si="181"/>
        <v>1723</v>
      </c>
      <c r="S58" s="29"/>
      <c r="AE58" s="188"/>
      <c r="AF58" s="26" t="s">
        <v>9</v>
      </c>
      <c r="AG58" s="27">
        <f t="shared" ref="AG58:AL58" si="188">X90*4</f>
        <v>0</v>
      </c>
      <c r="AH58" s="27">
        <f t="shared" si="188"/>
        <v>0</v>
      </c>
      <c r="AI58" s="27">
        <f t="shared" si="188"/>
        <v>0</v>
      </c>
      <c r="AJ58" s="27">
        <f t="shared" si="188"/>
        <v>0</v>
      </c>
      <c r="AK58" s="195">
        <f t="shared" si="188"/>
        <v>0</v>
      </c>
      <c r="AL58" s="27">
        <f t="shared" si="188"/>
        <v>0</v>
      </c>
      <c r="AM58" s="27">
        <f t="shared" si="183"/>
        <v>0</v>
      </c>
      <c r="AO58" s="26" t="s">
        <v>9</v>
      </c>
      <c r="AP58" s="27">
        <f t="shared" ref="AP58:AU58" si="189">X90*2</f>
        <v>0</v>
      </c>
      <c r="AQ58" s="27">
        <f t="shared" si="189"/>
        <v>0</v>
      </c>
      <c r="AR58" s="27">
        <f t="shared" si="189"/>
        <v>0</v>
      </c>
      <c r="AS58" s="27">
        <f t="shared" si="189"/>
        <v>0</v>
      </c>
      <c r="AT58" s="195">
        <f t="shared" si="189"/>
        <v>0</v>
      </c>
      <c r="AU58" s="27">
        <f t="shared" si="189"/>
        <v>0</v>
      </c>
      <c r="AV58" s="27">
        <f t="shared" si="185"/>
        <v>0</v>
      </c>
      <c r="AW58" s="188"/>
      <c r="AX58" s="50"/>
      <c r="AY58" s="50"/>
      <c r="AZ58" s="50"/>
      <c r="BA58" s="50"/>
      <c r="BB58" s="50"/>
      <c r="BC58" s="50"/>
      <c r="BD58" s="50"/>
      <c r="BE58" s="50"/>
      <c r="BX58" s="29"/>
      <c r="BY58" s="29"/>
    </row>
    <row r="59" ht="14.25" customHeight="1">
      <c r="A59" s="50"/>
      <c r="B59" s="26" t="s">
        <v>33</v>
      </c>
      <c r="C59" s="27">
        <f t="shared" ref="C59:H59" si="190">C49+C29+C39</f>
        <v>7339</v>
      </c>
      <c r="D59" s="27">
        <f t="shared" si="190"/>
        <v>5495</v>
      </c>
      <c r="E59" s="27">
        <f t="shared" si="190"/>
        <v>4078</v>
      </c>
      <c r="F59" s="27">
        <f t="shared" si="190"/>
        <v>0</v>
      </c>
      <c r="G59" s="27">
        <f t="shared" si="190"/>
        <v>33493</v>
      </c>
      <c r="H59" s="27">
        <f t="shared" si="190"/>
        <v>5401</v>
      </c>
      <c r="I59" s="27">
        <f t="shared" si="179"/>
        <v>55806</v>
      </c>
      <c r="J59" s="188"/>
      <c r="K59" s="26" t="s">
        <v>33</v>
      </c>
      <c r="L59" s="191">
        <f t="shared" ref="L59:Q59" si="191">L49+L29+L39</f>
        <v>139</v>
      </c>
      <c r="M59" s="191">
        <f t="shared" si="191"/>
        <v>104</v>
      </c>
      <c r="N59" s="191">
        <f t="shared" si="191"/>
        <v>76</v>
      </c>
      <c r="O59" s="191">
        <f t="shared" si="191"/>
        <v>0</v>
      </c>
      <c r="P59" s="191">
        <f t="shared" si="191"/>
        <v>0</v>
      </c>
      <c r="Q59" s="191">
        <f t="shared" si="191"/>
        <v>0</v>
      </c>
      <c r="R59" s="27">
        <f t="shared" si="181"/>
        <v>319</v>
      </c>
      <c r="S59" s="29"/>
      <c r="U59" s="196" t="s">
        <v>408</v>
      </c>
      <c r="V59" s="197"/>
      <c r="W59" s="197"/>
      <c r="X59" s="197"/>
      <c r="Y59" s="197"/>
      <c r="Z59" s="198"/>
      <c r="AE59" s="188"/>
      <c r="AF59" s="26" t="s">
        <v>33</v>
      </c>
      <c r="AG59" s="27">
        <f t="shared" ref="AG59:AL59" si="192">X91*4</f>
        <v>0</v>
      </c>
      <c r="AH59" s="27">
        <f t="shared" si="192"/>
        <v>0</v>
      </c>
      <c r="AI59" s="27">
        <f t="shared" si="192"/>
        <v>0</v>
      </c>
      <c r="AJ59" s="27">
        <f t="shared" si="192"/>
        <v>0</v>
      </c>
      <c r="AK59" s="195">
        <f t="shared" si="192"/>
        <v>0</v>
      </c>
      <c r="AL59" s="27">
        <f t="shared" si="192"/>
        <v>0</v>
      </c>
      <c r="AM59" s="27">
        <f t="shared" si="183"/>
        <v>0</v>
      </c>
      <c r="AO59" s="26" t="s">
        <v>33</v>
      </c>
      <c r="AP59" s="27">
        <f t="shared" ref="AP59:AU59" si="193">X91*2</f>
        <v>0</v>
      </c>
      <c r="AQ59" s="27">
        <f t="shared" si="193"/>
        <v>0</v>
      </c>
      <c r="AR59" s="27">
        <f t="shared" si="193"/>
        <v>0</v>
      </c>
      <c r="AS59" s="27">
        <f t="shared" si="193"/>
        <v>0</v>
      </c>
      <c r="AT59" s="195">
        <f t="shared" si="193"/>
        <v>0</v>
      </c>
      <c r="AU59" s="27">
        <f t="shared" si="193"/>
        <v>0</v>
      </c>
      <c r="AV59" s="27">
        <f t="shared" si="185"/>
        <v>0</v>
      </c>
      <c r="AW59" s="188"/>
      <c r="AX59" s="50"/>
      <c r="AY59" s="50"/>
      <c r="AZ59" s="50"/>
      <c r="BA59" s="50"/>
      <c r="BB59" s="50"/>
      <c r="BC59" s="50"/>
      <c r="BD59" s="50"/>
      <c r="BE59" s="50"/>
      <c r="BX59" s="29"/>
      <c r="BY59" s="29"/>
    </row>
    <row r="60" ht="14.25" customHeight="1">
      <c r="A60" s="50"/>
      <c r="B60" s="26" t="s">
        <v>8</v>
      </c>
      <c r="C60" s="27">
        <f t="shared" ref="C60:H60" si="194">C50+C30+C40</f>
        <v>44756</v>
      </c>
      <c r="D60" s="27">
        <f t="shared" si="194"/>
        <v>56746</v>
      </c>
      <c r="E60" s="27">
        <f t="shared" si="194"/>
        <v>69572</v>
      </c>
      <c r="F60" s="27">
        <f t="shared" si="194"/>
        <v>11507</v>
      </c>
      <c r="G60" s="27">
        <f t="shared" si="194"/>
        <v>0</v>
      </c>
      <c r="H60" s="27">
        <f t="shared" si="194"/>
        <v>0</v>
      </c>
      <c r="I60" s="27">
        <f t="shared" si="179"/>
        <v>182581</v>
      </c>
      <c r="J60" s="188"/>
      <c r="K60" s="26" t="s">
        <v>8</v>
      </c>
      <c r="L60" s="191">
        <f t="shared" ref="L60:Q60" si="195">L50+L30+L40</f>
        <v>858</v>
      </c>
      <c r="M60" s="191">
        <f t="shared" si="195"/>
        <v>1088</v>
      </c>
      <c r="N60" s="191">
        <f t="shared" si="195"/>
        <v>1336</v>
      </c>
      <c r="O60" s="191">
        <f t="shared" si="195"/>
        <v>219</v>
      </c>
      <c r="P60" s="191">
        <f t="shared" si="195"/>
        <v>0</v>
      </c>
      <c r="Q60" s="191">
        <f t="shared" si="195"/>
        <v>0</v>
      </c>
      <c r="R60" s="27">
        <f t="shared" si="181"/>
        <v>3501</v>
      </c>
      <c r="S60" s="29"/>
      <c r="U60" s="199"/>
      <c r="Z60" s="200"/>
      <c r="AE60" s="188"/>
      <c r="AF60" s="26" t="s">
        <v>8</v>
      </c>
      <c r="AG60" s="27">
        <f t="shared" ref="AG60:AL60" si="196">X92*4</f>
        <v>0</v>
      </c>
      <c r="AH60" s="27">
        <f t="shared" si="196"/>
        <v>0</v>
      </c>
      <c r="AI60" s="27">
        <f t="shared" si="196"/>
        <v>0</v>
      </c>
      <c r="AJ60" s="27">
        <f t="shared" si="196"/>
        <v>0</v>
      </c>
      <c r="AK60" s="27">
        <f t="shared" si="196"/>
        <v>0</v>
      </c>
      <c r="AL60" s="27">
        <f t="shared" si="196"/>
        <v>0</v>
      </c>
      <c r="AM60" s="27">
        <f t="shared" si="183"/>
        <v>0</v>
      </c>
      <c r="AO60" s="26" t="s">
        <v>8</v>
      </c>
      <c r="AP60" s="27">
        <f t="shared" ref="AP60:AU60" si="197">X92*2</f>
        <v>0</v>
      </c>
      <c r="AQ60" s="27">
        <f t="shared" si="197"/>
        <v>0</v>
      </c>
      <c r="AR60" s="27">
        <f t="shared" si="197"/>
        <v>0</v>
      </c>
      <c r="AS60" s="27">
        <f t="shared" si="197"/>
        <v>0</v>
      </c>
      <c r="AT60" s="27">
        <f t="shared" si="197"/>
        <v>0</v>
      </c>
      <c r="AU60" s="27">
        <f t="shared" si="197"/>
        <v>0</v>
      </c>
      <c r="AV60" s="27">
        <f t="shared" si="185"/>
        <v>0</v>
      </c>
      <c r="AW60" s="188"/>
      <c r="AX60" s="50"/>
      <c r="AY60" s="50"/>
      <c r="AZ60" s="50"/>
      <c r="BA60" s="50"/>
      <c r="BB60" s="50"/>
      <c r="BC60" s="50"/>
      <c r="BD60" s="50"/>
      <c r="BE60" s="50"/>
      <c r="BX60" s="29"/>
      <c r="BY60" s="29"/>
    </row>
    <row r="61" ht="14.25" customHeight="1">
      <c r="A61" s="50"/>
      <c r="B61" s="26" t="s">
        <v>31</v>
      </c>
      <c r="C61" s="27">
        <f t="shared" ref="C61:H61" si="198">C51+C31+C41</f>
        <v>36324</v>
      </c>
      <c r="D61" s="27">
        <f t="shared" si="198"/>
        <v>45197</v>
      </c>
      <c r="E61" s="27">
        <f t="shared" si="198"/>
        <v>63792</v>
      </c>
      <c r="F61" s="27">
        <f t="shared" si="198"/>
        <v>11283</v>
      </c>
      <c r="G61" s="27">
        <f t="shared" si="198"/>
        <v>0</v>
      </c>
      <c r="H61" s="27">
        <f t="shared" si="198"/>
        <v>0</v>
      </c>
      <c r="I61" s="27">
        <f t="shared" si="179"/>
        <v>156596</v>
      </c>
      <c r="J61" s="188"/>
      <c r="K61" s="26" t="s">
        <v>31</v>
      </c>
      <c r="L61" s="191">
        <f t="shared" ref="L61:Q61" si="199">L51+L31+L41</f>
        <v>695</v>
      </c>
      <c r="M61" s="191">
        <f t="shared" si="199"/>
        <v>865</v>
      </c>
      <c r="N61" s="191">
        <f t="shared" si="199"/>
        <v>1225</v>
      </c>
      <c r="O61" s="191">
        <f t="shared" si="199"/>
        <v>214</v>
      </c>
      <c r="P61" s="191">
        <f t="shared" si="199"/>
        <v>0</v>
      </c>
      <c r="Q61" s="191">
        <f t="shared" si="199"/>
        <v>0</v>
      </c>
      <c r="R61" s="27">
        <f t="shared" si="181"/>
        <v>2999</v>
      </c>
      <c r="S61" s="29"/>
      <c r="U61" s="199"/>
      <c r="Z61" s="200"/>
      <c r="AE61" s="188"/>
      <c r="AF61" s="26" t="s">
        <v>31</v>
      </c>
      <c r="AG61" s="27">
        <f t="shared" ref="AG61:AL61" si="200">X93*4</f>
        <v>0</v>
      </c>
      <c r="AH61" s="27">
        <f t="shared" si="200"/>
        <v>0</v>
      </c>
      <c r="AI61" s="27">
        <f t="shared" si="200"/>
        <v>0</v>
      </c>
      <c r="AJ61" s="27">
        <f t="shared" si="200"/>
        <v>0</v>
      </c>
      <c r="AK61" s="27">
        <f t="shared" si="200"/>
        <v>0</v>
      </c>
      <c r="AL61" s="27">
        <f t="shared" si="200"/>
        <v>0</v>
      </c>
      <c r="AM61" s="27">
        <f t="shared" si="183"/>
        <v>0</v>
      </c>
      <c r="AO61" s="26" t="s">
        <v>31</v>
      </c>
      <c r="AP61" s="27">
        <f t="shared" ref="AP61:AU61" si="201">X93*2</f>
        <v>0</v>
      </c>
      <c r="AQ61" s="27">
        <f t="shared" si="201"/>
        <v>0</v>
      </c>
      <c r="AR61" s="27">
        <f t="shared" si="201"/>
        <v>0</v>
      </c>
      <c r="AS61" s="27">
        <f t="shared" si="201"/>
        <v>0</v>
      </c>
      <c r="AT61" s="27">
        <f t="shared" si="201"/>
        <v>0</v>
      </c>
      <c r="AU61" s="27">
        <f t="shared" si="201"/>
        <v>0</v>
      </c>
      <c r="AV61" s="27">
        <f t="shared" si="185"/>
        <v>0</v>
      </c>
      <c r="AW61" s="188"/>
      <c r="AX61" s="50"/>
      <c r="AY61" s="50"/>
      <c r="AZ61" s="50"/>
      <c r="BA61" s="50"/>
      <c r="BB61" s="50"/>
      <c r="BC61" s="50"/>
      <c r="BD61" s="50"/>
      <c r="BE61" s="50"/>
      <c r="BX61" s="29"/>
      <c r="BY61" s="29"/>
    </row>
    <row r="62" ht="14.25" customHeight="1">
      <c r="A62" s="50"/>
      <c r="B62" s="32" t="s">
        <v>48</v>
      </c>
      <c r="C62" s="33">
        <f t="shared" ref="C62:I62" si="202">SUM(C56:C61)</f>
        <v>152516</v>
      </c>
      <c r="D62" s="33">
        <f t="shared" si="202"/>
        <v>133731</v>
      </c>
      <c r="E62" s="33">
        <f t="shared" si="202"/>
        <v>159510</v>
      </c>
      <c r="F62" s="33">
        <f t="shared" si="202"/>
        <v>34425</v>
      </c>
      <c r="G62" s="33">
        <f t="shared" si="202"/>
        <v>199493</v>
      </c>
      <c r="H62" s="33">
        <f t="shared" si="202"/>
        <v>36980</v>
      </c>
      <c r="I62" s="33">
        <f t="shared" si="202"/>
        <v>716655</v>
      </c>
      <c r="J62" s="188"/>
      <c r="K62" s="32" t="s">
        <v>48</v>
      </c>
      <c r="L62" s="33">
        <f t="shared" ref="L62:R62" si="203">SUM(L56:L61)</f>
        <v>2919</v>
      </c>
      <c r="M62" s="33">
        <f t="shared" si="203"/>
        <v>2293</v>
      </c>
      <c r="N62" s="33">
        <f t="shared" si="203"/>
        <v>2959</v>
      </c>
      <c r="O62" s="33">
        <f t="shared" si="203"/>
        <v>433</v>
      </c>
      <c r="P62" s="33">
        <f t="shared" si="203"/>
        <v>2701</v>
      </c>
      <c r="Q62" s="33">
        <f t="shared" si="203"/>
        <v>398</v>
      </c>
      <c r="R62" s="33">
        <f t="shared" si="203"/>
        <v>11703</v>
      </c>
      <c r="S62" s="29"/>
      <c r="U62" s="199"/>
      <c r="Z62" s="200"/>
      <c r="AE62" s="188"/>
      <c r="AF62" s="32" t="s">
        <v>48</v>
      </c>
      <c r="AG62" s="33">
        <f t="shared" ref="AG62:AM62" si="204">SUM(AG56:AG61)</f>
        <v>0</v>
      </c>
      <c r="AH62" s="33">
        <f t="shared" si="204"/>
        <v>0</v>
      </c>
      <c r="AI62" s="33">
        <f t="shared" si="204"/>
        <v>0</v>
      </c>
      <c r="AJ62" s="33">
        <f t="shared" si="204"/>
        <v>0</v>
      </c>
      <c r="AK62" s="33">
        <f t="shared" si="204"/>
        <v>0</v>
      </c>
      <c r="AL62" s="33">
        <f t="shared" si="204"/>
        <v>124</v>
      </c>
      <c r="AM62" s="33">
        <f t="shared" si="204"/>
        <v>124</v>
      </c>
      <c r="AO62" s="32" t="s">
        <v>48</v>
      </c>
      <c r="AP62" s="33">
        <f t="shared" ref="AP62:AV62" si="205">SUM(AP56:AP61)</f>
        <v>0</v>
      </c>
      <c r="AQ62" s="33">
        <f t="shared" si="205"/>
        <v>0</v>
      </c>
      <c r="AR62" s="33">
        <f t="shared" si="205"/>
        <v>0</v>
      </c>
      <c r="AS62" s="33">
        <f t="shared" si="205"/>
        <v>0</v>
      </c>
      <c r="AT62" s="33">
        <f t="shared" si="205"/>
        <v>0</v>
      </c>
      <c r="AU62" s="33">
        <f t="shared" si="205"/>
        <v>62</v>
      </c>
      <c r="AV62" s="33">
        <f t="shared" si="205"/>
        <v>62</v>
      </c>
      <c r="AW62" s="188"/>
      <c r="AX62" s="50"/>
      <c r="AY62" s="50"/>
      <c r="AZ62" s="50"/>
      <c r="BA62" s="50"/>
      <c r="BB62" s="50"/>
      <c r="BC62" s="50"/>
      <c r="BD62" s="50"/>
      <c r="BE62" s="50"/>
      <c r="BX62" s="29"/>
      <c r="BY62" s="29"/>
    </row>
    <row r="63" ht="15.75" customHeight="1">
      <c r="J63" s="188"/>
      <c r="S63" s="29"/>
      <c r="U63" s="201"/>
      <c r="V63" s="202"/>
      <c r="W63" s="202"/>
      <c r="X63" s="202"/>
      <c r="Y63" s="202"/>
      <c r="Z63" s="203"/>
      <c r="AE63" s="188"/>
      <c r="AW63" s="188"/>
      <c r="BX63" s="29"/>
      <c r="BY63" s="29"/>
    </row>
    <row r="64" ht="15.75" customHeight="1">
      <c r="A64" s="57"/>
      <c r="B64" s="42" t="s">
        <v>70</v>
      </c>
      <c r="C64" s="20"/>
      <c r="D64" s="20"/>
      <c r="E64" s="20"/>
      <c r="F64" s="20"/>
      <c r="G64" s="20"/>
      <c r="H64" s="58"/>
      <c r="J64" s="188"/>
      <c r="S64" s="29"/>
      <c r="T64" s="57"/>
      <c r="U64" s="57"/>
      <c r="V64" s="57"/>
      <c r="W64" s="57"/>
      <c r="X64" s="57"/>
      <c r="Y64" s="57"/>
      <c r="AE64" s="188"/>
      <c r="AF64" s="64" t="s">
        <v>409</v>
      </c>
      <c r="AG64" s="20"/>
      <c r="AH64" s="20"/>
      <c r="AI64" s="20"/>
      <c r="AJ64" s="20"/>
      <c r="AK64" s="20"/>
      <c r="AL64" s="21"/>
      <c r="AO64" s="64" t="s">
        <v>410</v>
      </c>
      <c r="AP64" s="20"/>
      <c r="AQ64" s="20"/>
      <c r="AR64" s="20"/>
      <c r="AS64" s="20"/>
      <c r="AT64" s="20"/>
      <c r="AU64" s="21"/>
      <c r="AW64" s="188"/>
      <c r="AX64" s="63"/>
      <c r="AY64" s="63"/>
      <c r="AZ64" s="63"/>
      <c r="BA64" s="63"/>
      <c r="BB64" s="63"/>
      <c r="BC64" s="63"/>
      <c r="BD64" s="63"/>
      <c r="BE64" s="63"/>
      <c r="BX64" s="29"/>
      <c r="BY64" s="29"/>
    </row>
    <row r="65" ht="15.75" customHeight="1">
      <c r="A65" s="48"/>
      <c r="B65" s="4" t="s">
        <v>42</v>
      </c>
      <c r="C65" s="49" t="s">
        <v>71</v>
      </c>
      <c r="D65" s="49" t="s">
        <v>72</v>
      </c>
      <c r="E65" s="49" t="s">
        <v>73</v>
      </c>
      <c r="F65" s="49" t="s">
        <v>74</v>
      </c>
      <c r="G65" s="49" t="s">
        <v>75</v>
      </c>
      <c r="H65" s="49" t="s">
        <v>76</v>
      </c>
      <c r="J65" s="188"/>
      <c r="S65" s="29"/>
      <c r="T65" s="48"/>
      <c r="U65" s="48"/>
      <c r="V65" s="48"/>
      <c r="W65" s="48"/>
      <c r="X65" s="48"/>
      <c r="Y65" s="48"/>
      <c r="AE65" s="188"/>
      <c r="AF65" s="66" t="s">
        <v>83</v>
      </c>
      <c r="AG65" s="66" t="s">
        <v>84</v>
      </c>
      <c r="AH65" s="66" t="s">
        <v>85</v>
      </c>
      <c r="AI65" s="66" t="s">
        <v>86</v>
      </c>
      <c r="AJ65" s="66" t="s">
        <v>87</v>
      </c>
      <c r="AK65" s="66" t="s">
        <v>411</v>
      </c>
      <c r="AL65" s="66" t="s">
        <v>412</v>
      </c>
      <c r="AO65" s="66" t="s">
        <v>83</v>
      </c>
      <c r="AP65" s="66" t="s">
        <v>84</v>
      </c>
      <c r="AQ65" s="66" t="s">
        <v>85</v>
      </c>
      <c r="AR65" s="66" t="s">
        <v>86</v>
      </c>
      <c r="AS65" s="66" t="s">
        <v>87</v>
      </c>
      <c r="AT65" s="66" t="s">
        <v>411</v>
      </c>
      <c r="AU65" s="66" t="s">
        <v>412</v>
      </c>
      <c r="AW65" s="188"/>
      <c r="AX65" s="65"/>
      <c r="AY65" s="65"/>
      <c r="AZ65" s="65"/>
      <c r="BA65" s="65"/>
      <c r="BB65" s="65"/>
      <c r="BC65" s="65"/>
      <c r="BD65" s="65"/>
      <c r="BE65" s="65"/>
      <c r="BX65" s="29"/>
      <c r="BY65" s="29"/>
    </row>
    <row r="66" ht="15.75" customHeight="1">
      <c r="A66" s="50"/>
      <c r="B66" s="26" t="s">
        <v>71</v>
      </c>
      <c r="C66" s="56"/>
      <c r="D66" s="56">
        <f t="array" ref="D66">XLOOKUP($B66,'Distancias Cidades'!$A$3:$A$28,XLOOKUP(D$65,'Distancias Cidades'!$B$2:$AB$2,'Distancias Cidades'!$B$3:$AB$28))</f>
        <v>5763</v>
      </c>
      <c r="E66" s="56">
        <f t="array" ref="E66">XLOOKUP($B66,'Distancias Cidades'!$A$3:$A$28,XLOOKUP(E$65,'Distancias Cidades'!$B$2:$AB$2,'Distancias Cidades'!$B$3:$AB$28))</f>
        <v>5698</v>
      </c>
      <c r="F66" s="56">
        <f t="array" ref="F66">XLOOKUP($B66,'Distancias Cidades'!$A$3:$A$28,XLOOKUP(F$65,'Distancias Cidades'!$B$2:$AB$2,'Distancias Cidades'!$B$3:$AB$28))</f>
        <v>5009</v>
      </c>
      <c r="G66" s="56">
        <f t="array" ref="G66">XLOOKUP($B66,'Distancias Cidades'!$A$3:$A$28,XLOOKUP(G$65,'Distancias Cidades'!$B$2:$AB$2,'Distancias Cidades'!$B$3:$AB$28))</f>
        <v>3971</v>
      </c>
      <c r="H66" s="56">
        <f t="array" ref="H66">XLOOKUP($B66,'Distancias Cidades'!$A$3:$A$28,XLOOKUP(H$65,'Distancias Cidades'!$B$2:$AB$2,'Distancias Cidades'!$B$3:$AB$28))</f>
        <v>4343</v>
      </c>
      <c r="J66" s="188"/>
      <c r="K66" s="42" t="s">
        <v>413</v>
      </c>
      <c r="L66" s="20"/>
      <c r="M66" s="20"/>
      <c r="N66" s="20"/>
      <c r="O66" s="20"/>
      <c r="P66" s="20"/>
      <c r="Q66" s="20"/>
      <c r="R66" s="21"/>
      <c r="S66" s="29"/>
      <c r="T66" s="115" t="s">
        <v>40</v>
      </c>
      <c r="U66" s="21"/>
      <c r="V66" s="50"/>
      <c r="W66" s="116" t="s">
        <v>236</v>
      </c>
      <c r="X66" s="20"/>
      <c r="Y66" s="20"/>
      <c r="Z66" s="20"/>
      <c r="AA66" s="20"/>
      <c r="AB66" s="20"/>
      <c r="AC66" s="20"/>
      <c r="AD66" s="21"/>
      <c r="AE66" s="188"/>
      <c r="AF66" s="204">
        <f>SUM(AL10,AL20,AL30,AL40,AL50,AL60)</f>
        <v>0</v>
      </c>
      <c r="AG66" s="205">
        <f>SUM(AJ10,AJ20,AJ30,AJ40,AJ50,AJ60)</f>
        <v>2352</v>
      </c>
      <c r="AH66" s="205">
        <f>SUM(AI10,AI20,AI30,AI40,AI50,AI60)</f>
        <v>16856</v>
      </c>
      <c r="AI66" s="205">
        <f>SUM(AH10,AH20,AH30,AH40,AH50,AH60)</f>
        <v>2604</v>
      </c>
      <c r="AJ66" s="205">
        <f t="shared" ref="AJ66:AJ67" si="206">SUM(AG10,AG20,AG30,AG40,AG50,AG60)</f>
        <v>9688</v>
      </c>
      <c r="AK66" s="206">
        <f>SUM(AI6,AI16,AI26,AI36,AI46,AI56)</f>
        <v>4592</v>
      </c>
      <c r="AL66" s="206">
        <f>SUM(AK8,AK18,AK28,AK38,AK48,AK58)</f>
        <v>532</v>
      </c>
      <c r="AO66" s="204">
        <f>SUM(AU10,AU20,AU30,AU40,AU50,AU60)</f>
        <v>0</v>
      </c>
      <c r="AP66" s="205">
        <f>SUM(AS10,AS20,AS30,AS40,AS50,AS60)</f>
        <v>168</v>
      </c>
      <c r="AQ66" s="205">
        <f>SUM(AR10,AR20,AR30,AR40,AR50,AR60)</f>
        <v>1151</v>
      </c>
      <c r="AR66" s="205">
        <f>SUM(AQ10,AQ20,AQ30,AQ40,AQ50,AQ60)</f>
        <v>172</v>
      </c>
      <c r="AS66" s="205">
        <f t="shared" ref="AS66:AS67" si="207">SUM(AP10,AP20,AP30,AP40,AP50,AP60)</f>
        <v>692</v>
      </c>
      <c r="AT66" s="206">
        <f>SUM(AR6,AR16,AR26,AR36,AR46,AR56)</f>
        <v>322</v>
      </c>
      <c r="AU66" s="206">
        <f>SUM(AT8,AT18,AT28,AT38,AT48,AT58)</f>
        <v>19</v>
      </c>
      <c r="AW66" s="188"/>
      <c r="AX66" s="207"/>
      <c r="AY66" s="207"/>
      <c r="AZ66" s="207"/>
      <c r="BA66" s="207"/>
      <c r="BB66" s="207"/>
      <c r="BC66" s="207"/>
      <c r="BD66" s="207"/>
      <c r="BE66" s="207"/>
      <c r="BX66" s="29"/>
      <c r="BY66" s="29"/>
    </row>
    <row r="67" ht="15.75" customHeight="1">
      <c r="A67" s="50"/>
      <c r="B67" s="26" t="s">
        <v>72</v>
      </c>
      <c r="C67" s="56">
        <f t="array" ref="C67">(XLOOKUP(B67,'Distancias Cidades'!$A$3:$A$28,XLOOKUP("BELÉM",'Distancias Cidades'!$B$2:$AB$2,'Distancias Cidades'!$B$3:$AB$28)))+10</f>
        <v>1621</v>
      </c>
      <c r="D67" s="56" t="str">
        <f t="array" ref="D67">XLOOKUP($B67,'Distancias Cidades'!$A$3:$A$28,XLOOKUP(D$65,'Distancias Cidades'!$B$2:$AB$2,'Distancias Cidades'!$B$3:$AB$28))</f>
        <v/>
      </c>
      <c r="E67" s="56">
        <f t="array" ref="E67">XLOOKUP($B67,'Distancias Cidades'!$A$3:$A$28,XLOOKUP(E$65,'Distancias Cidades'!$B$2:$AB$2,'Distancias Cidades'!$B$3:$AB$28))</f>
        <v>800</v>
      </c>
      <c r="F67" s="56">
        <f t="array" ref="F67">XLOOKUP($B67,'Distancias Cidades'!$A$3:$A$28,XLOOKUP(F$65,'Distancias Cidades'!$B$2:$AB$2,'Distancias Cidades'!$B$3:$AB$28))</f>
        <v>1389</v>
      </c>
      <c r="G67" s="56">
        <f t="array" ref="G67">XLOOKUP($B67,'Distancias Cidades'!$A$3:$A$28,XLOOKUP(G$65,'Distancias Cidades'!$B$2:$AB$2,'Distancias Cidades'!$B$3:$AB$28))</f>
        <v>3127</v>
      </c>
      <c r="H67" s="56">
        <f t="array" ref="H67">XLOOKUP($B67,'Distancias Cidades'!$A$3:$A$28,XLOOKUP(H$65,'Distancias Cidades'!$B$2:$AB$2,'Distancias Cidades'!$B$3:$AB$28))</f>
        <v>3838</v>
      </c>
      <c r="J67" s="188"/>
      <c r="K67" s="4" t="s">
        <v>42</v>
      </c>
      <c r="L67" s="4" t="s">
        <v>25</v>
      </c>
      <c r="M67" s="4" t="s">
        <v>28</v>
      </c>
      <c r="N67" s="4" t="s">
        <v>9</v>
      </c>
      <c r="O67" s="49" t="s">
        <v>33</v>
      </c>
      <c r="P67" s="4" t="s">
        <v>8</v>
      </c>
      <c r="Q67" s="4" t="s">
        <v>31</v>
      </c>
      <c r="R67" s="4" t="s">
        <v>43</v>
      </c>
      <c r="S67" s="29"/>
      <c r="T67" s="4" t="s">
        <v>44</v>
      </c>
      <c r="U67" s="4" t="s">
        <v>47</v>
      </c>
      <c r="V67" s="50"/>
      <c r="W67" s="49" t="s">
        <v>42</v>
      </c>
      <c r="X67" s="49" t="s">
        <v>25</v>
      </c>
      <c r="Y67" s="49" t="s">
        <v>28</v>
      </c>
      <c r="Z67" s="49" t="s">
        <v>9</v>
      </c>
      <c r="AA67" s="49" t="s">
        <v>33</v>
      </c>
      <c r="AB67" s="49" t="s">
        <v>8</v>
      </c>
      <c r="AC67" s="49" t="s">
        <v>31</v>
      </c>
      <c r="AD67" s="49" t="s">
        <v>43</v>
      </c>
      <c r="AE67" s="188"/>
      <c r="AF67" s="205">
        <f>SUM(AJ10,AJ20,AJ30,AJ40,AJ50,AJ60)</f>
        <v>2352</v>
      </c>
      <c r="AG67" s="205">
        <f>SUM(AI10,AI20,AI30,AI40,AI50,AI60)</f>
        <v>16856</v>
      </c>
      <c r="AH67" s="205">
        <f>SUM(AH10,AH20,AH30,AH40,AH50,AH60)</f>
        <v>2604</v>
      </c>
      <c r="AI67" s="205">
        <f>SUM(AG10,AG20,AG30,AG40,AG50,AG60)</f>
        <v>9688</v>
      </c>
      <c r="AJ67" s="205">
        <f t="shared" si="206"/>
        <v>5236</v>
      </c>
      <c r="AK67" s="206">
        <f>SUM($AK$6,$AK$16,$AK$26,$AK$36,$AK$46,$AK$56)</f>
        <v>30968</v>
      </c>
      <c r="AL67" s="208">
        <f>SUM(AL8,AL18,AL28,AL38,AL48,AL58)</f>
        <v>2716</v>
      </c>
      <c r="AO67" s="205">
        <f>SUM(AS10,AS20,AS30,AS40,AS50,AS60)</f>
        <v>168</v>
      </c>
      <c r="AP67" s="205">
        <f>SUM(AR10,AR20,AR30,AR40,AR50,AR60)</f>
        <v>1151</v>
      </c>
      <c r="AQ67" s="205">
        <f>SUM(AQ10,AQ20,AQ30,AQ40,AQ50,AQ60)</f>
        <v>172</v>
      </c>
      <c r="AR67" s="205">
        <f>SUM(AP10,AP20,AP30,AP40,AP50,AP60)</f>
        <v>692</v>
      </c>
      <c r="AS67" s="205">
        <f t="shared" si="207"/>
        <v>374</v>
      </c>
      <c r="AT67" s="206">
        <f>SUM($AT$6,$AT$16,$AT$26,$AT$36,$AT$46,$AT$56)</f>
        <v>2164</v>
      </c>
      <c r="AU67" s="208">
        <f>SUM(AU8,AU18,AU28,AU38,AU48,AU58)</f>
        <v>179</v>
      </c>
      <c r="AW67" s="188"/>
      <c r="AX67" s="209"/>
      <c r="AY67" s="209"/>
      <c r="AZ67" s="209"/>
      <c r="BA67" s="209"/>
      <c r="BB67" s="209"/>
      <c r="BC67" s="209"/>
      <c r="BD67" s="209"/>
      <c r="BE67" s="209"/>
      <c r="BX67" s="29"/>
      <c r="BY67" s="29"/>
    </row>
    <row r="68" ht="15.75" customHeight="1">
      <c r="A68" s="50"/>
      <c r="B68" s="26" t="s">
        <v>73</v>
      </c>
      <c r="C68" s="56">
        <f t="array" ref="C68">(XLOOKUP(B68,'Distancias Cidades'!$A$3:$A$28,XLOOKUP("BELÉM",'Distancias Cidades'!$B$2:$AB$2,'Distancias Cidades'!$B$3:$AB$28)))+10</f>
        <v>2084</v>
      </c>
      <c r="D68" s="56">
        <f t="array" ref="D68">XLOOKUP($B68,'Distancias Cidades'!$A$3:$A$28,XLOOKUP(D$65,'Distancias Cidades'!$B$2:$AB$2,'Distancias Cidades'!$B$3:$AB$28))</f>
        <v>800</v>
      </c>
      <c r="E68" s="56" t="str">
        <f t="array" ref="E68">XLOOKUP($B68,'Distancias Cidades'!$A$3:$A$28,XLOOKUP(E$65,'Distancias Cidades'!$B$2:$AB$2,'Distancias Cidades'!$B$3:$AB$28))</f>
        <v/>
      </c>
      <c r="F68" s="56">
        <f t="array" ref="F68">XLOOKUP($B68,'Distancias Cidades'!$A$3:$A$28,XLOOKUP(F$65,'Distancias Cidades'!$B$2:$AB$2,'Distancias Cidades'!$B$3:$AB$28))</f>
        <v>839</v>
      </c>
      <c r="G68" s="56">
        <f t="array" ref="G68">XLOOKUP($B68,'Distancias Cidades'!$A$3:$A$28,XLOOKUP(G$65,'Distancias Cidades'!$B$2:$AB$2,'Distancias Cidades'!$B$3:$AB$28))</f>
        <v>2660</v>
      </c>
      <c r="H68" s="56">
        <f t="array" ref="H68">XLOOKUP($B68,'Distancias Cidades'!$A$3:$A$28,XLOOKUP(H$65,'Distancias Cidades'!$B$2:$AB$2,'Distancias Cidades'!$B$3:$AB$28))</f>
        <v>3375</v>
      </c>
      <c r="J68" s="188"/>
      <c r="K68" s="26" t="s">
        <v>25</v>
      </c>
      <c r="L68" s="210">
        <v>0.0</v>
      </c>
      <c r="M68" s="210">
        <v>0.0</v>
      </c>
      <c r="N68" s="210">
        <v>6.0</v>
      </c>
      <c r="O68" s="210">
        <v>0.0</v>
      </c>
      <c r="P68" s="210">
        <v>48.0</v>
      </c>
      <c r="Q68" s="210">
        <v>9.0</v>
      </c>
      <c r="R68" s="27">
        <f t="shared" ref="R68:R73" si="208">SUM(L68:Q68)</f>
        <v>63</v>
      </c>
      <c r="S68" s="29"/>
      <c r="T68" s="26" t="s">
        <v>25</v>
      </c>
      <c r="U68" s="52">
        <f>L74-$R68</f>
        <v>33</v>
      </c>
      <c r="V68" s="50"/>
      <c r="W68" s="26" t="s">
        <v>25</v>
      </c>
      <c r="X68" s="36"/>
      <c r="Y68" s="36"/>
      <c r="Z68" s="36"/>
      <c r="AA68" s="36"/>
      <c r="AB68" s="36"/>
      <c r="AC68" s="36">
        <f>U68</f>
        <v>33</v>
      </c>
      <c r="AD68" s="27">
        <f t="shared" ref="AD68:AD73" si="209">SUM(X68:AC68)</f>
        <v>33</v>
      </c>
      <c r="AE68" s="188"/>
      <c r="AF68" s="205">
        <f>SUM(AI10,AI20,AI30,AI40,AI50,AI60)</f>
        <v>16856</v>
      </c>
      <c r="AG68" s="205">
        <f>SUM(AH10,AH20,AH30,AH40,AH50,AH60)</f>
        <v>2604</v>
      </c>
      <c r="AH68" s="205">
        <f>SUM(AG10,AG20,AG30,AG40,AG50,AG60)</f>
        <v>9688</v>
      </c>
      <c r="AI68" s="205">
        <f>SUM(AH11,AH21,AH31,AH41,AH51,AH61)</f>
        <v>0</v>
      </c>
      <c r="AJ68" s="205">
        <f>SUM(AG9,AG19,AG29,AG39,AG49,AG59)</f>
        <v>1764</v>
      </c>
      <c r="AK68" s="205">
        <f>SUM(AL16,AL26,AL36,AL46,AL56)</f>
        <v>3130</v>
      </c>
      <c r="AL68" s="205">
        <f>SUM(AL16,AL26,AL36,AL46,AL56)</f>
        <v>3130</v>
      </c>
      <c r="AO68" s="205">
        <f>SUM(AR10,AR20,AR30,AR40,AR50,AR60)</f>
        <v>1151</v>
      </c>
      <c r="AP68" s="205">
        <f>SUM(AQ10,AQ20,AQ30,AQ40,AQ50,AQ60)</f>
        <v>172</v>
      </c>
      <c r="AQ68" s="205">
        <f>SUM(AP10,AP20,AP30,AP40,AP50,AP60)</f>
        <v>692</v>
      </c>
      <c r="AR68" s="205">
        <f>SUM(AQ11,AQ21,AQ31,AQ41,AQ51,AQ61)</f>
        <v>0</v>
      </c>
      <c r="AS68" s="205">
        <f>SUM(AP9,AP19,AP29,AP39,AP49,AP59)</f>
        <v>125</v>
      </c>
      <c r="AT68" s="205">
        <f>SUM(AU16,AU26,AU36,AU46,AU56)</f>
        <v>305</v>
      </c>
      <c r="AU68" s="205">
        <f>SUM(AU16,AU26,AU36,AU46,AU56)</f>
        <v>305</v>
      </c>
      <c r="AW68" s="188"/>
      <c r="AX68" s="209"/>
      <c r="AY68" s="209"/>
      <c r="AZ68" s="209"/>
      <c r="BA68" s="209"/>
      <c r="BB68" s="209"/>
      <c r="BC68" s="209"/>
      <c r="BD68" s="209"/>
      <c r="BE68" s="209"/>
      <c r="BX68" s="29"/>
      <c r="BY68" s="29"/>
    </row>
    <row r="69" ht="15.75" customHeight="1">
      <c r="A69" s="50"/>
      <c r="B69" s="26" t="s">
        <v>74</v>
      </c>
      <c r="C69" s="56">
        <f t="array" ref="C69">(XLOOKUP(B69,'Distancias Cidades'!$A$3:$A$28,XLOOKUP("BELÉM",'Distancias Cidades'!$B$2:$AB$2,'Distancias Cidades'!$B$3:$AB$28)))+10</f>
        <v>2110</v>
      </c>
      <c r="D69" s="56">
        <f t="array" ref="D69">XLOOKUP($B69,'Distancias Cidades'!$A$3:$A$28,XLOOKUP(D$65,'Distancias Cidades'!$B$2:$AB$2,'Distancias Cidades'!$B$3:$AB$28))</f>
        <v>1389</v>
      </c>
      <c r="E69" s="56">
        <f t="array" ref="E69">XLOOKUP($B69,'Distancias Cidades'!$A$3:$A$28,XLOOKUP(E$65,'Distancias Cidades'!$B$2:$AB$2,'Distancias Cidades'!$B$3:$AB$28))</f>
        <v>839</v>
      </c>
      <c r="F69" s="56" t="str">
        <f t="array" ref="F69">XLOOKUP($B69,'Distancias Cidades'!$A$3:$A$28,XLOOKUP(F$65,'Distancias Cidades'!$B$2:$AB$2,'Distancias Cidades'!$B$3:$AB$28))</f>
        <v/>
      </c>
      <c r="G69" s="56">
        <f t="array" ref="G69">XLOOKUP($B69,'Distancias Cidades'!$A$3:$A$28,XLOOKUP(G$65,'Distancias Cidades'!$B$2:$AB$2,'Distancias Cidades'!$B$3:$AB$28))</f>
        <v>1962</v>
      </c>
      <c r="H69" s="56">
        <f t="array" ref="H69">XLOOKUP($B69,'Distancias Cidades'!$A$3:$A$28,XLOOKUP(H$65,'Distancias Cidades'!$B$2:$AB$2,'Distancias Cidades'!$B$3:$AB$28))</f>
        <v>2682</v>
      </c>
      <c r="J69" s="188"/>
      <c r="K69" s="26" t="s">
        <v>28</v>
      </c>
      <c r="L69" s="210">
        <v>56.0</v>
      </c>
      <c r="M69" s="210">
        <v>0.0</v>
      </c>
      <c r="N69" s="210">
        <v>0.0</v>
      </c>
      <c r="O69" s="210">
        <v>0.0</v>
      </c>
      <c r="P69" s="210">
        <v>0.0</v>
      </c>
      <c r="Q69" s="210">
        <v>0.0</v>
      </c>
      <c r="R69" s="27">
        <f t="shared" si="208"/>
        <v>56</v>
      </c>
      <c r="S69" s="29"/>
      <c r="T69" s="26" t="s">
        <v>28</v>
      </c>
      <c r="U69" s="52">
        <f>M74-$R69</f>
        <v>0</v>
      </c>
      <c r="V69" s="50"/>
      <c r="W69" s="26" t="s">
        <v>28</v>
      </c>
      <c r="X69" s="36"/>
      <c r="Y69" s="36"/>
      <c r="Z69" s="36"/>
      <c r="AA69" s="36"/>
      <c r="AB69" s="36">
        <f>U69-(U69+U72+AB71)</f>
        <v>0</v>
      </c>
      <c r="AC69" s="36">
        <f>U69-AB69</f>
        <v>0</v>
      </c>
      <c r="AD69" s="27">
        <f t="shared" si="209"/>
        <v>0</v>
      </c>
      <c r="AE69" s="188"/>
      <c r="AF69" s="205">
        <f>SUM(AH10,AH20,AH30,AH40,AH50,AH60)</f>
        <v>2604</v>
      </c>
      <c r="AG69" s="205">
        <f>SUM(AG10,AG20,AG30,AG40,AG50,AG60)</f>
        <v>9688</v>
      </c>
      <c r="AH69" s="205">
        <f>SUM(AI11,AI21,AI31,AI41,AI51,AI61)</f>
        <v>1540</v>
      </c>
      <c r="AI69" s="205">
        <f>SUM(AG11,AG21,AG31,AG41,AG51,AG61)</f>
        <v>5236</v>
      </c>
      <c r="AJ69" s="205">
        <f>SUM(AG8,AG18,AG28,AG38,AG48,AG58)</f>
        <v>12104</v>
      </c>
      <c r="AK69" s="211"/>
      <c r="AL69" s="206">
        <f>SUM($AK$6,$AK$16,$AK$26,$AK$36,$AK$46,$AK$56)</f>
        <v>30968</v>
      </c>
      <c r="AO69" s="205">
        <f>SUM(AQ10,AQ20,AQ30,AQ40,AQ50,AQ60)</f>
        <v>172</v>
      </c>
      <c r="AP69" s="205">
        <f>SUM(AP10,AP20,AP30,AP40,AP50,AP60)</f>
        <v>692</v>
      </c>
      <c r="AQ69" s="205">
        <f>SUM(AR11,AR21,AR31,AR41,AR51,AR61)</f>
        <v>80</v>
      </c>
      <c r="AR69" s="205">
        <f>SUM(AP11,AP21,AP31,AP41,AP51,AP61)</f>
        <v>374</v>
      </c>
      <c r="AS69" s="205">
        <f>SUM(AP8,AP18,AP28,AP38,AP48,AP58)</f>
        <v>1153</v>
      </c>
      <c r="AT69" s="211"/>
      <c r="AU69" s="206">
        <f>SUM($AT$6,$AT$16,$AT$26,$AT$36,$AT$46,$AT$56)</f>
        <v>2164</v>
      </c>
      <c r="AW69" s="188"/>
      <c r="AX69" s="209"/>
      <c r="AY69" s="209"/>
      <c r="AZ69" s="209"/>
      <c r="BA69" s="209"/>
      <c r="BB69" s="209"/>
      <c r="BC69" s="209"/>
      <c r="BD69" s="209"/>
      <c r="BE69" s="209"/>
      <c r="BX69" s="29"/>
      <c r="BY69" s="29"/>
    </row>
    <row r="70" ht="15.75" customHeight="1">
      <c r="A70" s="50"/>
      <c r="B70" s="26" t="s">
        <v>75</v>
      </c>
      <c r="C70" s="56">
        <f t="array" ref="C70">(XLOOKUP(B70,'Distancias Cidades'!$A$3:$A$28,XLOOKUP("BELÉM",'Distancias Cidades'!$B$2:$AB$2,'Distancias Cidades'!$B$3:$AB$28)))+10</f>
        <v>2943</v>
      </c>
      <c r="D70" s="56">
        <f t="array" ref="D70">XLOOKUP($B70,'Distancias Cidades'!$A$3:$A$28,XLOOKUP(D$65,'Distancias Cidades'!$B$2:$AB$2,'Distancias Cidades'!$B$3:$AB$28))</f>
        <v>3127</v>
      </c>
      <c r="E70" s="56">
        <f t="array" ref="E70">XLOOKUP($B70,'Distancias Cidades'!$A$3:$A$28,XLOOKUP(E$65,'Distancias Cidades'!$B$2:$AB$2,'Distancias Cidades'!$B$3:$AB$28))</f>
        <v>2660</v>
      </c>
      <c r="F70" s="56">
        <f t="array" ref="F70">XLOOKUP($B70,'Distancias Cidades'!$A$3:$A$28,XLOOKUP(F$65,'Distancias Cidades'!$B$2:$AB$2,'Distancias Cidades'!$B$3:$AB$28))</f>
        <v>1962</v>
      </c>
      <c r="G70" s="56" t="str">
        <f t="array" ref="G70">XLOOKUP($B70,'Distancias Cidades'!$A$3:$A$28,XLOOKUP(G$65,'Distancias Cidades'!$B$2:$AB$2,'Distancias Cidades'!$B$3:$AB$28))</f>
        <v/>
      </c>
      <c r="H70" s="56">
        <f t="array" ref="H70">XLOOKUP($B70,'Distancias Cidades'!$A$3:$A$28,XLOOKUP(H$65,'Distancias Cidades'!$B$2:$AB$2,'Distancias Cidades'!$B$3:$AB$28))</f>
        <v>705</v>
      </c>
      <c r="J70" s="188"/>
      <c r="K70" s="26" t="s">
        <v>9</v>
      </c>
      <c r="L70" s="210">
        <v>39.0</v>
      </c>
      <c r="M70" s="210">
        <v>28.0</v>
      </c>
      <c r="N70" s="210">
        <v>0.0</v>
      </c>
      <c r="O70" s="210">
        <v>0.0</v>
      </c>
      <c r="P70" s="210">
        <v>19.0</v>
      </c>
      <c r="Q70" s="210">
        <v>15.0</v>
      </c>
      <c r="R70" s="27">
        <f t="shared" si="208"/>
        <v>101</v>
      </c>
      <c r="S70" s="29"/>
      <c r="T70" s="54" t="s">
        <v>9</v>
      </c>
      <c r="U70" s="52">
        <f>N74-$R70</f>
        <v>0</v>
      </c>
      <c r="V70" s="50"/>
      <c r="W70" s="26" t="s">
        <v>9</v>
      </c>
      <c r="X70" s="36"/>
      <c r="Y70" s="36"/>
      <c r="Z70" s="36"/>
      <c r="AA70" s="36"/>
      <c r="AB70" s="36"/>
      <c r="AC70" s="36">
        <f>U70</f>
        <v>0</v>
      </c>
      <c r="AD70" s="27">
        <f t="shared" si="209"/>
        <v>0</v>
      </c>
      <c r="AE70" s="188"/>
      <c r="AF70" s="205">
        <f>SUM(AG10,AG20,AG30,AG40,AG50,AG60)</f>
        <v>9688</v>
      </c>
      <c r="AG70" s="205">
        <f>SUM(AJ11,AJ21,AJ31,AJ41,AJ51,AJ61)</f>
        <v>924</v>
      </c>
      <c r="AH70" s="205">
        <f>SUM(AH11,AH21,AH31,AH41,AH51,AH61)</f>
        <v>0</v>
      </c>
      <c r="AI70" s="205">
        <f>SUM(AH9,AH19,AH29,AH39,AH49,AH59)</f>
        <v>1008</v>
      </c>
      <c r="AJ70" s="205">
        <f>SUM(AG7,AG17,AG27,AG37,AG47,AG57)</f>
        <v>7168</v>
      </c>
      <c r="AK70" s="209"/>
      <c r="AL70" s="209"/>
      <c r="AO70" s="205">
        <f>SUM(AP10,AP20,AP30,AP40,AP50,AP60)</f>
        <v>692</v>
      </c>
      <c r="AP70" s="205">
        <f>SUM(AS11,AS21,AS31,AS41,AS51,AS61)</f>
        <v>39</v>
      </c>
      <c r="AQ70" s="205">
        <f>SUM(AQ11,AQ21,AQ31,AQ41,AQ51,AQ61)</f>
        <v>0</v>
      </c>
      <c r="AR70" s="205">
        <f>SUM(AQ9,AQ19,AQ29,AQ39,AQ49,AQ59)</f>
        <v>58</v>
      </c>
      <c r="AS70" s="205">
        <f>SUM(AP7,AP17,AP27,AP37,AP47,AP57)</f>
        <v>456</v>
      </c>
      <c r="AT70" s="209"/>
      <c r="AU70" s="209"/>
      <c r="AW70" s="188"/>
      <c r="AX70" s="209"/>
      <c r="AY70" s="209"/>
      <c r="AZ70" s="209"/>
      <c r="BA70" s="209"/>
      <c r="BB70" s="209"/>
      <c r="BC70" s="209"/>
      <c r="BD70" s="209"/>
      <c r="BE70" s="209"/>
      <c r="BX70" s="29"/>
      <c r="BY70" s="29"/>
    </row>
    <row r="71" ht="15.75" customHeight="1">
      <c r="A71" s="50"/>
      <c r="B71" s="26" t="s">
        <v>76</v>
      </c>
      <c r="C71" s="56">
        <f t="array" ref="C71">(XLOOKUP(B71,'Distancias Cidades'!$A$3:$A$28,XLOOKUP("BELÉM",'Distancias Cidades'!$B$2:$AB$2,'Distancias Cidades'!$B$3:$AB$28)))+10</f>
        <v>3510</v>
      </c>
      <c r="D71" s="56">
        <f t="array" ref="D71">XLOOKUP($B71,'Distancias Cidades'!$A$3:$A$28,XLOOKUP(D$65,'Distancias Cidades'!$B$2:$AB$2,'Distancias Cidades'!$B$3:$AB$28))</f>
        <v>3838</v>
      </c>
      <c r="E71" s="56">
        <f t="array" ref="E71">XLOOKUP($B71,'Distancias Cidades'!$A$3:$A$28,XLOOKUP(E$65,'Distancias Cidades'!$B$2:$AB$2,'Distancias Cidades'!$B$3:$AB$28))</f>
        <v>3375</v>
      </c>
      <c r="F71" s="56">
        <f t="array" ref="F71">XLOOKUP($B71,'Distancias Cidades'!$A$3:$A$28,XLOOKUP(F$65,'Distancias Cidades'!$B$2:$AB$2,'Distancias Cidades'!$B$3:$AB$28))</f>
        <v>2682</v>
      </c>
      <c r="G71" s="56">
        <f t="array" ref="G71">XLOOKUP($B71,'Distancias Cidades'!$A$3:$A$28,XLOOKUP(G$65,'Distancias Cidades'!$B$2:$AB$2,'Distancias Cidades'!$B$3:$AB$28))</f>
        <v>705</v>
      </c>
      <c r="H71" s="56" t="str">
        <f t="array" ref="H71">XLOOKUP($B71,'Distancias Cidades'!$A$3:$A$28,XLOOKUP(H$65,'Distancias Cidades'!$B$2:$AB$2,'Distancias Cidades'!$B$3:$AB$28))</f>
        <v/>
      </c>
      <c r="J71" s="188"/>
      <c r="K71" s="26" t="s">
        <v>33</v>
      </c>
      <c r="L71" s="210">
        <v>1.0</v>
      </c>
      <c r="M71" s="210">
        <v>14.0</v>
      </c>
      <c r="N71" s="210">
        <v>12.0</v>
      </c>
      <c r="O71" s="210">
        <v>0.0</v>
      </c>
      <c r="P71" s="210">
        <v>0.0</v>
      </c>
      <c r="Q71" s="210">
        <v>0.0</v>
      </c>
      <c r="R71" s="27">
        <f t="shared" si="208"/>
        <v>27</v>
      </c>
      <c r="S71" s="29"/>
      <c r="T71" s="54" t="s">
        <v>33</v>
      </c>
      <c r="U71" s="52">
        <f>O74-$R71</f>
        <v>0</v>
      </c>
      <c r="V71" s="50"/>
      <c r="W71" s="26" t="s">
        <v>33</v>
      </c>
      <c r="X71" s="36"/>
      <c r="Y71" s="36"/>
      <c r="Z71" s="36"/>
      <c r="AA71" s="36"/>
      <c r="AB71" s="36">
        <f>U71</f>
        <v>0</v>
      </c>
      <c r="AC71" s="36"/>
      <c r="AD71" s="27">
        <f t="shared" si="209"/>
        <v>0</v>
      </c>
      <c r="AE71" s="188"/>
      <c r="AF71" s="205">
        <f>SUM(AL16,AL26,AL36,AL46,AL56)</f>
        <v>3130</v>
      </c>
      <c r="AG71" s="205">
        <f>SUM(AI11,AI21,AI31,AI41,AI51,AI61)</f>
        <v>1540</v>
      </c>
      <c r="AH71" s="205">
        <f>SUM(AG11,AG21,AG31,AG41,AG51,AG61)</f>
        <v>5236</v>
      </c>
      <c r="AI71" s="205">
        <f>SUM(AG9,AG19,AG29,AG39,AG49,AG59)</f>
        <v>1764</v>
      </c>
      <c r="AJ71" s="211"/>
      <c r="AK71" s="209"/>
      <c r="AL71" s="209"/>
      <c r="AO71" s="205">
        <f>SUM(AU16,AU26,AU36,AU46,AU56)</f>
        <v>305</v>
      </c>
      <c r="AP71" s="205">
        <f>SUM(AR11,AR21,AR31,AR41,AR51,AR61)</f>
        <v>80</v>
      </c>
      <c r="AQ71" s="205">
        <f>SUM(AP11,AP21,AP31,AP41,AP51,AP61)</f>
        <v>374</v>
      </c>
      <c r="AR71" s="205">
        <f>SUM(AP9,AP19,AP29,AP39,AP49,AP59)</f>
        <v>125</v>
      </c>
      <c r="AS71" s="211"/>
      <c r="AT71" s="209"/>
      <c r="AU71" s="209"/>
      <c r="AW71" s="188"/>
      <c r="AX71" s="209"/>
      <c r="AY71" s="209"/>
      <c r="AZ71" s="209"/>
      <c r="BA71" s="209"/>
      <c r="BB71" s="209"/>
      <c r="BC71" s="209"/>
      <c r="BD71" s="209"/>
      <c r="BE71" s="209"/>
      <c r="BX71" s="29"/>
      <c r="BY71" s="29"/>
    </row>
    <row r="72" ht="15.75" customHeight="1">
      <c r="J72" s="188"/>
      <c r="K72" s="26" t="s">
        <v>8</v>
      </c>
      <c r="L72" s="210">
        <v>0.0</v>
      </c>
      <c r="M72" s="210">
        <v>14.0</v>
      </c>
      <c r="N72" s="210">
        <v>53.0</v>
      </c>
      <c r="O72" s="210">
        <v>0.0</v>
      </c>
      <c r="P72" s="210">
        <v>0.0</v>
      </c>
      <c r="Q72" s="210">
        <v>0.0</v>
      </c>
      <c r="R72" s="27">
        <f t="shared" si="208"/>
        <v>67</v>
      </c>
      <c r="S72" s="29"/>
      <c r="T72" s="54" t="s">
        <v>8</v>
      </c>
      <c r="U72" s="52">
        <f>P74-$R72</f>
        <v>0</v>
      </c>
      <c r="W72" s="26" t="s">
        <v>8</v>
      </c>
      <c r="X72" s="36"/>
      <c r="Y72" s="36"/>
      <c r="Z72" s="36"/>
      <c r="AA72" s="36"/>
      <c r="AB72" s="36"/>
      <c r="AC72" s="36"/>
      <c r="AD72" s="27">
        <f t="shared" si="209"/>
        <v>0</v>
      </c>
      <c r="AE72" s="188"/>
      <c r="AF72" s="208">
        <f>SUM(AL8,AL18,AL28,AL38,AL48,AL58)</f>
        <v>2716</v>
      </c>
      <c r="AG72" s="205">
        <f>SUM(AH11,AH21,AH31,AH41,AH51,AH61)</f>
        <v>0</v>
      </c>
      <c r="AH72" s="205">
        <f>SUM(AI9,AI19,AI29,AI39,AI49,AI59)</f>
        <v>504</v>
      </c>
      <c r="AI72" s="205">
        <f>SUM(AH8,AH18,AH28,AH38,AH48,AH58)</f>
        <v>3556</v>
      </c>
      <c r="AJ72" s="209"/>
      <c r="AK72" s="209"/>
      <c r="AL72" s="209"/>
      <c r="AO72" s="208">
        <f>SUM(AU8,AU18,AU28,AU38,AU48,AU58)</f>
        <v>179</v>
      </c>
      <c r="AP72" s="205">
        <f>SUM(AQ11,AQ21,AQ31,AQ41,AQ51,AQ61)</f>
        <v>0</v>
      </c>
      <c r="AQ72" s="205">
        <f>SUM(AR9,AR19,AR29,AR39,AR49,AR59)</f>
        <v>24</v>
      </c>
      <c r="AR72" s="205">
        <f>SUM(AQ8,AQ18,AQ28,AQ38,AQ48,AQ58)</f>
        <v>226</v>
      </c>
      <c r="AS72" s="209"/>
      <c r="AT72" s="209"/>
      <c r="AU72" s="209"/>
      <c r="AW72" s="188"/>
      <c r="AX72" s="209"/>
      <c r="AY72" s="209"/>
      <c r="AZ72" s="209"/>
      <c r="BA72" s="209"/>
      <c r="BB72" s="209"/>
      <c r="BC72" s="209"/>
      <c r="BD72" s="209"/>
      <c r="BE72" s="209"/>
      <c r="BX72" s="29"/>
      <c r="BY72" s="29"/>
    </row>
    <row r="73" ht="15.75" customHeight="1">
      <c r="J73" s="188"/>
      <c r="K73" s="26" t="s">
        <v>31</v>
      </c>
      <c r="L73" s="210">
        <v>0.0</v>
      </c>
      <c r="M73" s="210">
        <v>0.0</v>
      </c>
      <c r="N73" s="210">
        <v>30.0</v>
      </c>
      <c r="O73" s="210">
        <v>27.0</v>
      </c>
      <c r="P73" s="210">
        <v>0.0</v>
      </c>
      <c r="Q73" s="210">
        <v>0.0</v>
      </c>
      <c r="R73" s="27">
        <f t="shared" si="208"/>
        <v>57</v>
      </c>
      <c r="S73" s="29"/>
      <c r="T73" s="54" t="s">
        <v>31</v>
      </c>
      <c r="U73" s="52">
        <f>Q74-$R73</f>
        <v>-33</v>
      </c>
      <c r="W73" s="26" t="s">
        <v>31</v>
      </c>
      <c r="X73" s="36"/>
      <c r="Y73" s="36"/>
      <c r="Z73" s="36"/>
      <c r="AA73" s="36"/>
      <c r="AB73" s="36"/>
      <c r="AC73" s="36"/>
      <c r="AD73" s="27">
        <f t="shared" si="209"/>
        <v>0</v>
      </c>
      <c r="AE73" s="188"/>
      <c r="AF73" s="211"/>
      <c r="AG73" s="205">
        <f>SUM(AG11,AG21,AG31,AG41,AG51,AG61)</f>
        <v>5236</v>
      </c>
      <c r="AH73" s="205">
        <f>SUM(AH9,AH19,AH29,AH39,AH49,AH59)</f>
        <v>1008</v>
      </c>
      <c r="AI73" s="205">
        <f>SUM(AG8,AG18,AG28,AG38,AG48,AG58)</f>
        <v>12104</v>
      </c>
      <c r="AJ73" s="209"/>
      <c r="AK73" s="209"/>
      <c r="AL73" s="209"/>
      <c r="AO73" s="211"/>
      <c r="AP73" s="205">
        <f>SUM(AP11,AP21,AP31,AP41,AP51,AP61)</f>
        <v>374</v>
      </c>
      <c r="AQ73" s="205">
        <f>SUM(AQ9,AQ19,AQ29,AQ39,AQ49,AQ59)</f>
        <v>58</v>
      </c>
      <c r="AR73" s="205">
        <f>SUM(AP8,AP18,AP28,AP38,AP48,AP58)</f>
        <v>1153</v>
      </c>
      <c r="AS73" s="209"/>
      <c r="AT73" s="209"/>
      <c r="AU73" s="209"/>
      <c r="AW73" s="188"/>
      <c r="AX73" s="209"/>
      <c r="AY73" s="209"/>
      <c r="AZ73" s="209"/>
      <c r="BA73" s="209"/>
      <c r="BB73" s="209"/>
      <c r="BC73" s="209"/>
      <c r="BD73" s="209"/>
      <c r="BE73" s="209"/>
      <c r="BX73" s="29"/>
      <c r="BY73" s="29"/>
    </row>
    <row r="74" ht="15.75" customHeight="1">
      <c r="A74" s="57"/>
      <c r="B74" s="42" t="s">
        <v>414</v>
      </c>
      <c r="C74" s="20"/>
      <c r="D74" s="20"/>
      <c r="E74" s="20"/>
      <c r="F74" s="20"/>
      <c r="G74" s="20"/>
      <c r="H74" s="58"/>
      <c r="J74" s="188"/>
      <c r="K74" s="32" t="s">
        <v>48</v>
      </c>
      <c r="L74" s="33">
        <f t="shared" ref="L74:R74" si="210">SUM(L68:L73)</f>
        <v>96</v>
      </c>
      <c r="M74" s="33">
        <f t="shared" si="210"/>
        <v>56</v>
      </c>
      <c r="N74" s="33">
        <f t="shared" si="210"/>
        <v>101</v>
      </c>
      <c r="O74" s="33">
        <f t="shared" si="210"/>
        <v>27</v>
      </c>
      <c r="P74" s="33">
        <f t="shared" si="210"/>
        <v>67</v>
      </c>
      <c r="Q74" s="33">
        <f t="shared" si="210"/>
        <v>24</v>
      </c>
      <c r="R74" s="33">
        <f t="shared" si="210"/>
        <v>371</v>
      </c>
      <c r="S74" s="29"/>
      <c r="T74" s="32" t="s">
        <v>49</v>
      </c>
      <c r="U74" s="33">
        <f>SUM(U68:U73)</f>
        <v>0</v>
      </c>
      <c r="V74" s="57"/>
      <c r="W74" s="32" t="s">
        <v>48</v>
      </c>
      <c r="X74" s="33">
        <f t="shared" ref="X74:AD74" si="211">SUM(X68:X73)</f>
        <v>0</v>
      </c>
      <c r="Y74" s="33">
        <f t="shared" si="211"/>
        <v>0</v>
      </c>
      <c r="Z74" s="33">
        <f t="shared" si="211"/>
        <v>0</v>
      </c>
      <c r="AA74" s="33">
        <f t="shared" si="211"/>
        <v>0</v>
      </c>
      <c r="AB74" s="33">
        <f t="shared" si="211"/>
        <v>0</v>
      </c>
      <c r="AC74" s="33">
        <f t="shared" si="211"/>
        <v>33</v>
      </c>
      <c r="AD74" s="33">
        <f t="shared" si="211"/>
        <v>33</v>
      </c>
      <c r="AE74" s="188"/>
      <c r="AF74" s="209"/>
      <c r="AG74" s="211"/>
      <c r="AH74" s="205">
        <f>SUM(AG9,AG19,AG29,AG39,AG49,AG59)</f>
        <v>1764</v>
      </c>
      <c r="AI74" s="211"/>
      <c r="AJ74" s="209"/>
      <c r="AK74" s="209"/>
      <c r="AL74" s="209"/>
      <c r="AO74" s="209"/>
      <c r="AP74" s="211"/>
      <c r="AQ74" s="205">
        <f>SUM(AP9,AP19,AP29,AP39,AP49,AP59)</f>
        <v>125</v>
      </c>
      <c r="AR74" s="211"/>
      <c r="AS74" s="209"/>
      <c r="AT74" s="209"/>
      <c r="AU74" s="209"/>
      <c r="AW74" s="188"/>
      <c r="AX74" s="209"/>
      <c r="AY74" s="209"/>
      <c r="AZ74" s="209"/>
      <c r="BA74" s="209"/>
      <c r="BB74" s="209"/>
      <c r="BC74" s="209"/>
      <c r="BD74" s="209"/>
      <c r="BE74" s="209"/>
      <c r="BX74" s="29"/>
      <c r="BY74" s="29"/>
    </row>
    <row r="75" ht="15.75" customHeight="1">
      <c r="A75" s="48"/>
      <c r="B75" s="4" t="s">
        <v>42</v>
      </c>
      <c r="C75" s="4" t="s">
        <v>25</v>
      </c>
      <c r="D75" s="4" t="s">
        <v>28</v>
      </c>
      <c r="E75" s="4" t="s">
        <v>9</v>
      </c>
      <c r="F75" s="49" t="s">
        <v>33</v>
      </c>
      <c r="G75" s="4" t="s">
        <v>8</v>
      </c>
      <c r="H75" s="4" t="s">
        <v>31</v>
      </c>
      <c r="J75" s="188"/>
      <c r="K75" s="57"/>
      <c r="L75" s="57"/>
      <c r="M75" s="57"/>
      <c r="O75" s="57"/>
      <c r="P75" s="57"/>
      <c r="Q75" s="57"/>
      <c r="S75" s="29"/>
      <c r="V75" s="48"/>
      <c r="AE75" s="188"/>
      <c r="AF75" s="212">
        <f t="shared" ref="AF75:AL75" si="212">SUM(AF66:AF74)</f>
        <v>37346</v>
      </c>
      <c r="AG75" s="213">
        <f t="shared" si="212"/>
        <v>39200</v>
      </c>
      <c r="AH75" s="213">
        <f t="shared" si="212"/>
        <v>39200</v>
      </c>
      <c r="AI75" s="213">
        <f t="shared" si="212"/>
        <v>35960</v>
      </c>
      <c r="AJ75" s="213">
        <f t="shared" si="212"/>
        <v>35960</v>
      </c>
      <c r="AK75" s="213">
        <f t="shared" si="212"/>
        <v>38690</v>
      </c>
      <c r="AL75" s="213">
        <f t="shared" si="212"/>
        <v>37346</v>
      </c>
      <c r="AO75" s="213">
        <f t="shared" ref="AO75:AU75" si="213">SUM(AO66:AO74)</f>
        <v>2667</v>
      </c>
      <c r="AP75" s="213">
        <f t="shared" si="213"/>
        <v>2676</v>
      </c>
      <c r="AQ75" s="213">
        <f t="shared" si="213"/>
        <v>2676</v>
      </c>
      <c r="AR75" s="213">
        <f t="shared" si="213"/>
        <v>2800</v>
      </c>
      <c r="AS75" s="213">
        <f t="shared" si="213"/>
        <v>2800</v>
      </c>
      <c r="AT75" s="213">
        <f t="shared" si="213"/>
        <v>2791</v>
      </c>
      <c r="AU75" s="213">
        <f t="shared" si="213"/>
        <v>2667</v>
      </c>
      <c r="AW75" s="188"/>
      <c r="BX75" s="29"/>
      <c r="BY75" s="29"/>
    </row>
    <row r="76" ht="15.75" customHeight="1">
      <c r="A76" s="50"/>
      <c r="B76" s="26" t="s">
        <v>25</v>
      </c>
      <c r="C76" s="59"/>
      <c r="D76" s="59">
        <f>C77</f>
        <v>13722.76923</v>
      </c>
      <c r="E76" s="59">
        <f>C78</f>
        <v>16113.73271</v>
      </c>
      <c r="F76" s="59">
        <f>C79</f>
        <v>16247.99848</v>
      </c>
      <c r="G76" s="59">
        <f>C80</f>
        <v>20549.66712</v>
      </c>
      <c r="H76" s="59">
        <f>C81</f>
        <v>23477.69368</v>
      </c>
      <c r="J76" s="188"/>
      <c r="K76" s="42" t="s">
        <v>415</v>
      </c>
      <c r="L76" s="20"/>
      <c r="M76" s="20"/>
      <c r="N76" s="20"/>
      <c r="O76" s="20"/>
      <c r="P76" s="20"/>
      <c r="Q76" s="20"/>
      <c r="R76" s="21"/>
      <c r="S76" s="29"/>
      <c r="T76" s="116" t="s">
        <v>53</v>
      </c>
      <c r="U76" s="21"/>
      <c r="V76" s="50"/>
      <c r="W76" s="116" t="s">
        <v>245</v>
      </c>
      <c r="X76" s="20"/>
      <c r="Y76" s="20"/>
      <c r="Z76" s="20"/>
      <c r="AA76" s="20"/>
      <c r="AB76" s="20"/>
      <c r="AC76" s="20"/>
      <c r="AD76" s="21"/>
      <c r="AE76" s="188"/>
      <c r="AF76" s="39">
        <v>39200.0</v>
      </c>
      <c r="AG76" s="39">
        <v>39200.0</v>
      </c>
      <c r="AH76" s="39">
        <v>39200.0</v>
      </c>
      <c r="AI76" s="39">
        <v>39200.0</v>
      </c>
      <c r="AJ76" s="39">
        <v>39200.0</v>
      </c>
      <c r="AK76" s="39">
        <v>39200.0</v>
      </c>
      <c r="AL76" s="39">
        <v>39200.0</v>
      </c>
      <c r="AO76" s="39">
        <v>2800.0</v>
      </c>
      <c r="AP76" s="39">
        <v>2800.0</v>
      </c>
      <c r="AQ76" s="39">
        <v>2800.0</v>
      </c>
      <c r="AR76" s="39">
        <v>2800.0</v>
      </c>
      <c r="AS76" s="39">
        <v>2800.0</v>
      </c>
      <c r="AT76" s="39">
        <v>2800.0</v>
      </c>
      <c r="AU76" s="39">
        <v>2800.0</v>
      </c>
      <c r="AW76" s="188"/>
      <c r="AX76" s="39"/>
      <c r="AY76" s="39"/>
      <c r="AZ76" s="39"/>
      <c r="BA76" s="39"/>
      <c r="BB76" s="39"/>
      <c r="BC76" s="39"/>
      <c r="BD76" s="39"/>
      <c r="BE76" s="39"/>
      <c r="BX76" s="29"/>
      <c r="BY76" s="29"/>
    </row>
    <row r="77" ht="15.75" customHeight="1">
      <c r="A77" s="50"/>
      <c r="B77" s="26" t="s">
        <v>28</v>
      </c>
      <c r="C77" s="59">
        <f t="shared" ref="C77:C81" si="214">(((C67*5.6748+496.5)*1.3)+7000)*0.7</f>
        <v>13722.76923</v>
      </c>
      <c r="D77" s="59"/>
      <c r="E77" s="59">
        <f>D78</f>
        <v>4583.0694</v>
      </c>
      <c r="F77" s="59">
        <f>D79</f>
        <v>7624.705452</v>
      </c>
      <c r="G77" s="59">
        <f>D80</f>
        <v>16599.85564</v>
      </c>
      <c r="H77" s="59">
        <f>D81</f>
        <v>20271.50798</v>
      </c>
      <c r="J77" s="188"/>
      <c r="K77" s="4" t="s">
        <v>42</v>
      </c>
      <c r="L77" s="4" t="s">
        <v>25</v>
      </c>
      <c r="M77" s="4" t="s">
        <v>28</v>
      </c>
      <c r="N77" s="4" t="s">
        <v>9</v>
      </c>
      <c r="O77" s="49" t="s">
        <v>33</v>
      </c>
      <c r="P77" s="4" t="s">
        <v>8</v>
      </c>
      <c r="Q77" s="4" t="s">
        <v>31</v>
      </c>
      <c r="R77" s="4" t="s">
        <v>43</v>
      </c>
      <c r="S77" s="29"/>
      <c r="T77" s="4" t="s">
        <v>44</v>
      </c>
      <c r="U77" s="49" t="s">
        <v>47</v>
      </c>
      <c r="V77" s="50"/>
      <c r="W77" s="49" t="s">
        <v>42</v>
      </c>
      <c r="X77" s="49" t="s">
        <v>25</v>
      </c>
      <c r="Y77" s="49" t="s">
        <v>28</v>
      </c>
      <c r="Z77" s="49" t="s">
        <v>9</v>
      </c>
      <c r="AA77" s="49" t="s">
        <v>33</v>
      </c>
      <c r="AB77" s="49" t="s">
        <v>8</v>
      </c>
      <c r="AC77" s="49" t="s">
        <v>31</v>
      </c>
      <c r="AD77" s="49" t="s">
        <v>43</v>
      </c>
      <c r="AE77" s="188"/>
      <c r="AF77" s="214" t="s">
        <v>416</v>
      </c>
      <c r="AW77" s="188"/>
      <c r="AX77" s="148"/>
      <c r="AY77" s="148"/>
      <c r="AZ77" s="148"/>
      <c r="BA77" s="148"/>
      <c r="BB77" s="148"/>
      <c r="BC77" s="148"/>
      <c r="BD77" s="148"/>
      <c r="BE77" s="148"/>
      <c r="BX77" s="29"/>
      <c r="BY77" s="29"/>
    </row>
    <row r="78" ht="15.75" customHeight="1">
      <c r="A78" s="50"/>
      <c r="B78" s="26" t="s">
        <v>9</v>
      </c>
      <c r="C78" s="59">
        <f t="shared" si="214"/>
        <v>16113.73271</v>
      </c>
      <c r="D78" s="59">
        <f t="shared" ref="D78:D81" si="215">(D68*5.6748+496.5)*1.3*0.7</f>
        <v>4583.0694</v>
      </c>
      <c r="E78" s="59"/>
      <c r="F78" s="59">
        <f>E79</f>
        <v>4784.468052</v>
      </c>
      <c r="G78" s="59">
        <f t="shared" ref="G78:G79" si="216">(G68*5.6748+496.5)*1.3*0.7</f>
        <v>14188.23588</v>
      </c>
      <c r="H78" s="59">
        <f>E81</f>
        <v>17880.5445</v>
      </c>
      <c r="J78" s="188"/>
      <c r="K78" s="26" t="s">
        <v>25</v>
      </c>
      <c r="L78" s="210">
        <v>0.0</v>
      </c>
      <c r="M78" s="210">
        <v>0.0</v>
      </c>
      <c r="N78" s="210">
        <v>158.0</v>
      </c>
      <c r="O78" s="210">
        <v>0.0</v>
      </c>
      <c r="P78" s="210">
        <v>1057.0</v>
      </c>
      <c r="Q78" s="210">
        <v>105.0</v>
      </c>
      <c r="R78" s="27">
        <f t="shared" ref="R78:R83" si="217">SUM(L78:Q78)</f>
        <v>1320</v>
      </c>
      <c r="S78" s="29"/>
      <c r="T78" s="26" t="s">
        <v>25</v>
      </c>
      <c r="U78" s="52">
        <f>L84-R78</f>
        <v>-191</v>
      </c>
      <c r="V78" s="50"/>
      <c r="W78" s="26" t="s">
        <v>25</v>
      </c>
      <c r="X78" s="36"/>
      <c r="Y78" s="36"/>
      <c r="Z78" s="36"/>
      <c r="AA78" s="36"/>
      <c r="AB78" s="36"/>
      <c r="AC78" s="36"/>
      <c r="AD78" s="27">
        <f t="shared" ref="AD78:AD83" si="218">SUM(X78:AC78)</f>
        <v>0</v>
      </c>
      <c r="AE78" s="188"/>
      <c r="AF78" s="215" t="s">
        <v>417</v>
      </c>
      <c r="AG78" s="216" t="s">
        <v>418</v>
      </c>
      <c r="AH78" s="216" t="s">
        <v>419</v>
      </c>
      <c r="AI78" s="216" t="s">
        <v>420</v>
      </c>
      <c r="AJ78" s="216" t="s">
        <v>421</v>
      </c>
      <c r="AK78" s="216" t="s">
        <v>422</v>
      </c>
      <c r="AL78" s="216" t="s">
        <v>423</v>
      </c>
      <c r="AW78" s="188"/>
      <c r="BX78" s="29"/>
      <c r="BY78" s="29"/>
    </row>
    <row r="79" ht="15.75" customHeight="1">
      <c r="A79" s="50"/>
      <c r="B79" s="26" t="s">
        <v>33</v>
      </c>
      <c r="C79" s="59">
        <f t="shared" si="214"/>
        <v>16247.99848</v>
      </c>
      <c r="D79" s="59">
        <f t="shared" si="215"/>
        <v>7624.705452</v>
      </c>
      <c r="E79" s="59">
        <f t="shared" ref="E79:E81" si="219">(E69*5.6748+496.5)*1.3*0.7</f>
        <v>4784.468052</v>
      </c>
      <c r="F79" s="59"/>
      <c r="G79" s="59">
        <f t="shared" si="216"/>
        <v>10583.71642</v>
      </c>
      <c r="H79" s="59">
        <f t="shared" ref="H79:H80" si="220">(H69*5.6748+496.5)*1.3*0.7</f>
        <v>14301.84538</v>
      </c>
      <c r="J79" s="188"/>
      <c r="K79" s="26" t="s">
        <v>28</v>
      </c>
      <c r="L79" s="210">
        <v>198.0</v>
      </c>
      <c r="M79" s="210">
        <v>0.0</v>
      </c>
      <c r="N79" s="210">
        <v>0.0</v>
      </c>
      <c r="O79" s="210">
        <v>0.0</v>
      </c>
      <c r="P79" s="210">
        <v>0.0</v>
      </c>
      <c r="Q79" s="210">
        <v>0.0</v>
      </c>
      <c r="R79" s="27">
        <f t="shared" si="217"/>
        <v>198</v>
      </c>
      <c r="S79" s="29"/>
      <c r="T79" s="26" t="s">
        <v>28</v>
      </c>
      <c r="U79" s="52">
        <f>M84-R79</f>
        <v>0</v>
      </c>
      <c r="V79" s="50"/>
      <c r="W79" s="26" t="s">
        <v>28</v>
      </c>
      <c r="X79" s="36"/>
      <c r="Y79" s="36"/>
      <c r="Z79" s="36"/>
      <c r="AA79" s="36"/>
      <c r="AB79" s="36"/>
      <c r="AC79" s="36">
        <f>U79</f>
        <v>0</v>
      </c>
      <c r="AD79" s="27">
        <f t="shared" si="218"/>
        <v>0</v>
      </c>
      <c r="AE79" s="188"/>
      <c r="AF79" s="217" t="s">
        <v>424</v>
      </c>
      <c r="AG79" s="218" t="s">
        <v>114</v>
      </c>
      <c r="AH79" s="219" t="s">
        <v>109</v>
      </c>
      <c r="AI79" s="219" t="s">
        <v>104</v>
      </c>
      <c r="AJ79" s="218" t="s">
        <v>99</v>
      </c>
      <c r="AK79" s="218" t="s">
        <v>103</v>
      </c>
      <c r="AL79" s="218" t="s">
        <v>112</v>
      </c>
      <c r="AW79" s="188"/>
      <c r="BX79" s="29"/>
      <c r="BY79" s="29"/>
    </row>
    <row r="80" ht="15.75" customHeight="1">
      <c r="A80" s="50"/>
      <c r="B80" s="26" t="s">
        <v>8</v>
      </c>
      <c r="C80" s="59">
        <f t="shared" si="214"/>
        <v>20549.66712</v>
      </c>
      <c r="D80" s="59">
        <f t="shared" si="215"/>
        <v>16599.85564</v>
      </c>
      <c r="E80" s="59">
        <f t="shared" si="219"/>
        <v>14188.23588</v>
      </c>
      <c r="F80" s="59">
        <f t="shared" ref="F80:F81" si="221">(F70*5.6748+496.5)*1.3*0.7</f>
        <v>10583.71642</v>
      </c>
      <c r="G80" s="59"/>
      <c r="H80" s="59">
        <f t="shared" si="220"/>
        <v>4092.48294</v>
      </c>
      <c r="J80" s="188"/>
      <c r="K80" s="26" t="s">
        <v>9</v>
      </c>
      <c r="L80" s="210">
        <v>336.0</v>
      </c>
      <c r="M80" s="210">
        <v>97.0</v>
      </c>
      <c r="N80" s="210">
        <v>0.0</v>
      </c>
      <c r="O80" s="210">
        <v>0.0</v>
      </c>
      <c r="P80" s="210">
        <v>0.0</v>
      </c>
      <c r="Q80" s="210">
        <v>82.0</v>
      </c>
      <c r="R80" s="27">
        <f t="shared" si="217"/>
        <v>515</v>
      </c>
      <c r="S80" s="29"/>
      <c r="T80" s="54" t="s">
        <v>9</v>
      </c>
      <c r="U80" s="52">
        <f>N84-R80</f>
        <v>191</v>
      </c>
      <c r="V80" s="50"/>
      <c r="W80" s="26" t="s">
        <v>9</v>
      </c>
      <c r="X80" s="36">
        <f>U80-(U80+U78+X81)</f>
        <v>191</v>
      </c>
      <c r="Y80" s="36"/>
      <c r="Z80" s="36"/>
      <c r="AA80" s="36"/>
      <c r="AB80" s="36">
        <f>U80-(U80+U82)</f>
        <v>0</v>
      </c>
      <c r="AC80" s="36">
        <f>U80-X80-AB80</f>
        <v>0</v>
      </c>
      <c r="AD80" s="27">
        <f t="shared" si="218"/>
        <v>191</v>
      </c>
      <c r="AE80" s="188"/>
      <c r="AF80" s="220" t="s">
        <v>114</v>
      </c>
      <c r="AG80" s="218" t="s">
        <v>109</v>
      </c>
      <c r="AH80" s="219" t="s">
        <v>104</v>
      </c>
      <c r="AI80" s="219" t="s">
        <v>99</v>
      </c>
      <c r="AJ80" s="218" t="s">
        <v>105</v>
      </c>
      <c r="AK80" s="218" t="s">
        <v>425</v>
      </c>
      <c r="AL80" s="218" t="str">
        <f>AF85</f>
        <v>4 -- 2</v>
      </c>
      <c r="AW80" s="188"/>
      <c r="AX80" s="57"/>
      <c r="AY80" s="57"/>
      <c r="AZ80" s="57"/>
      <c r="BA80" s="57"/>
      <c r="BB80" s="57"/>
      <c r="BC80" s="57"/>
      <c r="BD80" s="57"/>
      <c r="BE80" s="57"/>
      <c r="BX80" s="29"/>
      <c r="BY80" s="29"/>
    </row>
    <row r="81" ht="15.75" customHeight="1">
      <c r="A81" s="50"/>
      <c r="B81" s="26" t="s">
        <v>31</v>
      </c>
      <c r="C81" s="59">
        <f t="shared" si="214"/>
        <v>23477.69368</v>
      </c>
      <c r="D81" s="59">
        <f t="shared" si="215"/>
        <v>20271.50798</v>
      </c>
      <c r="E81" s="59">
        <f t="shared" si="219"/>
        <v>17880.5445</v>
      </c>
      <c r="F81" s="59">
        <f t="shared" si="221"/>
        <v>14301.84538</v>
      </c>
      <c r="G81" s="59">
        <f>(G71*5.6748+496.5)*1.3*0.7</f>
        <v>4092.48294</v>
      </c>
      <c r="H81" s="59"/>
      <c r="J81" s="188"/>
      <c r="K81" s="26" t="s">
        <v>33</v>
      </c>
      <c r="L81" s="210">
        <v>62.0</v>
      </c>
      <c r="M81" s="210">
        <v>22.0</v>
      </c>
      <c r="N81" s="210">
        <v>0.0</v>
      </c>
      <c r="O81" s="210">
        <v>0.0</v>
      </c>
      <c r="P81" s="210">
        <v>0.0</v>
      </c>
      <c r="Q81" s="210">
        <v>0.0</v>
      </c>
      <c r="R81" s="27">
        <f t="shared" si="217"/>
        <v>84</v>
      </c>
      <c r="S81" s="29"/>
      <c r="T81" s="54" t="s">
        <v>33</v>
      </c>
      <c r="U81" s="52">
        <f>O84-R81</f>
        <v>0</v>
      </c>
      <c r="V81" s="50"/>
      <c r="W81" s="26" t="s">
        <v>33</v>
      </c>
      <c r="X81" s="36">
        <f>U81</f>
        <v>0</v>
      </c>
      <c r="Y81" s="36"/>
      <c r="Z81" s="36"/>
      <c r="AA81" s="36"/>
      <c r="AB81" s="36"/>
      <c r="AC81" s="36"/>
      <c r="AD81" s="27">
        <f t="shared" si="218"/>
        <v>0</v>
      </c>
      <c r="AE81" s="188"/>
      <c r="AF81" s="220" t="s">
        <v>109</v>
      </c>
      <c r="AG81" s="218" t="s">
        <v>104</v>
      </c>
      <c r="AH81" s="219" t="s">
        <v>99</v>
      </c>
      <c r="AI81" s="219" t="s">
        <v>110</v>
      </c>
      <c r="AJ81" s="219" t="s">
        <v>111</v>
      </c>
      <c r="AK81" s="218" t="s">
        <v>113</v>
      </c>
      <c r="AL81" s="218" t="s">
        <v>113</v>
      </c>
      <c r="AW81" s="188"/>
      <c r="AX81" s="48"/>
      <c r="AY81" s="48"/>
      <c r="AZ81" s="48"/>
      <c r="BA81" s="48"/>
      <c r="BB81" s="48"/>
      <c r="BC81" s="48"/>
      <c r="BD81" s="48"/>
      <c r="BE81" s="48"/>
      <c r="BX81" s="29"/>
      <c r="BY81" s="29"/>
    </row>
    <row r="82" ht="15.75" customHeight="1">
      <c r="A82" s="39"/>
      <c r="B82" s="39" t="s">
        <v>79</v>
      </c>
      <c r="J82" s="188"/>
      <c r="K82" s="26" t="s">
        <v>8</v>
      </c>
      <c r="L82" s="210">
        <v>346.0</v>
      </c>
      <c r="M82" s="210">
        <v>79.0</v>
      </c>
      <c r="N82" s="210">
        <v>548.0</v>
      </c>
      <c r="O82" s="210">
        <v>84.0</v>
      </c>
      <c r="P82" s="210">
        <v>0.0</v>
      </c>
      <c r="Q82" s="210">
        <v>0.0</v>
      </c>
      <c r="R82" s="27">
        <f t="shared" si="217"/>
        <v>1057</v>
      </c>
      <c r="S82" s="29"/>
      <c r="T82" s="54" t="s">
        <v>8</v>
      </c>
      <c r="U82" s="52">
        <f>P84-R82</f>
        <v>0</v>
      </c>
      <c r="V82" s="39"/>
      <c r="W82" s="26" t="s">
        <v>8</v>
      </c>
      <c r="X82" s="36"/>
      <c r="Y82" s="36"/>
      <c r="Z82" s="36"/>
      <c r="AA82" s="36"/>
      <c r="AB82" s="36"/>
      <c r="AC82" s="36"/>
      <c r="AD82" s="27">
        <f t="shared" si="218"/>
        <v>0</v>
      </c>
      <c r="AE82" s="188"/>
      <c r="AF82" s="220" t="s">
        <v>104</v>
      </c>
      <c r="AG82" s="218" t="s">
        <v>99</v>
      </c>
      <c r="AH82" s="219" t="s">
        <v>115</v>
      </c>
      <c r="AI82" s="219" t="s">
        <v>105</v>
      </c>
      <c r="AJ82" s="219" t="s">
        <v>117</v>
      </c>
      <c r="AK82" s="218"/>
      <c r="AL82" s="218" t="s">
        <v>425</v>
      </c>
      <c r="AW82" s="188"/>
      <c r="AX82" s="50"/>
      <c r="AY82" s="50"/>
      <c r="AZ82" s="50"/>
      <c r="BA82" s="50"/>
      <c r="BB82" s="50"/>
      <c r="BC82" s="50"/>
      <c r="BD82" s="50"/>
      <c r="BE82" s="50"/>
      <c r="BX82" s="29"/>
      <c r="BY82" s="29"/>
    </row>
    <row r="83" ht="15.75" customHeight="1">
      <c r="J83" s="188"/>
      <c r="K83" s="26" t="s">
        <v>31</v>
      </c>
      <c r="L83" s="210">
        <v>187.0</v>
      </c>
      <c r="M83" s="210">
        <v>0.0</v>
      </c>
      <c r="N83" s="210">
        <v>0.0</v>
      </c>
      <c r="O83" s="210">
        <v>0.0</v>
      </c>
      <c r="P83" s="210">
        <v>0.0</v>
      </c>
      <c r="Q83" s="210">
        <v>0.0</v>
      </c>
      <c r="R83" s="27">
        <f t="shared" si="217"/>
        <v>187</v>
      </c>
      <c r="S83" s="29"/>
      <c r="T83" s="54" t="s">
        <v>31</v>
      </c>
      <c r="U83" s="52">
        <f>Q84-R83</f>
        <v>0</v>
      </c>
      <c r="W83" s="26" t="s">
        <v>31</v>
      </c>
      <c r="X83" s="36"/>
      <c r="Y83" s="36"/>
      <c r="Z83" s="36"/>
      <c r="AA83" s="36"/>
      <c r="AB83" s="36"/>
      <c r="AC83" s="36"/>
      <c r="AD83" s="27">
        <f t="shared" si="218"/>
        <v>0</v>
      </c>
      <c r="AE83" s="188"/>
      <c r="AF83" s="220" t="s">
        <v>99</v>
      </c>
      <c r="AG83" s="218" t="s">
        <v>426</v>
      </c>
      <c r="AH83" s="219" t="s">
        <v>110</v>
      </c>
      <c r="AI83" s="219" t="s">
        <v>116</v>
      </c>
      <c r="AJ83" s="218" t="s">
        <v>427</v>
      </c>
      <c r="AK83" s="218"/>
      <c r="AL83" s="218"/>
      <c r="AW83" s="188"/>
      <c r="AX83" s="50"/>
      <c r="AY83" s="50"/>
      <c r="AZ83" s="50"/>
      <c r="BA83" s="50"/>
      <c r="BB83" s="50"/>
      <c r="BC83" s="50"/>
      <c r="BD83" s="50"/>
      <c r="BE83" s="50"/>
      <c r="BX83" s="29"/>
      <c r="BY83" s="29"/>
    </row>
    <row r="84" ht="15.75" customHeight="1">
      <c r="J84" s="188"/>
      <c r="K84" s="32" t="s">
        <v>48</v>
      </c>
      <c r="L84" s="33">
        <f t="shared" ref="L84:R84" si="222">SUM(L78:L83)</f>
        <v>1129</v>
      </c>
      <c r="M84" s="33">
        <f t="shared" si="222"/>
        <v>198</v>
      </c>
      <c r="N84" s="33">
        <f t="shared" si="222"/>
        <v>706</v>
      </c>
      <c r="O84" s="33">
        <f t="shared" si="222"/>
        <v>84</v>
      </c>
      <c r="P84" s="33">
        <f t="shared" si="222"/>
        <v>1057</v>
      </c>
      <c r="Q84" s="33">
        <f t="shared" si="222"/>
        <v>187</v>
      </c>
      <c r="R84" s="33">
        <f t="shared" si="222"/>
        <v>3361</v>
      </c>
      <c r="S84" s="29"/>
      <c r="T84" s="32" t="s">
        <v>49</v>
      </c>
      <c r="U84" s="33">
        <f>SUM(U78:U83)</f>
        <v>0</v>
      </c>
      <c r="W84" s="32" t="s">
        <v>48</v>
      </c>
      <c r="X84" s="33">
        <f t="shared" ref="X84:AD84" si="223">SUM(X78:X83)</f>
        <v>191</v>
      </c>
      <c r="Y84" s="33">
        <f t="shared" si="223"/>
        <v>0</v>
      </c>
      <c r="Z84" s="33">
        <f t="shared" si="223"/>
        <v>0</v>
      </c>
      <c r="AA84" s="33">
        <f t="shared" si="223"/>
        <v>0</v>
      </c>
      <c r="AB84" s="33">
        <f t="shared" si="223"/>
        <v>0</v>
      </c>
      <c r="AC84" s="33">
        <f t="shared" si="223"/>
        <v>0</v>
      </c>
      <c r="AD84" s="33">
        <f t="shared" si="223"/>
        <v>191</v>
      </c>
      <c r="AE84" s="188"/>
      <c r="AF84" s="220" t="s">
        <v>113</v>
      </c>
      <c r="AG84" s="218" t="s">
        <v>115</v>
      </c>
      <c r="AH84" s="219" t="s">
        <v>105</v>
      </c>
      <c r="AI84" s="219" t="s">
        <v>111</v>
      </c>
      <c r="AJ84" s="218"/>
      <c r="AK84" s="218"/>
      <c r="AL84" s="218"/>
      <c r="AW84" s="188"/>
      <c r="AX84" s="50"/>
      <c r="AY84" s="50"/>
      <c r="AZ84" s="50"/>
      <c r="BA84" s="50"/>
      <c r="BB84" s="50"/>
      <c r="BC84" s="50"/>
      <c r="BD84" s="50"/>
      <c r="BE84" s="50"/>
      <c r="BX84" s="29"/>
      <c r="BY84" s="29"/>
    </row>
    <row r="85" ht="15.75" customHeight="1">
      <c r="A85" s="39"/>
      <c r="B85" s="39" t="s">
        <v>81</v>
      </c>
      <c r="J85" s="188"/>
      <c r="S85" s="29"/>
      <c r="V85" s="39"/>
      <c r="AE85" s="188"/>
      <c r="AF85" s="220" t="s">
        <v>101</v>
      </c>
      <c r="AG85" s="218" t="s">
        <v>110</v>
      </c>
      <c r="AH85" s="218" t="s">
        <v>428</v>
      </c>
      <c r="AI85" s="218" t="s">
        <v>429</v>
      </c>
      <c r="AJ85" s="218"/>
      <c r="AK85" s="218"/>
      <c r="AL85" s="218"/>
      <c r="AW85" s="188"/>
      <c r="AX85" s="50"/>
      <c r="AY85" s="50"/>
      <c r="AZ85" s="50"/>
      <c r="BA85" s="50"/>
      <c r="BB85" s="50"/>
      <c r="BC85" s="50"/>
      <c r="BD85" s="50"/>
      <c r="BE85" s="50"/>
      <c r="BX85" s="29"/>
      <c r="BY85" s="29"/>
    </row>
    <row r="86" ht="15.75" customHeight="1">
      <c r="J86" s="188"/>
      <c r="K86" s="42" t="s">
        <v>430</v>
      </c>
      <c r="L86" s="20"/>
      <c r="M86" s="20"/>
      <c r="N86" s="20"/>
      <c r="O86" s="20"/>
      <c r="P86" s="20"/>
      <c r="Q86" s="20"/>
      <c r="R86" s="21"/>
      <c r="S86" s="29"/>
      <c r="T86" s="116" t="s">
        <v>55</v>
      </c>
      <c r="U86" s="21"/>
      <c r="W86" s="116" t="s">
        <v>251</v>
      </c>
      <c r="X86" s="20"/>
      <c r="Y86" s="20"/>
      <c r="Z86" s="20"/>
      <c r="AA86" s="20"/>
      <c r="AB86" s="20"/>
      <c r="AC86" s="20"/>
      <c r="AD86" s="21"/>
      <c r="AE86" s="188"/>
      <c r="AF86" s="220"/>
      <c r="AG86" s="218" t="s">
        <v>105</v>
      </c>
      <c r="AH86" s="218" t="s">
        <v>116</v>
      </c>
      <c r="AI86" s="218" t="s">
        <v>117</v>
      </c>
      <c r="AJ86" s="218"/>
      <c r="AK86" s="218"/>
      <c r="AL86" s="218"/>
      <c r="AW86" s="188"/>
      <c r="AX86" s="50"/>
      <c r="AY86" s="50"/>
      <c r="AZ86" s="50"/>
      <c r="BA86" s="50"/>
      <c r="BB86" s="50"/>
      <c r="BC86" s="50"/>
      <c r="BD86" s="50"/>
      <c r="BE86" s="50"/>
      <c r="BX86" s="29"/>
      <c r="BY86" s="29"/>
    </row>
    <row r="87" ht="15.75" customHeight="1">
      <c r="J87" s="188"/>
      <c r="K87" s="4" t="s">
        <v>42</v>
      </c>
      <c r="L87" s="4" t="s">
        <v>25</v>
      </c>
      <c r="M87" s="4" t="s">
        <v>28</v>
      </c>
      <c r="N87" s="4" t="s">
        <v>9</v>
      </c>
      <c r="O87" s="49" t="s">
        <v>33</v>
      </c>
      <c r="P87" s="4" t="s">
        <v>8</v>
      </c>
      <c r="Q87" s="4" t="s">
        <v>31</v>
      </c>
      <c r="R87" s="4" t="s">
        <v>43</v>
      </c>
      <c r="S87" s="29"/>
      <c r="T87" s="4" t="s">
        <v>44</v>
      </c>
      <c r="U87" s="49" t="s">
        <v>47</v>
      </c>
      <c r="W87" s="49" t="s">
        <v>42</v>
      </c>
      <c r="X87" s="49" t="s">
        <v>25</v>
      </c>
      <c r="Y87" s="49" t="s">
        <v>28</v>
      </c>
      <c r="Z87" s="49" t="s">
        <v>9</v>
      </c>
      <c r="AA87" s="49" t="s">
        <v>33</v>
      </c>
      <c r="AB87" s="49" t="s">
        <v>8</v>
      </c>
      <c r="AC87" s="49" t="s">
        <v>31</v>
      </c>
      <c r="AD87" s="49" t="s">
        <v>43</v>
      </c>
      <c r="AE87" s="188"/>
      <c r="AF87" s="220"/>
      <c r="AG87" s="218"/>
      <c r="AH87" s="218" t="s">
        <v>111</v>
      </c>
      <c r="AI87" s="218"/>
      <c r="AJ87" s="218"/>
      <c r="AK87" s="218"/>
      <c r="AL87" s="218"/>
      <c r="AW87" s="188"/>
      <c r="AX87" s="50"/>
      <c r="AY87" s="50"/>
      <c r="AZ87" s="50"/>
      <c r="BA87" s="50"/>
      <c r="BB87" s="50"/>
      <c r="BC87" s="50"/>
      <c r="BD87" s="50"/>
      <c r="BE87" s="50"/>
      <c r="BX87" s="29"/>
      <c r="BY87" s="29"/>
    </row>
    <row r="88" ht="15.75" customHeight="1">
      <c r="A88" s="63"/>
      <c r="B88" s="148" t="s">
        <v>416</v>
      </c>
      <c r="J88" s="188"/>
      <c r="K88" s="26" t="s">
        <v>25</v>
      </c>
      <c r="L88" s="210">
        <v>0.0</v>
      </c>
      <c r="M88" s="210">
        <v>0.0</v>
      </c>
      <c r="N88" s="210">
        <v>0.0</v>
      </c>
      <c r="O88" s="210">
        <v>0.0</v>
      </c>
      <c r="P88" s="210">
        <v>1.0</v>
      </c>
      <c r="Q88" s="210">
        <v>0.0</v>
      </c>
      <c r="R88" s="27">
        <f t="shared" ref="R88:R93" si="224">SUM(L88:Q88)</f>
        <v>1</v>
      </c>
      <c r="S88" s="29"/>
      <c r="T88" s="26" t="s">
        <v>25</v>
      </c>
      <c r="U88" s="52">
        <f>L94-R88</f>
        <v>31</v>
      </c>
      <c r="W88" s="26" t="s">
        <v>25</v>
      </c>
      <c r="X88" s="36"/>
      <c r="Y88" s="36"/>
      <c r="Z88" s="36"/>
      <c r="AA88" s="36"/>
      <c r="AB88" s="36"/>
      <c r="AC88" s="36">
        <f>U88</f>
        <v>31</v>
      </c>
      <c r="AD88" s="27">
        <f t="shared" ref="AD88:AD93" si="225">SUM(X88:AC88)</f>
        <v>31</v>
      </c>
      <c r="AE88" s="188"/>
      <c r="AW88" s="188"/>
      <c r="BX88" s="29"/>
      <c r="BY88" s="29"/>
    </row>
    <row r="89" ht="15.75" customHeight="1">
      <c r="A89" s="65"/>
      <c r="B89" s="216" t="s">
        <v>417</v>
      </c>
      <c r="C89" s="216" t="s">
        <v>418</v>
      </c>
      <c r="D89" s="216" t="s">
        <v>419</v>
      </c>
      <c r="E89" s="216" t="s">
        <v>420</v>
      </c>
      <c r="F89" s="216" t="s">
        <v>421</v>
      </c>
      <c r="G89" s="216" t="s">
        <v>422</v>
      </c>
      <c r="H89" s="216" t="s">
        <v>423</v>
      </c>
      <c r="J89" s="188"/>
      <c r="K89" s="26" t="s">
        <v>28</v>
      </c>
      <c r="L89" s="210">
        <v>2.0</v>
      </c>
      <c r="M89" s="210">
        <v>0.0</v>
      </c>
      <c r="N89" s="210">
        <v>0.0</v>
      </c>
      <c r="O89" s="210">
        <v>0.0</v>
      </c>
      <c r="P89" s="210">
        <v>0.0</v>
      </c>
      <c r="Q89" s="210">
        <v>0.0</v>
      </c>
      <c r="R89" s="27">
        <f t="shared" si="224"/>
        <v>2</v>
      </c>
      <c r="S89" s="29"/>
      <c r="T89" s="26" t="s">
        <v>28</v>
      </c>
      <c r="U89" s="52">
        <f>M94-R89</f>
        <v>0</v>
      </c>
      <c r="W89" s="26" t="s">
        <v>28</v>
      </c>
      <c r="X89" s="36"/>
      <c r="Y89" s="36"/>
      <c r="Z89" s="36"/>
      <c r="AA89" s="36"/>
      <c r="AB89" s="36">
        <f>-(U92+U90+U91)</f>
        <v>0</v>
      </c>
      <c r="AC89" s="36">
        <f>U89-AB89</f>
        <v>0</v>
      </c>
      <c r="AD89" s="27">
        <f t="shared" si="225"/>
        <v>0</v>
      </c>
      <c r="AE89" s="188"/>
      <c r="AW89" s="188"/>
      <c r="BX89" s="29"/>
      <c r="BY89" s="29"/>
    </row>
    <row r="90" ht="15.75" customHeight="1">
      <c r="A90" s="63"/>
      <c r="B90" s="221" t="s">
        <v>424</v>
      </c>
      <c r="C90" s="218" t="s">
        <v>114</v>
      </c>
      <c r="D90" s="219" t="s">
        <v>109</v>
      </c>
      <c r="E90" s="219" t="s">
        <v>104</v>
      </c>
      <c r="F90" s="218" t="s">
        <v>99</v>
      </c>
      <c r="G90" s="218" t="s">
        <v>103</v>
      </c>
      <c r="H90" s="218" t="s">
        <v>112</v>
      </c>
      <c r="J90" s="188"/>
      <c r="K90" s="26" t="s">
        <v>9</v>
      </c>
      <c r="L90" s="210">
        <v>30.0</v>
      </c>
      <c r="M90" s="210">
        <v>2.0</v>
      </c>
      <c r="N90" s="210">
        <v>0.0</v>
      </c>
      <c r="O90" s="210">
        <v>0.0</v>
      </c>
      <c r="P90" s="210">
        <v>0.0</v>
      </c>
      <c r="Q90" s="210">
        <v>0.0</v>
      </c>
      <c r="R90" s="27">
        <f t="shared" si="224"/>
        <v>32</v>
      </c>
      <c r="S90" s="29"/>
      <c r="T90" s="54" t="s">
        <v>9</v>
      </c>
      <c r="U90" s="52">
        <f>N94-R90</f>
        <v>0</v>
      </c>
      <c r="W90" s="26" t="s">
        <v>9</v>
      </c>
      <c r="X90" s="36"/>
      <c r="Y90" s="36"/>
      <c r="Z90" s="36"/>
      <c r="AA90" s="36"/>
      <c r="AB90" s="36">
        <f t="shared" ref="AB90:AB91" si="226">U90</f>
        <v>0</v>
      </c>
      <c r="AC90" s="36"/>
      <c r="AD90" s="27">
        <f t="shared" si="225"/>
        <v>0</v>
      </c>
      <c r="AE90" s="188"/>
      <c r="AW90" s="188"/>
      <c r="BX90" s="29"/>
      <c r="BY90" s="29"/>
    </row>
    <row r="91" ht="15.75" customHeight="1">
      <c r="A91" s="63"/>
      <c r="B91" s="218" t="s">
        <v>114</v>
      </c>
      <c r="C91" s="218" t="s">
        <v>109</v>
      </c>
      <c r="D91" s="219" t="s">
        <v>104</v>
      </c>
      <c r="E91" s="219" t="s">
        <v>99</v>
      </c>
      <c r="F91" s="218" t="s">
        <v>105</v>
      </c>
      <c r="G91" s="218" t="s">
        <v>425</v>
      </c>
      <c r="H91" s="218" t="str">
        <f>B96</f>
        <v>4 -- 2</v>
      </c>
      <c r="J91" s="188"/>
      <c r="K91" s="26" t="s">
        <v>33</v>
      </c>
      <c r="L91" s="210">
        <v>0.0</v>
      </c>
      <c r="M91" s="210">
        <v>0.0</v>
      </c>
      <c r="N91" s="210">
        <v>6.0</v>
      </c>
      <c r="O91" s="210">
        <v>0.0</v>
      </c>
      <c r="P91" s="210">
        <v>0.0</v>
      </c>
      <c r="Q91" s="210">
        <v>0.0</v>
      </c>
      <c r="R91" s="27">
        <f t="shared" si="224"/>
        <v>6</v>
      </c>
      <c r="S91" s="29"/>
      <c r="T91" s="54" t="s">
        <v>33</v>
      </c>
      <c r="U91" s="52">
        <f>O94-R91</f>
        <v>0</v>
      </c>
      <c r="W91" s="26" t="s">
        <v>33</v>
      </c>
      <c r="X91" s="36"/>
      <c r="Y91" s="36"/>
      <c r="Z91" s="36"/>
      <c r="AA91" s="36"/>
      <c r="AB91" s="36">
        <f t="shared" si="226"/>
        <v>0</v>
      </c>
      <c r="AC91" s="36"/>
      <c r="AD91" s="27">
        <f t="shared" si="225"/>
        <v>0</v>
      </c>
      <c r="AE91" s="188"/>
      <c r="AW91" s="188"/>
      <c r="BX91" s="29"/>
      <c r="BY91" s="29"/>
    </row>
    <row r="92" ht="15.75" customHeight="1">
      <c r="A92" s="63"/>
      <c r="B92" s="218" t="s">
        <v>109</v>
      </c>
      <c r="C92" s="218" t="s">
        <v>104</v>
      </c>
      <c r="D92" s="219" t="s">
        <v>99</v>
      </c>
      <c r="E92" s="219" t="s">
        <v>110</v>
      </c>
      <c r="F92" s="219" t="s">
        <v>111</v>
      </c>
      <c r="G92" s="218" t="s">
        <v>113</v>
      </c>
      <c r="H92" s="218" t="s">
        <v>113</v>
      </c>
      <c r="J92" s="188"/>
      <c r="K92" s="26" t="s">
        <v>8</v>
      </c>
      <c r="L92" s="210">
        <v>0.0</v>
      </c>
      <c r="M92" s="210">
        <v>0.0</v>
      </c>
      <c r="N92" s="210">
        <v>1.0</v>
      </c>
      <c r="O92" s="210">
        <v>0.0</v>
      </c>
      <c r="P92" s="210">
        <v>0.0</v>
      </c>
      <c r="Q92" s="210">
        <v>0.0</v>
      </c>
      <c r="R92" s="27">
        <f t="shared" si="224"/>
        <v>1</v>
      </c>
      <c r="S92" s="29"/>
      <c r="T92" s="54" t="s">
        <v>8</v>
      </c>
      <c r="U92" s="52">
        <f>P94-R92</f>
        <v>0</v>
      </c>
      <c r="W92" s="26" t="s">
        <v>8</v>
      </c>
      <c r="X92" s="36"/>
      <c r="Y92" s="36"/>
      <c r="Z92" s="36"/>
      <c r="AA92" s="36"/>
      <c r="AB92" s="36"/>
      <c r="AC92" s="36"/>
      <c r="AD92" s="27">
        <f t="shared" si="225"/>
        <v>0</v>
      </c>
      <c r="AE92" s="188"/>
      <c r="AW92" s="188"/>
      <c r="BX92" s="29"/>
      <c r="BY92" s="29"/>
    </row>
    <row r="93" ht="15.75" customHeight="1">
      <c r="A93" s="63"/>
      <c r="B93" s="218" t="s">
        <v>104</v>
      </c>
      <c r="C93" s="218" t="s">
        <v>99</v>
      </c>
      <c r="D93" s="219" t="s">
        <v>115</v>
      </c>
      <c r="E93" s="219" t="s">
        <v>105</v>
      </c>
      <c r="F93" s="219" t="s">
        <v>117</v>
      </c>
      <c r="G93" s="218"/>
      <c r="H93" s="218"/>
      <c r="J93" s="188"/>
      <c r="K93" s="26" t="s">
        <v>31</v>
      </c>
      <c r="L93" s="210">
        <v>0.0</v>
      </c>
      <c r="M93" s="210">
        <v>0.0</v>
      </c>
      <c r="N93" s="210">
        <v>25.0</v>
      </c>
      <c r="O93" s="210">
        <v>6.0</v>
      </c>
      <c r="P93" s="210">
        <v>0.0</v>
      </c>
      <c r="Q93" s="210">
        <v>0.0</v>
      </c>
      <c r="R93" s="27">
        <f t="shared" si="224"/>
        <v>31</v>
      </c>
      <c r="S93" s="29"/>
      <c r="T93" s="54" t="s">
        <v>31</v>
      </c>
      <c r="U93" s="52">
        <f>Q94-R93</f>
        <v>-31</v>
      </c>
      <c r="W93" s="26" t="s">
        <v>31</v>
      </c>
      <c r="X93" s="36"/>
      <c r="Y93" s="36"/>
      <c r="Z93" s="36"/>
      <c r="AA93" s="36"/>
      <c r="AB93" s="36"/>
      <c r="AC93" s="36"/>
      <c r="AD93" s="27">
        <f t="shared" si="225"/>
        <v>0</v>
      </c>
      <c r="AE93" s="188"/>
      <c r="AW93" s="188"/>
      <c r="BX93" s="29"/>
      <c r="BY93" s="29"/>
    </row>
    <row r="94" ht="15.75" customHeight="1">
      <c r="A94" s="63"/>
      <c r="B94" s="218" t="s">
        <v>99</v>
      </c>
      <c r="C94" s="218" t="s">
        <v>426</v>
      </c>
      <c r="D94" s="219" t="s">
        <v>110</v>
      </c>
      <c r="E94" s="219" t="s">
        <v>116</v>
      </c>
      <c r="F94" s="218" t="s">
        <v>427</v>
      </c>
      <c r="G94" s="218"/>
      <c r="H94" s="218"/>
      <c r="J94" s="188"/>
      <c r="K94" s="32" t="s">
        <v>48</v>
      </c>
      <c r="L94" s="33">
        <f t="shared" ref="L94:R94" si="227">SUM(L88:L93)</f>
        <v>32</v>
      </c>
      <c r="M94" s="33">
        <f t="shared" si="227"/>
        <v>2</v>
      </c>
      <c r="N94" s="33">
        <f t="shared" si="227"/>
        <v>32</v>
      </c>
      <c r="O94" s="33">
        <f t="shared" si="227"/>
        <v>6</v>
      </c>
      <c r="P94" s="33">
        <f t="shared" si="227"/>
        <v>1</v>
      </c>
      <c r="Q94" s="33">
        <f t="shared" si="227"/>
        <v>0</v>
      </c>
      <c r="R94" s="33">
        <f t="shared" si="227"/>
        <v>73</v>
      </c>
      <c r="S94" s="29"/>
      <c r="T94" s="32" t="s">
        <v>49</v>
      </c>
      <c r="U94" s="33">
        <f>SUM(U88:U93)</f>
        <v>0</v>
      </c>
      <c r="W94" s="32" t="s">
        <v>48</v>
      </c>
      <c r="X94" s="33">
        <f t="shared" ref="X94:AD94" si="228">SUM(X88:X93)</f>
        <v>0</v>
      </c>
      <c r="Y94" s="33">
        <f t="shared" si="228"/>
        <v>0</v>
      </c>
      <c r="Z94" s="33">
        <f t="shared" si="228"/>
        <v>0</v>
      </c>
      <c r="AA94" s="33">
        <f t="shared" si="228"/>
        <v>0</v>
      </c>
      <c r="AB94" s="33">
        <f t="shared" si="228"/>
        <v>0</v>
      </c>
      <c r="AC94" s="33">
        <f t="shared" si="228"/>
        <v>31</v>
      </c>
      <c r="AD94" s="33">
        <f t="shared" si="228"/>
        <v>31</v>
      </c>
      <c r="AE94" s="188"/>
      <c r="AW94" s="188"/>
      <c r="BX94" s="29"/>
      <c r="BY94" s="29"/>
    </row>
    <row r="95" ht="15.75" customHeight="1">
      <c r="A95" s="63"/>
      <c r="B95" s="218" t="s">
        <v>113</v>
      </c>
      <c r="C95" s="218" t="s">
        <v>115</v>
      </c>
      <c r="D95" s="219" t="s">
        <v>105</v>
      </c>
      <c r="E95" s="219" t="s">
        <v>111</v>
      </c>
      <c r="F95" s="218"/>
      <c r="G95" s="218"/>
      <c r="H95" s="218"/>
      <c r="J95" s="188"/>
      <c r="S95" s="29"/>
      <c r="AA95" s="63"/>
      <c r="AB95" s="63"/>
      <c r="AC95" s="63"/>
      <c r="AD95" s="63"/>
      <c r="AE95" s="188"/>
      <c r="AW95" s="188"/>
      <c r="BX95" s="29"/>
      <c r="BY95" s="29"/>
    </row>
    <row r="96" ht="15.75" customHeight="1">
      <c r="A96" s="63"/>
      <c r="B96" s="218" t="s">
        <v>101</v>
      </c>
      <c r="C96" s="218" t="s">
        <v>110</v>
      </c>
      <c r="D96" s="218" t="s">
        <v>428</v>
      </c>
      <c r="E96" s="218" t="s">
        <v>429</v>
      </c>
      <c r="F96" s="218"/>
      <c r="G96" s="218"/>
      <c r="H96" s="218"/>
      <c r="J96" s="188"/>
      <c r="K96" s="19" t="s">
        <v>56</v>
      </c>
      <c r="L96" s="20"/>
      <c r="M96" s="20"/>
      <c r="N96" s="20"/>
      <c r="O96" s="20"/>
      <c r="P96" s="20"/>
      <c r="Q96" s="20"/>
      <c r="R96" s="21"/>
      <c r="S96" s="29"/>
      <c r="W96" s="19" t="s">
        <v>56</v>
      </c>
      <c r="X96" s="20"/>
      <c r="Y96" s="20"/>
      <c r="Z96" s="20"/>
      <c r="AA96" s="20"/>
      <c r="AB96" s="20"/>
      <c r="AC96" s="20"/>
      <c r="AD96" s="21"/>
      <c r="AE96" s="188"/>
      <c r="AW96" s="188"/>
      <c r="BX96" s="29"/>
      <c r="BY96" s="29"/>
    </row>
    <row r="97" ht="15.75" customHeight="1">
      <c r="A97" s="63"/>
      <c r="B97" s="218"/>
      <c r="C97" s="218" t="s">
        <v>105</v>
      </c>
      <c r="D97" s="218" t="s">
        <v>116</v>
      </c>
      <c r="E97" s="218" t="s">
        <v>117</v>
      </c>
      <c r="F97" s="218"/>
      <c r="G97" s="218"/>
      <c r="H97" s="218"/>
      <c r="J97" s="188"/>
      <c r="K97" s="4" t="s">
        <v>42</v>
      </c>
      <c r="L97" s="4" t="s">
        <v>25</v>
      </c>
      <c r="M97" s="4" t="s">
        <v>28</v>
      </c>
      <c r="N97" s="4" t="s">
        <v>9</v>
      </c>
      <c r="O97" s="49" t="s">
        <v>33</v>
      </c>
      <c r="P97" s="4" t="s">
        <v>8</v>
      </c>
      <c r="Q97" s="4" t="s">
        <v>31</v>
      </c>
      <c r="R97" s="4" t="s">
        <v>43</v>
      </c>
      <c r="S97" s="29"/>
      <c r="W97" s="4" t="s">
        <v>42</v>
      </c>
      <c r="X97" s="4" t="s">
        <v>25</v>
      </c>
      <c r="Y97" s="4" t="s">
        <v>28</v>
      </c>
      <c r="Z97" s="4" t="s">
        <v>9</v>
      </c>
      <c r="AA97" s="49" t="s">
        <v>33</v>
      </c>
      <c r="AB97" s="4" t="s">
        <v>8</v>
      </c>
      <c r="AC97" s="4" t="s">
        <v>31</v>
      </c>
      <c r="AD97" s="4" t="s">
        <v>43</v>
      </c>
      <c r="AE97" s="188"/>
      <c r="AW97" s="188"/>
      <c r="BX97" s="29"/>
      <c r="BY97" s="29"/>
    </row>
    <row r="98" ht="15.75" customHeight="1">
      <c r="A98" s="63"/>
      <c r="B98" s="218"/>
      <c r="C98" s="218"/>
      <c r="D98" s="218" t="s">
        <v>111</v>
      </c>
      <c r="E98" s="218"/>
      <c r="F98" s="218"/>
      <c r="G98" s="218"/>
      <c r="H98" s="218"/>
      <c r="J98" s="188"/>
      <c r="K98" s="26" t="s">
        <v>25</v>
      </c>
      <c r="L98" s="27">
        <f t="shared" ref="L98:Q98" si="229">SUM(L68,L78,L88)</f>
        <v>0</v>
      </c>
      <c r="M98" s="27">
        <f t="shared" si="229"/>
        <v>0</v>
      </c>
      <c r="N98" s="27">
        <f t="shared" si="229"/>
        <v>164</v>
      </c>
      <c r="O98" s="27">
        <f t="shared" si="229"/>
        <v>0</v>
      </c>
      <c r="P98" s="27">
        <f t="shared" si="229"/>
        <v>1106</v>
      </c>
      <c r="Q98" s="27">
        <f t="shared" si="229"/>
        <v>114</v>
      </c>
      <c r="R98" s="27">
        <f t="shared" ref="R98:R103" si="232">SUM(L98:Q98)</f>
        <v>1384</v>
      </c>
      <c r="W98" s="26" t="s">
        <v>25</v>
      </c>
      <c r="X98" s="27">
        <f t="shared" ref="X98:AC98" si="230">SUM(X68,X78,X88)</f>
        <v>0</v>
      </c>
      <c r="Y98" s="27">
        <f t="shared" si="230"/>
        <v>0</v>
      </c>
      <c r="Z98" s="27">
        <f t="shared" si="230"/>
        <v>0</v>
      </c>
      <c r="AA98" s="27">
        <f t="shared" si="230"/>
        <v>0</v>
      </c>
      <c r="AB98" s="27">
        <f t="shared" si="230"/>
        <v>0</v>
      </c>
      <c r="AC98" s="27">
        <f t="shared" si="230"/>
        <v>64</v>
      </c>
      <c r="AD98" s="27">
        <f t="shared" ref="AD98:AD103" si="234">SUM(X98:AC98)</f>
        <v>64</v>
      </c>
      <c r="AE98" s="188"/>
      <c r="AW98" s="188"/>
      <c r="BX98" s="29"/>
      <c r="BY98" s="29"/>
    </row>
    <row r="99" ht="15.75" customHeight="1">
      <c r="A99" s="63"/>
      <c r="J99" s="188"/>
      <c r="K99" s="26" t="s">
        <v>28</v>
      </c>
      <c r="L99" s="27">
        <f t="shared" ref="L99:Q99" si="231">SUM(L69,L79,L89)</f>
        <v>256</v>
      </c>
      <c r="M99" s="27">
        <f t="shared" si="231"/>
        <v>0</v>
      </c>
      <c r="N99" s="27">
        <f t="shared" si="231"/>
        <v>0</v>
      </c>
      <c r="O99" s="27">
        <f t="shared" si="231"/>
        <v>0</v>
      </c>
      <c r="P99" s="27">
        <f t="shared" si="231"/>
        <v>0</v>
      </c>
      <c r="Q99" s="27">
        <f t="shared" si="231"/>
        <v>0</v>
      </c>
      <c r="R99" s="27">
        <f t="shared" si="232"/>
        <v>256</v>
      </c>
      <c r="W99" s="26" t="s">
        <v>28</v>
      </c>
      <c r="X99" s="27">
        <f t="shared" ref="X99:AC99" si="233">SUM(X69,X79,X89)</f>
        <v>0</v>
      </c>
      <c r="Y99" s="27">
        <f t="shared" si="233"/>
        <v>0</v>
      </c>
      <c r="Z99" s="27">
        <f t="shared" si="233"/>
        <v>0</v>
      </c>
      <c r="AA99" s="27">
        <f t="shared" si="233"/>
        <v>0</v>
      </c>
      <c r="AB99" s="27">
        <f t="shared" si="233"/>
        <v>0</v>
      </c>
      <c r="AC99" s="27">
        <f t="shared" si="233"/>
        <v>0</v>
      </c>
      <c r="AD99" s="27">
        <f t="shared" si="234"/>
        <v>0</v>
      </c>
      <c r="AE99" s="188"/>
      <c r="AW99" s="188"/>
      <c r="BX99" s="29"/>
      <c r="BY99" s="29"/>
    </row>
    <row r="100" ht="15.75" customHeight="1">
      <c r="A100" s="63"/>
      <c r="J100" s="188"/>
      <c r="K100" s="26" t="s">
        <v>9</v>
      </c>
      <c r="L100" s="27">
        <f t="shared" ref="L100:Q100" si="235">SUM(L70,L80,L90)</f>
        <v>405</v>
      </c>
      <c r="M100" s="27">
        <f t="shared" si="235"/>
        <v>127</v>
      </c>
      <c r="N100" s="27">
        <f t="shared" si="235"/>
        <v>0</v>
      </c>
      <c r="O100" s="27">
        <f t="shared" si="235"/>
        <v>0</v>
      </c>
      <c r="P100" s="27">
        <f t="shared" si="235"/>
        <v>19</v>
      </c>
      <c r="Q100" s="27">
        <f t="shared" si="235"/>
        <v>97</v>
      </c>
      <c r="R100" s="27">
        <f t="shared" si="232"/>
        <v>648</v>
      </c>
      <c r="W100" s="26" t="s">
        <v>9</v>
      </c>
      <c r="X100" s="27">
        <f t="shared" ref="X100:AC100" si="236">SUM(X70,X80,X90)</f>
        <v>191</v>
      </c>
      <c r="Y100" s="27">
        <f t="shared" si="236"/>
        <v>0</v>
      </c>
      <c r="Z100" s="27">
        <f t="shared" si="236"/>
        <v>0</v>
      </c>
      <c r="AA100" s="27">
        <f t="shared" si="236"/>
        <v>0</v>
      </c>
      <c r="AB100" s="27">
        <f t="shared" si="236"/>
        <v>0</v>
      </c>
      <c r="AC100" s="27">
        <f t="shared" si="236"/>
        <v>0</v>
      </c>
      <c r="AD100" s="27">
        <f t="shared" si="234"/>
        <v>191</v>
      </c>
      <c r="AE100" s="188"/>
      <c r="AW100" s="188"/>
      <c r="BX100" s="29"/>
      <c r="BY100" s="29"/>
    </row>
    <row r="101" ht="15.75" customHeight="1">
      <c r="A101" s="63"/>
      <c r="J101" s="188"/>
      <c r="K101" s="26" t="s">
        <v>33</v>
      </c>
      <c r="L101" s="27">
        <f t="shared" ref="L101:Q101" si="237">SUM(L71,L81,L91)</f>
        <v>63</v>
      </c>
      <c r="M101" s="27">
        <f t="shared" si="237"/>
        <v>36</v>
      </c>
      <c r="N101" s="27">
        <f t="shared" si="237"/>
        <v>18</v>
      </c>
      <c r="O101" s="27">
        <f t="shared" si="237"/>
        <v>0</v>
      </c>
      <c r="P101" s="27">
        <f t="shared" si="237"/>
        <v>0</v>
      </c>
      <c r="Q101" s="27">
        <f t="shared" si="237"/>
        <v>0</v>
      </c>
      <c r="R101" s="27">
        <f t="shared" si="232"/>
        <v>117</v>
      </c>
      <c r="W101" s="26" t="s">
        <v>33</v>
      </c>
      <c r="X101" s="27">
        <f t="shared" ref="X101:AC101" si="238">SUM(X71,X81,X91)</f>
        <v>0</v>
      </c>
      <c r="Y101" s="27">
        <f t="shared" si="238"/>
        <v>0</v>
      </c>
      <c r="Z101" s="27">
        <f t="shared" si="238"/>
        <v>0</v>
      </c>
      <c r="AA101" s="27">
        <f t="shared" si="238"/>
        <v>0</v>
      </c>
      <c r="AB101" s="27">
        <f t="shared" si="238"/>
        <v>0</v>
      </c>
      <c r="AC101" s="27">
        <f t="shared" si="238"/>
        <v>0</v>
      </c>
      <c r="AD101" s="27">
        <f t="shared" si="234"/>
        <v>0</v>
      </c>
      <c r="AE101" s="188"/>
      <c r="AW101" s="188"/>
      <c r="BX101" s="29"/>
      <c r="BY101" s="29"/>
    </row>
    <row r="102" ht="15.75" customHeight="1">
      <c r="A102" s="63"/>
      <c r="J102" s="188"/>
      <c r="K102" s="26" t="s">
        <v>8</v>
      </c>
      <c r="L102" s="27">
        <f t="shared" ref="L102:Q102" si="239">SUM(L72,L82,L92)</f>
        <v>346</v>
      </c>
      <c r="M102" s="27">
        <f t="shared" si="239"/>
        <v>93</v>
      </c>
      <c r="N102" s="27">
        <f t="shared" si="239"/>
        <v>602</v>
      </c>
      <c r="O102" s="27">
        <f t="shared" si="239"/>
        <v>84</v>
      </c>
      <c r="P102" s="27">
        <f t="shared" si="239"/>
        <v>0</v>
      </c>
      <c r="Q102" s="27">
        <f t="shared" si="239"/>
        <v>0</v>
      </c>
      <c r="R102" s="27">
        <f t="shared" si="232"/>
        <v>1125</v>
      </c>
      <c r="W102" s="26" t="s">
        <v>8</v>
      </c>
      <c r="X102" s="27">
        <f t="shared" ref="X102:AC102" si="240">SUM(X72,X82,X92)</f>
        <v>0</v>
      </c>
      <c r="Y102" s="27">
        <f t="shared" si="240"/>
        <v>0</v>
      </c>
      <c r="Z102" s="27">
        <f t="shared" si="240"/>
        <v>0</v>
      </c>
      <c r="AA102" s="27">
        <f t="shared" si="240"/>
        <v>0</v>
      </c>
      <c r="AB102" s="27">
        <f t="shared" si="240"/>
        <v>0</v>
      </c>
      <c r="AC102" s="27">
        <f t="shared" si="240"/>
        <v>0</v>
      </c>
      <c r="AD102" s="27">
        <f t="shared" si="234"/>
        <v>0</v>
      </c>
      <c r="AE102" s="188"/>
      <c r="AW102" s="188"/>
      <c r="BX102" s="29"/>
      <c r="BY102" s="29"/>
    </row>
    <row r="103" ht="15.75" customHeight="1">
      <c r="A103" s="63"/>
      <c r="J103" s="188"/>
      <c r="K103" s="26" t="s">
        <v>31</v>
      </c>
      <c r="L103" s="27">
        <f t="shared" ref="L103:Q103" si="241">SUM(L73,L83,L93)</f>
        <v>187</v>
      </c>
      <c r="M103" s="27">
        <f t="shared" si="241"/>
        <v>0</v>
      </c>
      <c r="N103" s="27">
        <f t="shared" si="241"/>
        <v>55</v>
      </c>
      <c r="O103" s="27">
        <f t="shared" si="241"/>
        <v>33</v>
      </c>
      <c r="P103" s="27">
        <f t="shared" si="241"/>
        <v>0</v>
      </c>
      <c r="Q103" s="27">
        <f t="shared" si="241"/>
        <v>0</v>
      </c>
      <c r="R103" s="27">
        <f t="shared" si="232"/>
        <v>275</v>
      </c>
      <c r="W103" s="26" t="s">
        <v>31</v>
      </c>
      <c r="X103" s="27">
        <f t="shared" ref="X103:AC103" si="242">SUM(X73,X83,X93)</f>
        <v>0</v>
      </c>
      <c r="Y103" s="27">
        <f t="shared" si="242"/>
        <v>0</v>
      </c>
      <c r="Z103" s="27">
        <f t="shared" si="242"/>
        <v>0</v>
      </c>
      <c r="AA103" s="27">
        <f t="shared" si="242"/>
        <v>0</v>
      </c>
      <c r="AB103" s="27">
        <f t="shared" si="242"/>
        <v>0</v>
      </c>
      <c r="AC103" s="27">
        <f t="shared" si="242"/>
        <v>0</v>
      </c>
      <c r="AD103" s="27">
        <f t="shared" si="234"/>
        <v>0</v>
      </c>
      <c r="AE103" s="188"/>
      <c r="AW103" s="188"/>
      <c r="BX103" s="29"/>
      <c r="BY103" s="29"/>
    </row>
    <row r="104" ht="15.75" customHeight="1">
      <c r="A104" s="63"/>
      <c r="J104" s="188"/>
      <c r="K104" s="32" t="s">
        <v>48</v>
      </c>
      <c r="L104" s="33">
        <f t="shared" ref="L104:R104" si="243">SUM(L98:L103)</f>
        <v>1257</v>
      </c>
      <c r="M104" s="33">
        <f t="shared" si="243"/>
        <v>256</v>
      </c>
      <c r="N104" s="33">
        <f t="shared" si="243"/>
        <v>839</v>
      </c>
      <c r="O104" s="33">
        <f t="shared" si="243"/>
        <v>117</v>
      </c>
      <c r="P104" s="33">
        <f t="shared" si="243"/>
        <v>1125</v>
      </c>
      <c r="Q104" s="33">
        <f t="shared" si="243"/>
        <v>211</v>
      </c>
      <c r="R104" s="33">
        <f t="shared" si="243"/>
        <v>3805</v>
      </c>
      <c r="W104" s="32" t="s">
        <v>48</v>
      </c>
      <c r="X104" s="33">
        <f t="shared" ref="X104:AD104" si="244">SUM(X98:X103)</f>
        <v>191</v>
      </c>
      <c r="Y104" s="33">
        <f t="shared" si="244"/>
        <v>0</v>
      </c>
      <c r="Z104" s="33">
        <f t="shared" si="244"/>
        <v>0</v>
      </c>
      <c r="AA104" s="33">
        <f t="shared" si="244"/>
        <v>0</v>
      </c>
      <c r="AB104" s="33">
        <f t="shared" si="244"/>
        <v>0</v>
      </c>
      <c r="AC104" s="33">
        <f t="shared" si="244"/>
        <v>64</v>
      </c>
      <c r="AD104" s="33">
        <f t="shared" si="244"/>
        <v>255</v>
      </c>
      <c r="AE104" s="188"/>
      <c r="AW104" s="188"/>
      <c r="BX104" s="29"/>
      <c r="BY104" s="29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B34:I34"/>
    <mergeCell ref="K34:R34"/>
    <mergeCell ref="AF34:AM34"/>
    <mergeCell ref="AO34:AV34"/>
    <mergeCell ref="K44:R44"/>
    <mergeCell ref="AF44:AM44"/>
    <mergeCell ref="AO44:AV44"/>
    <mergeCell ref="B44:I44"/>
    <mergeCell ref="B54:I54"/>
    <mergeCell ref="K54:R54"/>
    <mergeCell ref="AF54:AM54"/>
    <mergeCell ref="AO54:AV54"/>
    <mergeCell ref="U59:Z63"/>
    <mergeCell ref="B64:H64"/>
    <mergeCell ref="K76:R76"/>
    <mergeCell ref="K86:R86"/>
    <mergeCell ref="T86:U86"/>
    <mergeCell ref="W86:AD86"/>
    <mergeCell ref="B88:H88"/>
    <mergeCell ref="K96:R96"/>
    <mergeCell ref="W96:AD96"/>
    <mergeCell ref="K66:R66"/>
    <mergeCell ref="T66:U66"/>
    <mergeCell ref="W66:AD66"/>
    <mergeCell ref="B74:H74"/>
    <mergeCell ref="T76:U76"/>
    <mergeCell ref="W76:AD76"/>
    <mergeCell ref="AF77:AL77"/>
    <mergeCell ref="W4:AD4"/>
    <mergeCell ref="AF4:AM4"/>
    <mergeCell ref="AO4:AV4"/>
    <mergeCell ref="AX4:BE4"/>
    <mergeCell ref="B2:I2"/>
    <mergeCell ref="K2:R2"/>
    <mergeCell ref="T2:AD2"/>
    <mergeCell ref="AF2:AM2"/>
    <mergeCell ref="AO2:AV2"/>
    <mergeCell ref="AX2:BE2"/>
    <mergeCell ref="B4:I4"/>
    <mergeCell ref="AO14:AV14"/>
    <mergeCell ref="AX14:BE14"/>
    <mergeCell ref="K4:R4"/>
    <mergeCell ref="T4:U4"/>
    <mergeCell ref="B14:I14"/>
    <mergeCell ref="K14:R14"/>
    <mergeCell ref="T14:U14"/>
    <mergeCell ref="W14:AD14"/>
    <mergeCell ref="AF14:AM14"/>
    <mergeCell ref="B24:I24"/>
    <mergeCell ref="K24:R24"/>
    <mergeCell ref="T24:U24"/>
    <mergeCell ref="W24:AD24"/>
    <mergeCell ref="AF24:AM24"/>
    <mergeCell ref="AO24:AV24"/>
    <mergeCell ref="AX24:BE24"/>
    <mergeCell ref="AF64:AL64"/>
    <mergeCell ref="AO64:AU64"/>
  </mergeCells>
  <printOptions/>
  <pageMargins bottom="0.787401575" footer="0.0" header="0.0" left="0.511811024" right="0.511811024" top="0.7874015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3" width="10.43"/>
    <col customWidth="1" min="4" max="4" width="8.71"/>
    <col customWidth="1" min="5" max="5" width="10.43"/>
    <col customWidth="1" min="6" max="6" width="8.71"/>
    <col customWidth="1" min="7" max="8" width="10.43"/>
    <col customWidth="1" min="9" max="9" width="12.86"/>
    <col customWidth="1" min="10" max="10" width="14.14"/>
    <col customWidth="1" min="11" max="16" width="8.71"/>
    <col customWidth="1" min="17" max="17" width="34.43"/>
    <col customWidth="1" min="18" max="19" width="8.71"/>
    <col customWidth="1" min="20" max="20" width="16.29"/>
    <col customWidth="1" min="21" max="21" width="11.43"/>
    <col customWidth="1" min="22" max="22" width="7.86"/>
    <col customWidth="1" min="23" max="23" width="11.43"/>
    <col customWidth="1" min="24" max="24" width="10.43"/>
    <col customWidth="1" min="25" max="30" width="8.71"/>
    <col customWidth="1" min="31" max="31" width="14.43"/>
    <col customWidth="1" min="32" max="32" width="8.86"/>
    <col customWidth="1" min="33" max="33" width="7.86"/>
    <col customWidth="1" min="34" max="34" width="8.86"/>
    <col customWidth="1" min="35" max="35" width="7.86"/>
    <col customWidth="1" min="36" max="36" width="8.86"/>
    <col customWidth="1" min="37" max="37" width="7.86"/>
    <col customWidth="1" min="38" max="38" width="12.86"/>
    <col customWidth="1" min="39" max="39" width="11.43"/>
    <col customWidth="1" min="40" max="42" width="8.71"/>
    <col customWidth="1" min="43" max="43" width="5.86"/>
    <col customWidth="1" min="44" max="44" width="37.29"/>
    <col customWidth="1" min="45" max="45" width="35.86"/>
    <col customWidth="1" min="46" max="46" width="26.86"/>
    <col customWidth="1" min="47" max="48" width="8.71"/>
    <col customWidth="1" min="49" max="49" width="14.43"/>
    <col customWidth="1" min="50" max="50" width="10.43"/>
    <col customWidth="1" min="51" max="51" width="8.71"/>
    <col customWidth="1" min="52" max="52" width="10.43"/>
    <col customWidth="1" min="53" max="53" width="8.71"/>
    <col customWidth="1" min="54" max="54" width="10.43"/>
    <col customWidth="1" min="55" max="55" width="8.71"/>
    <col customWidth="1" min="56" max="56" width="12.86"/>
    <col customWidth="1" min="57" max="57" width="12.43"/>
  </cols>
  <sheetData>
    <row r="1" ht="14.25" customHeight="1">
      <c r="B1" s="222" t="s">
        <v>431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7"/>
      <c r="T1" s="42" t="s">
        <v>125</v>
      </c>
      <c r="U1" s="20"/>
      <c r="V1" s="20"/>
      <c r="W1" s="20"/>
      <c r="X1" s="58"/>
      <c r="AA1" s="222" t="s">
        <v>432</v>
      </c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7"/>
      <c r="AQ1" s="222" t="s">
        <v>433</v>
      </c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7"/>
    </row>
    <row r="2" ht="14.25" customHeight="1">
      <c r="T2" s="76"/>
      <c r="U2" s="4" t="s">
        <v>29</v>
      </c>
      <c r="V2" s="4" t="s">
        <v>36</v>
      </c>
      <c r="W2" s="4" t="s">
        <v>7</v>
      </c>
      <c r="X2" s="49" t="s">
        <v>126</v>
      </c>
    </row>
    <row r="3" ht="14.25" customHeight="1">
      <c r="B3" s="223" t="s">
        <v>142</v>
      </c>
      <c r="C3" s="20"/>
      <c r="D3" s="20"/>
      <c r="E3" s="20"/>
      <c r="F3" s="20"/>
      <c r="G3" s="20"/>
      <c r="H3" s="58"/>
      <c r="L3" s="224" t="s">
        <v>143</v>
      </c>
      <c r="M3" s="224" t="s">
        <v>144</v>
      </c>
      <c r="N3" s="224" t="s">
        <v>44</v>
      </c>
      <c r="O3" s="224" t="s">
        <v>145</v>
      </c>
      <c r="P3" s="83" t="s">
        <v>146</v>
      </c>
      <c r="Q3" s="225" t="s">
        <v>147</v>
      </c>
      <c r="T3" s="26" t="s">
        <v>128</v>
      </c>
      <c r="U3" s="78">
        <f>0.8*4.99</f>
        <v>3.992</v>
      </c>
      <c r="V3" s="79">
        <f>12*4.99</f>
        <v>59.88</v>
      </c>
      <c r="W3" s="79">
        <f>1.2*4.99</f>
        <v>5.988</v>
      </c>
      <c r="X3" s="79">
        <f>17*4.99</f>
        <v>84.83</v>
      </c>
      <c r="AA3" s="19" t="s">
        <v>222</v>
      </c>
      <c r="AB3" s="20"/>
      <c r="AC3" s="21"/>
      <c r="AE3" s="42" t="s">
        <v>434</v>
      </c>
      <c r="AF3" s="20"/>
      <c r="AG3" s="20"/>
      <c r="AH3" s="20"/>
      <c r="AI3" s="20"/>
      <c r="AJ3" s="20"/>
      <c r="AK3" s="20"/>
      <c r="AL3" s="21"/>
      <c r="AQ3" s="29"/>
      <c r="AR3" s="19" t="s">
        <v>215</v>
      </c>
      <c r="AS3" s="20"/>
      <c r="AT3" s="21"/>
      <c r="AW3" s="42" t="s">
        <v>435</v>
      </c>
      <c r="AX3" s="20"/>
      <c r="AY3" s="20"/>
      <c r="AZ3" s="20"/>
      <c r="BA3" s="20"/>
      <c r="BB3" s="20"/>
      <c r="BC3" s="58"/>
    </row>
    <row r="4" ht="14.25" customHeight="1">
      <c r="B4" s="4" t="s">
        <v>42</v>
      </c>
      <c r="C4" s="4" t="s">
        <v>25</v>
      </c>
      <c r="D4" s="4" t="s">
        <v>28</v>
      </c>
      <c r="E4" s="4" t="s">
        <v>9</v>
      </c>
      <c r="F4" s="49" t="s">
        <v>33</v>
      </c>
      <c r="G4" s="4" t="s">
        <v>8</v>
      </c>
      <c r="H4" s="4" t="s">
        <v>31</v>
      </c>
      <c r="L4" s="85" t="s">
        <v>25</v>
      </c>
      <c r="M4" s="86" t="s">
        <v>148</v>
      </c>
      <c r="N4" s="85" t="s">
        <v>149</v>
      </c>
      <c r="O4" s="85" t="s">
        <v>150</v>
      </c>
      <c r="P4" s="87" t="s">
        <v>151</v>
      </c>
      <c r="Q4" s="88">
        <v>10.0</v>
      </c>
      <c r="T4" s="26" t="s">
        <v>132</v>
      </c>
      <c r="U4" s="80">
        <f>('OTIMIZA ROTA'!R74*3)+('OTIMIZA ROTA'!U68*3)</f>
        <v>1212</v>
      </c>
      <c r="V4" s="75">
        <v>0.0</v>
      </c>
      <c r="W4" s="75">
        <f>('OTIMIZA ROTA'!R84*3)+('OTIMIZA ROTA'!U80*3)</f>
        <v>10656</v>
      </c>
      <c r="X4" s="75">
        <f>('OTIMIZA ROTA'!R94*3)+('OTIMIZA ROTA'!U88*3)</f>
        <v>312</v>
      </c>
      <c r="AA4" s="83" t="s">
        <v>44</v>
      </c>
      <c r="AB4" s="224" t="s">
        <v>223</v>
      </c>
      <c r="AC4" s="224" t="s">
        <v>224</v>
      </c>
      <c r="AE4" s="4" t="s">
        <v>42</v>
      </c>
      <c r="AF4" s="4" t="s">
        <v>25</v>
      </c>
      <c r="AG4" s="4" t="s">
        <v>28</v>
      </c>
      <c r="AH4" s="4" t="s">
        <v>9</v>
      </c>
      <c r="AI4" s="49" t="s">
        <v>33</v>
      </c>
      <c r="AJ4" s="4" t="s">
        <v>8</v>
      </c>
      <c r="AK4" s="4" t="s">
        <v>31</v>
      </c>
      <c r="AL4" s="4" t="s">
        <v>43</v>
      </c>
      <c r="AQ4" s="83" t="s">
        <v>44</v>
      </c>
      <c r="AR4" s="83" t="s">
        <v>217</v>
      </c>
      <c r="AS4" s="224" t="s">
        <v>218</v>
      </c>
      <c r="AT4" s="224" t="s">
        <v>219</v>
      </c>
      <c r="AW4" s="4" t="s">
        <v>42</v>
      </c>
      <c r="AX4" s="4" t="s">
        <v>25</v>
      </c>
      <c r="AY4" s="4" t="s">
        <v>28</v>
      </c>
      <c r="AZ4" s="4" t="s">
        <v>9</v>
      </c>
      <c r="BA4" s="49" t="s">
        <v>33</v>
      </c>
      <c r="BB4" s="4" t="s">
        <v>8</v>
      </c>
      <c r="BC4" s="4" t="s">
        <v>31</v>
      </c>
    </row>
    <row r="5" ht="14.25" customHeight="1">
      <c r="B5" s="26" t="s">
        <v>25</v>
      </c>
      <c r="C5" s="27"/>
      <c r="D5" s="27">
        <f>C6</f>
        <v>2323.7136</v>
      </c>
      <c r="E5" s="27">
        <f>C7</f>
        <v>2190.92328</v>
      </c>
      <c r="F5" s="27">
        <f>C8</f>
        <v>1585.9896</v>
      </c>
      <c r="G5" s="27">
        <f>C9</f>
        <v>2913.8928</v>
      </c>
      <c r="H5" s="27">
        <f>C10</f>
        <v>5245.10064</v>
      </c>
      <c r="L5" s="89" t="s">
        <v>34</v>
      </c>
      <c r="M5" s="90" t="s">
        <v>152</v>
      </c>
      <c r="N5" s="89" t="s">
        <v>153</v>
      </c>
      <c r="O5" s="89" t="s">
        <v>154</v>
      </c>
      <c r="P5" s="91" t="s">
        <v>155</v>
      </c>
      <c r="Q5" s="92">
        <v>115.0</v>
      </c>
      <c r="T5" s="26" t="s">
        <v>134</v>
      </c>
      <c r="U5" s="80">
        <f>U3*U4*365</f>
        <v>1765980.96</v>
      </c>
      <c r="V5" s="81" t="s">
        <v>135</v>
      </c>
      <c r="W5" s="75">
        <f t="shared" ref="W5:X5" si="1">W3*W4*365</f>
        <v>23289966.72</v>
      </c>
      <c r="X5" s="75">
        <f t="shared" si="1"/>
        <v>9660440.4</v>
      </c>
      <c r="AA5" s="103" t="s">
        <v>149</v>
      </c>
      <c r="AB5" s="104">
        <v>100.0</v>
      </c>
      <c r="AC5" s="104">
        <v>210.0</v>
      </c>
      <c r="AE5" s="26" t="s">
        <v>25</v>
      </c>
      <c r="AF5" s="27">
        <f>2*$AB$5*'OTIMIZA ROTA'!L98</f>
        <v>0</v>
      </c>
      <c r="AG5" s="27">
        <f>2*$AB$5*'OTIMIZA ROTA'!M98</f>
        <v>0</v>
      </c>
      <c r="AH5" s="27">
        <f>2*$AB$5*'OTIMIZA ROTA'!N98</f>
        <v>32800</v>
      </c>
      <c r="AI5" s="27">
        <f>2*$AB$5*'OTIMIZA ROTA'!O98</f>
        <v>0</v>
      </c>
      <c r="AJ5" s="27">
        <f>2*$AB$5*'OTIMIZA ROTA'!P98</f>
        <v>221200</v>
      </c>
      <c r="AK5" s="27">
        <f>2*$AB$5*'OTIMIZA ROTA'!Q98</f>
        <v>22800</v>
      </c>
      <c r="AL5" s="27">
        <f t="shared" ref="AL5:AL10" si="2">SUM(AF5:AK5)</f>
        <v>276800</v>
      </c>
      <c r="AQ5" s="103" t="s">
        <v>149</v>
      </c>
      <c r="AR5" s="104">
        <v>750.0</v>
      </c>
      <c r="AS5" s="104">
        <f t="shared" ref="AS5:AS20" si="3">AR5/3</f>
        <v>250</v>
      </c>
      <c r="AT5" s="105">
        <v>35.0</v>
      </c>
      <c r="AW5" s="26" t="s">
        <v>25</v>
      </c>
      <c r="AX5" s="27"/>
      <c r="AY5" s="27">
        <v>1400.0</v>
      </c>
      <c r="AZ5" s="27">
        <v>1850.0</v>
      </c>
      <c r="BA5" s="27">
        <v>1500.0</v>
      </c>
      <c r="BB5" s="27">
        <v>1500.0</v>
      </c>
      <c r="BC5" s="27">
        <v>1550.0</v>
      </c>
    </row>
    <row r="6" ht="14.25" customHeight="1">
      <c r="B6" s="26" t="s">
        <v>28</v>
      </c>
      <c r="C6" s="27">
        <f>((Q4+Q7)*$J$11+$J$13)*1.3</f>
        <v>2323.7136</v>
      </c>
      <c r="D6" s="27"/>
      <c r="E6" s="27">
        <f>D7</f>
        <v>2928.64728</v>
      </c>
      <c r="F6" s="27">
        <f>D8</f>
        <v>2323.7136</v>
      </c>
      <c r="G6" s="27">
        <f>D9</f>
        <v>3651.6168</v>
      </c>
      <c r="H6" s="27">
        <f>D10</f>
        <v>5982.82464</v>
      </c>
      <c r="L6" s="89" t="s">
        <v>35</v>
      </c>
      <c r="M6" s="90" t="s">
        <v>156</v>
      </c>
      <c r="N6" s="89" t="s">
        <v>157</v>
      </c>
      <c r="O6" s="89" t="s">
        <v>158</v>
      </c>
      <c r="P6" s="91" t="s">
        <v>159</v>
      </c>
      <c r="Q6" s="92">
        <v>15.0</v>
      </c>
      <c r="T6" s="26" t="s">
        <v>436</v>
      </c>
      <c r="U6" s="80">
        <f>U5+W5+X5</f>
        <v>34716388.08</v>
      </c>
      <c r="AA6" s="106" t="s">
        <v>153</v>
      </c>
      <c r="AB6" s="107">
        <v>100.0</v>
      </c>
      <c r="AC6" s="107">
        <v>210.0</v>
      </c>
      <c r="AE6" s="26" t="s">
        <v>28</v>
      </c>
      <c r="AF6" s="27">
        <f>2*$AB$5*'OTIMIZA ROTA'!L99</f>
        <v>51200</v>
      </c>
      <c r="AG6" s="27">
        <f>2*$AB$5*'OTIMIZA ROTA'!M99</f>
        <v>0</v>
      </c>
      <c r="AH6" s="27">
        <f>2*$AB$5*'OTIMIZA ROTA'!N99</f>
        <v>0</v>
      </c>
      <c r="AI6" s="27">
        <f>2*$AB$5*'OTIMIZA ROTA'!O99</f>
        <v>0</v>
      </c>
      <c r="AJ6" s="27">
        <f>2*$AB$5*'OTIMIZA ROTA'!P99</f>
        <v>0</v>
      </c>
      <c r="AK6" s="27">
        <f>2*$AB$5*'OTIMIZA ROTA'!Q99</f>
        <v>0</v>
      </c>
      <c r="AL6" s="27">
        <f t="shared" si="2"/>
        <v>51200</v>
      </c>
      <c r="AQ6" s="106" t="s">
        <v>153</v>
      </c>
      <c r="AR6" s="107">
        <v>800.0</v>
      </c>
      <c r="AS6" s="107">
        <f t="shared" si="3"/>
        <v>266.6666667</v>
      </c>
      <c r="AT6" s="108">
        <v>25.0</v>
      </c>
      <c r="AW6" s="26" t="s">
        <v>28</v>
      </c>
      <c r="AX6" s="27">
        <v>1400.0</v>
      </c>
      <c r="AY6" s="27"/>
      <c r="AZ6" s="27">
        <v>1750.0</v>
      </c>
      <c r="BA6" s="27">
        <v>1400.0</v>
      </c>
      <c r="BB6" s="27">
        <v>1400.0</v>
      </c>
      <c r="BC6" s="27">
        <v>1450.0</v>
      </c>
    </row>
    <row r="7" ht="14.25" customHeight="1">
      <c r="B7" s="26" t="s">
        <v>9</v>
      </c>
      <c r="C7" s="27">
        <f>((Q8+Q4)*$J$11+$J$13)*1.3</f>
        <v>2190.92328</v>
      </c>
      <c r="D7" s="27">
        <f>((Q8+Q7)*$J$11+$J$13)*1.3</f>
        <v>2928.64728</v>
      </c>
      <c r="E7" s="27"/>
      <c r="F7" s="27">
        <f>E8</f>
        <v>2190.92328</v>
      </c>
      <c r="G7" s="27">
        <f>E9</f>
        <v>3518.82648</v>
      </c>
      <c r="H7" s="27">
        <f>E10</f>
        <v>5850.03432</v>
      </c>
      <c r="L7" s="85" t="s">
        <v>28</v>
      </c>
      <c r="M7" s="86" t="s">
        <v>160</v>
      </c>
      <c r="N7" s="85" t="s">
        <v>161</v>
      </c>
      <c r="O7" s="85" t="s">
        <v>162</v>
      </c>
      <c r="P7" s="87" t="s">
        <v>163</v>
      </c>
      <c r="Q7" s="86">
        <v>60.0</v>
      </c>
      <c r="AA7" s="106" t="s">
        <v>227</v>
      </c>
      <c r="AB7" s="107">
        <v>100.0</v>
      </c>
      <c r="AC7" s="107">
        <v>210.0</v>
      </c>
      <c r="AE7" s="26" t="s">
        <v>9</v>
      </c>
      <c r="AF7" s="27">
        <f>2*$AB$5*'OTIMIZA ROTA'!L100</f>
        <v>81000</v>
      </c>
      <c r="AG7" s="27">
        <f>2*$AB$5*'OTIMIZA ROTA'!M100</f>
        <v>25400</v>
      </c>
      <c r="AH7" s="27">
        <f>2*$AB$5*'OTIMIZA ROTA'!N100</f>
        <v>0</v>
      </c>
      <c r="AI7" s="27">
        <f>2*$AB$5*'OTIMIZA ROTA'!O100</f>
        <v>0</v>
      </c>
      <c r="AJ7" s="27">
        <f>2*$AB$5*'OTIMIZA ROTA'!P100</f>
        <v>3800</v>
      </c>
      <c r="AK7" s="27">
        <f>2*$AB$5*'OTIMIZA ROTA'!Q100</f>
        <v>19400</v>
      </c>
      <c r="AL7" s="27">
        <f t="shared" si="2"/>
        <v>129600</v>
      </c>
      <c r="AQ7" s="106" t="s">
        <v>157</v>
      </c>
      <c r="AR7" s="107">
        <v>850.0</v>
      </c>
      <c r="AS7" s="107">
        <f t="shared" si="3"/>
        <v>283.3333333</v>
      </c>
      <c r="AT7" s="108">
        <v>25.0</v>
      </c>
      <c r="AW7" s="26" t="s">
        <v>9</v>
      </c>
      <c r="AX7" s="27">
        <v>1850.0</v>
      </c>
      <c r="AY7" s="27">
        <v>1750.0</v>
      </c>
      <c r="AZ7" s="27"/>
      <c r="BA7" s="27">
        <v>1850.0</v>
      </c>
      <c r="BB7" s="27">
        <v>1850.0</v>
      </c>
      <c r="BC7" s="27">
        <v>1900.0</v>
      </c>
    </row>
    <row r="8" ht="14.25" customHeight="1">
      <c r="B8" s="26" t="s">
        <v>33</v>
      </c>
      <c r="C8" s="27">
        <f>((Q9+Q4)*$J$11+$J$13)*1.3</f>
        <v>1585.9896</v>
      </c>
      <c r="D8" s="27">
        <f>((Q9+Q7)*$J$11+$J$13)*1.3</f>
        <v>2323.7136</v>
      </c>
      <c r="E8" s="27">
        <f>((Q9+Q8)*$J$11+$J$13)*1.3</f>
        <v>2190.92328</v>
      </c>
      <c r="F8" s="27"/>
      <c r="G8" s="27">
        <f>F9</f>
        <v>2913.8928</v>
      </c>
      <c r="H8" s="27">
        <f>F10</f>
        <v>5245.10064</v>
      </c>
      <c r="L8" s="85" t="s">
        <v>9</v>
      </c>
      <c r="M8" s="86" t="s">
        <v>164</v>
      </c>
      <c r="N8" s="85" t="s">
        <v>165</v>
      </c>
      <c r="O8" s="85" t="s">
        <v>166</v>
      </c>
      <c r="P8" s="87" t="s">
        <v>167</v>
      </c>
      <c r="Q8" s="86">
        <v>51.0</v>
      </c>
      <c r="AA8" s="103" t="s">
        <v>161</v>
      </c>
      <c r="AB8" s="104">
        <v>100.0</v>
      </c>
      <c r="AC8" s="104">
        <v>210.0</v>
      </c>
      <c r="AE8" s="26" t="s">
        <v>33</v>
      </c>
      <c r="AF8" s="27">
        <f>2*$AB$5*'OTIMIZA ROTA'!L101</f>
        <v>12600</v>
      </c>
      <c r="AG8" s="27">
        <f>2*$AB$5*'OTIMIZA ROTA'!M101</f>
        <v>7200</v>
      </c>
      <c r="AH8" s="27">
        <f>2*$AB$5*'OTIMIZA ROTA'!N101</f>
        <v>3600</v>
      </c>
      <c r="AI8" s="27">
        <f>2*$AB$5*'OTIMIZA ROTA'!O101</f>
        <v>0</v>
      </c>
      <c r="AJ8" s="27">
        <f>2*$AB$5*'OTIMIZA ROTA'!P101</f>
        <v>0</v>
      </c>
      <c r="AK8" s="27">
        <f>2*$AB$5*'OTIMIZA ROTA'!Q101</f>
        <v>0</v>
      </c>
      <c r="AL8" s="27">
        <f t="shared" si="2"/>
        <v>23400</v>
      </c>
      <c r="AQ8" s="103" t="s">
        <v>161</v>
      </c>
      <c r="AR8" s="104">
        <v>650.0</v>
      </c>
      <c r="AS8" s="104">
        <f t="shared" si="3"/>
        <v>216.6666667</v>
      </c>
      <c r="AT8" s="105">
        <v>40.0</v>
      </c>
      <c r="AW8" s="26" t="s">
        <v>33</v>
      </c>
      <c r="AX8" s="27">
        <v>1500.0</v>
      </c>
      <c r="AY8" s="27">
        <v>1400.0</v>
      </c>
      <c r="AZ8" s="27">
        <v>1850.0</v>
      </c>
      <c r="BA8" s="27"/>
      <c r="BB8" s="27">
        <v>1500.0</v>
      </c>
      <c r="BC8" s="27">
        <v>1550.0</v>
      </c>
    </row>
    <row r="9" ht="14.25" customHeight="1">
      <c r="B9" s="26" t="s">
        <v>8</v>
      </c>
      <c r="C9" s="27">
        <f>((Q4+Q13)*$J$11+$J$13)*1.3</f>
        <v>2913.8928</v>
      </c>
      <c r="D9" s="27">
        <f>((Q13+Q7)*$J$11+$J$13)*1.3</f>
        <v>3651.6168</v>
      </c>
      <c r="E9" s="27">
        <f>((Q13+Q8)*$J$11+$J$13)*1.3</f>
        <v>3518.82648</v>
      </c>
      <c r="F9" s="27">
        <f>((Q13+Q9)*$J$11+$J$13)*1.3</f>
        <v>2913.8928</v>
      </c>
      <c r="G9" s="27"/>
      <c r="H9" s="27">
        <f>G10</f>
        <v>6573.00384</v>
      </c>
      <c r="L9" s="85" t="s">
        <v>33</v>
      </c>
      <c r="M9" s="86" t="s">
        <v>168</v>
      </c>
      <c r="N9" s="85" t="s">
        <v>169</v>
      </c>
      <c r="O9" s="85" t="s">
        <v>170</v>
      </c>
      <c r="P9" s="87" t="s">
        <v>171</v>
      </c>
      <c r="Q9" s="86">
        <v>10.0</v>
      </c>
      <c r="AA9" s="103" t="s">
        <v>165</v>
      </c>
      <c r="AB9" s="104">
        <v>100.0</v>
      </c>
      <c r="AC9" s="104">
        <v>210.0</v>
      </c>
      <c r="AE9" s="26" t="s">
        <v>8</v>
      </c>
      <c r="AF9" s="27">
        <f>2*$AB$5*'OTIMIZA ROTA'!L102</f>
        <v>69200</v>
      </c>
      <c r="AG9" s="27">
        <f>2*$AB$5*'OTIMIZA ROTA'!M102</f>
        <v>18600</v>
      </c>
      <c r="AH9" s="27">
        <f>2*$AB$5*'OTIMIZA ROTA'!N102</f>
        <v>120400</v>
      </c>
      <c r="AI9" s="27">
        <f>2*$AB$5*'OTIMIZA ROTA'!O102</f>
        <v>16800</v>
      </c>
      <c r="AJ9" s="27">
        <f>2*$AB$5*'OTIMIZA ROTA'!P102</f>
        <v>0</v>
      </c>
      <c r="AK9" s="27">
        <f>2*$AB$5*'OTIMIZA ROTA'!Q102</f>
        <v>0</v>
      </c>
      <c r="AL9" s="27">
        <f t="shared" si="2"/>
        <v>225000</v>
      </c>
      <c r="AQ9" s="103" t="s">
        <v>165</v>
      </c>
      <c r="AR9" s="104">
        <v>1100.0</v>
      </c>
      <c r="AS9" s="104">
        <f t="shared" si="3"/>
        <v>366.6666667</v>
      </c>
      <c r="AT9" s="105">
        <v>45.0</v>
      </c>
      <c r="AW9" s="26" t="s">
        <v>8</v>
      </c>
      <c r="AX9" s="27">
        <v>1500.0</v>
      </c>
      <c r="AY9" s="27">
        <v>1400.0</v>
      </c>
      <c r="AZ9" s="27">
        <v>1850.0</v>
      </c>
      <c r="BA9" s="27">
        <v>1500.0</v>
      </c>
      <c r="BB9" s="27"/>
      <c r="BC9" s="27">
        <v>1550.0</v>
      </c>
    </row>
    <row r="10" ht="14.25" customHeight="1">
      <c r="B10" s="26" t="s">
        <v>31</v>
      </c>
      <c r="C10" s="27">
        <f>((Q4+Q15)*$J$11+$J$13)*1.3</f>
        <v>5245.10064</v>
      </c>
      <c r="D10" s="27">
        <f>((Q15+Q7)*$J$11+$J$13)*1.3</f>
        <v>5982.82464</v>
      </c>
      <c r="E10" s="27">
        <f>((Q15+Q8)*$J$11+$J$13)*1.3</f>
        <v>5850.03432</v>
      </c>
      <c r="F10" s="27">
        <f>((Q15+Q9)*$J$11+$J$13)*1.3</f>
        <v>5245.10064</v>
      </c>
      <c r="G10" s="27">
        <f>((Q15+Q13)*$J$11+$J$13)*1.3</f>
        <v>6573.00384</v>
      </c>
      <c r="H10" s="27"/>
      <c r="L10" s="89" t="s">
        <v>11</v>
      </c>
      <c r="M10" s="90" t="s">
        <v>172</v>
      </c>
      <c r="N10" s="89" t="s">
        <v>173</v>
      </c>
      <c r="O10" s="89" t="s">
        <v>174</v>
      </c>
      <c r="P10" s="91" t="s">
        <v>175</v>
      </c>
      <c r="Q10" s="92">
        <v>12.0</v>
      </c>
      <c r="AA10" s="103" t="s">
        <v>169</v>
      </c>
      <c r="AB10" s="104">
        <v>100.0</v>
      </c>
      <c r="AC10" s="104">
        <v>210.0</v>
      </c>
      <c r="AE10" s="26" t="s">
        <v>31</v>
      </c>
      <c r="AF10" s="27">
        <f>2*$AB$5*'OTIMIZA ROTA'!L103</f>
        <v>37400</v>
      </c>
      <c r="AG10" s="27">
        <f>2*$AB$5*'OTIMIZA ROTA'!M103</f>
        <v>0</v>
      </c>
      <c r="AH10" s="27">
        <f>2*$AB$5*'OTIMIZA ROTA'!N103</f>
        <v>11000</v>
      </c>
      <c r="AI10" s="27">
        <f>2*$AB$5*'OTIMIZA ROTA'!O103</f>
        <v>6600</v>
      </c>
      <c r="AJ10" s="27">
        <f>2*$AB$5*'OTIMIZA ROTA'!P103</f>
        <v>0</v>
      </c>
      <c r="AK10" s="27">
        <f>2*$AB$5*'OTIMIZA ROTA'!Q103</f>
        <v>0</v>
      </c>
      <c r="AL10" s="27">
        <f t="shared" si="2"/>
        <v>55000</v>
      </c>
      <c r="AQ10" s="103" t="s">
        <v>169</v>
      </c>
      <c r="AR10" s="104">
        <v>750.0</v>
      </c>
      <c r="AS10" s="104">
        <f t="shared" si="3"/>
        <v>250</v>
      </c>
      <c r="AT10" s="105">
        <v>50.0</v>
      </c>
      <c r="AW10" s="26" t="s">
        <v>31</v>
      </c>
      <c r="AX10" s="27">
        <v>1550.0</v>
      </c>
      <c r="AY10" s="27">
        <v>1450.0</v>
      </c>
      <c r="AZ10" s="27">
        <v>1900.0</v>
      </c>
      <c r="BA10" s="27">
        <v>1550.0</v>
      </c>
      <c r="BB10" s="27">
        <v>1550.0</v>
      </c>
      <c r="BC10" s="27"/>
    </row>
    <row r="11" ht="14.25" customHeight="1">
      <c r="J11" s="15">
        <f>2*5.6748</f>
        <v>11.3496</v>
      </c>
      <c r="L11" s="89" t="s">
        <v>10</v>
      </c>
      <c r="M11" s="90" t="s">
        <v>176</v>
      </c>
      <c r="N11" s="89" t="s">
        <v>177</v>
      </c>
      <c r="O11" s="89" t="s">
        <v>178</v>
      </c>
      <c r="P11" s="91" t="s">
        <v>179</v>
      </c>
      <c r="Q11" s="92">
        <v>100.0</v>
      </c>
      <c r="AA11" s="106" t="s">
        <v>173</v>
      </c>
      <c r="AB11" s="107">
        <v>100.0</v>
      </c>
      <c r="AC11" s="107">
        <v>210.0</v>
      </c>
      <c r="AE11" s="32" t="s">
        <v>48</v>
      </c>
      <c r="AF11" s="33">
        <f t="shared" ref="AF11:AL11" si="4">SUM(AF5:AF10)</f>
        <v>251400</v>
      </c>
      <c r="AG11" s="33">
        <f t="shared" si="4"/>
        <v>51200</v>
      </c>
      <c r="AH11" s="33">
        <f t="shared" si="4"/>
        <v>167800</v>
      </c>
      <c r="AI11" s="33">
        <f t="shared" si="4"/>
        <v>23400</v>
      </c>
      <c r="AJ11" s="33">
        <f t="shared" si="4"/>
        <v>225000</v>
      </c>
      <c r="AK11" s="33">
        <f t="shared" si="4"/>
        <v>42200</v>
      </c>
      <c r="AL11" s="33">
        <f t="shared" si="4"/>
        <v>761000</v>
      </c>
      <c r="AQ11" s="106" t="s">
        <v>173</v>
      </c>
      <c r="AR11" s="107">
        <v>850.0</v>
      </c>
      <c r="AS11" s="107">
        <f t="shared" si="3"/>
        <v>283.3333333</v>
      </c>
      <c r="AT11" s="108">
        <v>35.0</v>
      </c>
    </row>
    <row r="12" ht="14.25" customHeight="1">
      <c r="L12" s="93" t="s">
        <v>10</v>
      </c>
      <c r="M12" s="94" t="s">
        <v>176</v>
      </c>
      <c r="N12" s="93" t="s">
        <v>180</v>
      </c>
      <c r="O12" s="93" t="s">
        <v>181</v>
      </c>
      <c r="P12" s="95" t="s">
        <v>182</v>
      </c>
      <c r="Q12" s="96">
        <v>10.0</v>
      </c>
      <c r="AA12" s="106" t="s">
        <v>228</v>
      </c>
      <c r="AB12" s="107">
        <v>100.0</v>
      </c>
      <c r="AC12" s="107">
        <v>210.0</v>
      </c>
      <c r="AL12" s="4" t="s">
        <v>210</v>
      </c>
      <c r="AM12" s="33">
        <f>AL11*52</f>
        <v>39572000</v>
      </c>
      <c r="AQ12" s="106" t="s">
        <v>177</v>
      </c>
      <c r="AR12" s="107">
        <v>850.0</v>
      </c>
      <c r="AS12" s="107">
        <f t="shared" si="3"/>
        <v>283.3333333</v>
      </c>
      <c r="AT12" s="108">
        <v>50.0</v>
      </c>
    </row>
    <row r="13" ht="14.25" customHeight="1">
      <c r="J13" s="15">
        <f>2*496.5</f>
        <v>993</v>
      </c>
      <c r="L13" s="85" t="s">
        <v>8</v>
      </c>
      <c r="M13" s="86" t="s">
        <v>184</v>
      </c>
      <c r="N13" s="85" t="s">
        <v>185</v>
      </c>
      <c r="O13" s="85" t="s">
        <v>186</v>
      </c>
      <c r="P13" s="87" t="s">
        <v>187</v>
      </c>
      <c r="Q13" s="88">
        <v>100.0</v>
      </c>
      <c r="AA13" s="106" t="s">
        <v>180</v>
      </c>
      <c r="AB13" s="107">
        <v>100.0</v>
      </c>
      <c r="AC13" s="107">
        <v>210.0</v>
      </c>
      <c r="AQ13" s="106" t="s">
        <v>180</v>
      </c>
      <c r="AR13" s="107">
        <v>850.0</v>
      </c>
      <c r="AS13" s="107">
        <f t="shared" si="3"/>
        <v>283.3333333</v>
      </c>
      <c r="AT13" s="108">
        <v>50.0</v>
      </c>
      <c r="AW13" s="42" t="s">
        <v>214</v>
      </c>
      <c r="AX13" s="20"/>
      <c r="AY13" s="20"/>
      <c r="AZ13" s="20"/>
      <c r="BA13" s="20"/>
      <c r="BB13" s="20"/>
      <c r="BC13" s="20"/>
      <c r="BD13" s="21"/>
    </row>
    <row r="14" ht="14.25" customHeight="1">
      <c r="L14" s="89" t="s">
        <v>24</v>
      </c>
      <c r="M14" s="90" t="s">
        <v>188</v>
      </c>
      <c r="N14" s="89" t="s">
        <v>189</v>
      </c>
      <c r="O14" s="89" t="s">
        <v>190</v>
      </c>
      <c r="P14" s="91" t="s">
        <v>191</v>
      </c>
      <c r="Q14" s="92">
        <v>95.0</v>
      </c>
      <c r="AA14" s="103" t="s">
        <v>185</v>
      </c>
      <c r="AB14" s="104">
        <v>100.0</v>
      </c>
      <c r="AC14" s="104">
        <v>210.0</v>
      </c>
      <c r="AQ14" s="103" t="s">
        <v>185</v>
      </c>
      <c r="AR14" s="104">
        <v>750.0</v>
      </c>
      <c r="AS14" s="104">
        <f t="shared" si="3"/>
        <v>250</v>
      </c>
      <c r="AT14" s="105">
        <v>50.0</v>
      </c>
      <c r="AW14" s="4" t="s">
        <v>42</v>
      </c>
      <c r="AX14" s="4" t="s">
        <v>25</v>
      </c>
      <c r="AY14" s="4" t="s">
        <v>28</v>
      </c>
      <c r="AZ14" s="4" t="s">
        <v>9</v>
      </c>
      <c r="BA14" s="49" t="s">
        <v>33</v>
      </c>
      <c r="BB14" s="4" t="s">
        <v>8</v>
      </c>
      <c r="BC14" s="4" t="s">
        <v>31</v>
      </c>
      <c r="BD14" s="4" t="s">
        <v>43</v>
      </c>
    </row>
    <row r="15" ht="14.25" customHeight="1">
      <c r="L15" s="85" t="s">
        <v>31</v>
      </c>
      <c r="M15" s="86" t="s">
        <v>192</v>
      </c>
      <c r="N15" s="85" t="s">
        <v>193</v>
      </c>
      <c r="O15" s="85" t="s">
        <v>194</v>
      </c>
      <c r="P15" s="87" t="s">
        <v>195</v>
      </c>
      <c r="Q15" s="88">
        <v>258.0</v>
      </c>
      <c r="AA15" s="106" t="s">
        <v>189</v>
      </c>
      <c r="AB15" s="107">
        <v>100.0</v>
      </c>
      <c r="AC15" s="107">
        <v>210.0</v>
      </c>
      <c r="AE15" s="42" t="s">
        <v>437</v>
      </c>
      <c r="AF15" s="20"/>
      <c r="AG15" s="20"/>
      <c r="AH15" s="20"/>
      <c r="AI15" s="20"/>
      <c r="AJ15" s="20"/>
      <c r="AK15" s="20"/>
      <c r="AL15" s="21"/>
      <c r="AQ15" s="106" t="s">
        <v>189</v>
      </c>
      <c r="AR15" s="107">
        <v>750.0</v>
      </c>
      <c r="AS15" s="107">
        <f t="shared" si="3"/>
        <v>250</v>
      </c>
      <c r="AT15" s="108">
        <v>50.0</v>
      </c>
      <c r="AW15" s="26" t="s">
        <v>25</v>
      </c>
      <c r="AX15" s="27">
        <f>'OTIMIZA ROTA'!L98*AX5</f>
        <v>0</v>
      </c>
      <c r="AY15" s="27">
        <f>'OTIMIZA ROTA'!M98*AY5</f>
        <v>0</v>
      </c>
      <c r="AZ15" s="27">
        <f>'OTIMIZA ROTA'!N98*AZ5</f>
        <v>303400</v>
      </c>
      <c r="BA15" s="27">
        <f>'OTIMIZA ROTA'!O98*BA5</f>
        <v>0</v>
      </c>
      <c r="BB15" s="27">
        <f>'OTIMIZA ROTA'!P98*BB5</f>
        <v>1659000</v>
      </c>
      <c r="BC15" s="27">
        <f>'OTIMIZA ROTA'!Q98*BC5</f>
        <v>176700</v>
      </c>
      <c r="BD15" s="27">
        <f t="shared" ref="BD15:BD20" si="5">SUM(AX15:BC15)</f>
        <v>2139100</v>
      </c>
    </row>
    <row r="16" ht="14.25" customHeight="1">
      <c r="I16" s="226"/>
      <c r="L16" s="89" t="s">
        <v>31</v>
      </c>
      <c r="M16" s="90" t="s">
        <v>192</v>
      </c>
      <c r="N16" s="89" t="s">
        <v>196</v>
      </c>
      <c r="O16" s="89" t="s">
        <v>197</v>
      </c>
      <c r="P16" s="91" t="s">
        <v>198</v>
      </c>
      <c r="Q16" s="92">
        <v>105.0</v>
      </c>
      <c r="AA16" s="103" t="s">
        <v>193</v>
      </c>
      <c r="AB16" s="104">
        <v>100.0</v>
      </c>
      <c r="AC16" s="104">
        <v>210.0</v>
      </c>
      <c r="AE16" s="4" t="s">
        <v>42</v>
      </c>
      <c r="AF16" s="4" t="s">
        <v>25</v>
      </c>
      <c r="AG16" s="4" t="s">
        <v>28</v>
      </c>
      <c r="AH16" s="4" t="s">
        <v>9</v>
      </c>
      <c r="AI16" s="49" t="s">
        <v>33</v>
      </c>
      <c r="AJ16" s="4" t="s">
        <v>8</v>
      </c>
      <c r="AK16" s="4" t="s">
        <v>31</v>
      </c>
      <c r="AL16" s="4" t="s">
        <v>43</v>
      </c>
      <c r="AQ16" s="103" t="s">
        <v>193</v>
      </c>
      <c r="AR16" s="104">
        <v>800.0</v>
      </c>
      <c r="AS16" s="104">
        <f t="shared" si="3"/>
        <v>266.6666667</v>
      </c>
      <c r="AT16" s="105">
        <v>50.0</v>
      </c>
      <c r="AW16" s="26" t="s">
        <v>28</v>
      </c>
      <c r="AX16" s="27">
        <f>'OTIMIZA ROTA'!L99*AX6</f>
        <v>358400</v>
      </c>
      <c r="AY16" s="27">
        <f>'OTIMIZA ROTA'!M99*AY6</f>
        <v>0</v>
      </c>
      <c r="AZ16" s="27">
        <f>'OTIMIZA ROTA'!N99*AZ6</f>
        <v>0</v>
      </c>
      <c r="BA16" s="27">
        <f>'OTIMIZA ROTA'!O99*BA6</f>
        <v>0</v>
      </c>
      <c r="BB16" s="27">
        <f>'OTIMIZA ROTA'!P99*BB6</f>
        <v>0</v>
      </c>
      <c r="BC16" s="27">
        <f>'OTIMIZA ROTA'!Q99*BC6</f>
        <v>0</v>
      </c>
      <c r="BD16" s="27">
        <f t="shared" si="5"/>
        <v>358400</v>
      </c>
    </row>
    <row r="17" ht="14.25" customHeight="1">
      <c r="L17" s="89" t="s">
        <v>31</v>
      </c>
      <c r="M17" s="90" t="s">
        <v>192</v>
      </c>
      <c r="N17" s="89" t="s">
        <v>199</v>
      </c>
      <c r="O17" s="89" t="s">
        <v>200</v>
      </c>
      <c r="P17" s="91" t="s">
        <v>201</v>
      </c>
      <c r="Q17" s="92">
        <v>118.0</v>
      </c>
      <c r="AA17" s="106" t="s">
        <v>196</v>
      </c>
      <c r="AB17" s="107">
        <v>100.0</v>
      </c>
      <c r="AC17" s="107">
        <v>210.0</v>
      </c>
      <c r="AE17" s="26" t="s">
        <v>25</v>
      </c>
      <c r="AF17" s="27"/>
      <c r="AG17" s="27"/>
      <c r="AH17" s="27"/>
      <c r="AI17" s="27"/>
      <c r="AJ17" s="27"/>
      <c r="AK17" s="27">
        <f>(AC16*2)*'OTIMIZA ROTA'!AC98</f>
        <v>26880</v>
      </c>
      <c r="AL17" s="27">
        <f t="shared" ref="AL17:AL22" si="6">SUM(AF17:AK17)</f>
        <v>26880</v>
      </c>
      <c r="AQ17" s="106" t="s">
        <v>196</v>
      </c>
      <c r="AR17" s="107">
        <v>800.0</v>
      </c>
      <c r="AS17" s="107">
        <f t="shared" si="3"/>
        <v>266.6666667</v>
      </c>
      <c r="AT17" s="108">
        <v>45.0</v>
      </c>
      <c r="AW17" s="26" t="s">
        <v>9</v>
      </c>
      <c r="AX17" s="27">
        <f>'OTIMIZA ROTA'!L100*AX7</f>
        <v>749250</v>
      </c>
      <c r="AY17" s="27">
        <f>'OTIMIZA ROTA'!M100*AY7</f>
        <v>222250</v>
      </c>
      <c r="AZ17" s="27">
        <f>'OTIMIZA ROTA'!N100*AZ7</f>
        <v>0</v>
      </c>
      <c r="BA17" s="27">
        <f>'OTIMIZA ROTA'!O100*BA7</f>
        <v>0</v>
      </c>
      <c r="BB17" s="27">
        <f>'OTIMIZA ROTA'!P100*BB7</f>
        <v>35150</v>
      </c>
      <c r="BC17" s="27">
        <f>'OTIMIZA ROTA'!Q100*BC7</f>
        <v>184300</v>
      </c>
      <c r="BD17" s="27">
        <f t="shared" si="5"/>
        <v>1190950</v>
      </c>
    </row>
    <row r="18" ht="14.25" customHeight="1">
      <c r="L18" s="89" t="s">
        <v>31</v>
      </c>
      <c r="M18" s="90" t="s">
        <v>192</v>
      </c>
      <c r="N18" s="89" t="s">
        <v>202</v>
      </c>
      <c r="O18" s="89" t="s">
        <v>203</v>
      </c>
      <c r="P18" s="91" t="s">
        <v>204</v>
      </c>
      <c r="Q18" s="92">
        <v>98.0</v>
      </c>
      <c r="AA18" s="106" t="s">
        <v>199</v>
      </c>
      <c r="AB18" s="107">
        <v>100.0</v>
      </c>
      <c r="AC18" s="107">
        <v>210.0</v>
      </c>
      <c r="AE18" s="26" t="s">
        <v>28</v>
      </c>
      <c r="AF18" s="27"/>
      <c r="AG18" s="27"/>
      <c r="AH18" s="27"/>
      <c r="AI18" s="27"/>
      <c r="AJ18" s="27"/>
      <c r="AK18" s="27"/>
      <c r="AL18" s="27">
        <f t="shared" si="6"/>
        <v>0</v>
      </c>
      <c r="AQ18" s="106" t="s">
        <v>199</v>
      </c>
      <c r="AR18" s="107">
        <v>800.0</v>
      </c>
      <c r="AS18" s="107">
        <f t="shared" si="3"/>
        <v>266.6666667</v>
      </c>
      <c r="AT18" s="109">
        <v>50.0</v>
      </c>
      <c r="AW18" s="26" t="s">
        <v>33</v>
      </c>
      <c r="AX18" s="27">
        <f>'OTIMIZA ROTA'!L101*AX8</f>
        <v>94500</v>
      </c>
      <c r="AY18" s="27">
        <f>'OTIMIZA ROTA'!M101*AY8</f>
        <v>50400</v>
      </c>
      <c r="AZ18" s="27">
        <f>'OTIMIZA ROTA'!N101*AZ8</f>
        <v>33300</v>
      </c>
      <c r="BA18" s="27">
        <f>'OTIMIZA ROTA'!O101*BA8</f>
        <v>0</v>
      </c>
      <c r="BB18" s="27">
        <f>'OTIMIZA ROTA'!P101*BB8</f>
        <v>0</v>
      </c>
      <c r="BC18" s="27">
        <f>'OTIMIZA ROTA'!Q101*BC8</f>
        <v>0</v>
      </c>
      <c r="BD18" s="27">
        <f t="shared" si="5"/>
        <v>178200</v>
      </c>
    </row>
    <row r="19" ht="14.25" customHeight="1">
      <c r="L19" s="89" t="s">
        <v>205</v>
      </c>
      <c r="M19" s="90" t="s">
        <v>206</v>
      </c>
      <c r="N19" s="89" t="s">
        <v>207</v>
      </c>
      <c r="O19" s="89" t="s">
        <v>208</v>
      </c>
      <c r="P19" s="91" t="s">
        <v>209</v>
      </c>
      <c r="Q19" s="92">
        <v>320.0</v>
      </c>
      <c r="AA19" s="106" t="s">
        <v>202</v>
      </c>
      <c r="AB19" s="107">
        <v>100.0</v>
      </c>
      <c r="AC19" s="107">
        <v>210.0</v>
      </c>
      <c r="AE19" s="26" t="s">
        <v>9</v>
      </c>
      <c r="AF19" s="27">
        <f>(AC9*2)*'OTIMIZA ROTA'!X100</f>
        <v>80220</v>
      </c>
      <c r="AG19" s="27"/>
      <c r="AH19" s="27"/>
      <c r="AI19" s="27"/>
      <c r="AJ19" s="27"/>
      <c r="AK19" s="27"/>
      <c r="AL19" s="27">
        <f t="shared" si="6"/>
        <v>80220</v>
      </c>
      <c r="AQ19" s="106" t="s">
        <v>202</v>
      </c>
      <c r="AR19" s="107">
        <v>850.0</v>
      </c>
      <c r="AS19" s="107">
        <f t="shared" si="3"/>
        <v>283.3333333</v>
      </c>
      <c r="AT19" s="109">
        <v>40.0</v>
      </c>
      <c r="AW19" s="26" t="s">
        <v>8</v>
      </c>
      <c r="AX19" s="27">
        <f>'OTIMIZA ROTA'!L102*AX9</f>
        <v>519000</v>
      </c>
      <c r="AY19" s="27">
        <f>'OTIMIZA ROTA'!M102*AY9</f>
        <v>130200</v>
      </c>
      <c r="AZ19" s="27">
        <f>'OTIMIZA ROTA'!N102*AZ9</f>
        <v>1113700</v>
      </c>
      <c r="BA19" s="27">
        <f>'OTIMIZA ROTA'!O102*BA9</f>
        <v>126000</v>
      </c>
      <c r="BB19" s="27">
        <f>'OTIMIZA ROTA'!P102*BB9</f>
        <v>0</v>
      </c>
      <c r="BC19" s="27">
        <f>'OTIMIZA ROTA'!Q102*BC9</f>
        <v>0</v>
      </c>
      <c r="BD19" s="27">
        <f t="shared" si="5"/>
        <v>1888900</v>
      </c>
    </row>
    <row r="20" ht="14.25" customHeight="1">
      <c r="AA20" s="106" t="s">
        <v>207</v>
      </c>
      <c r="AB20" s="107">
        <v>100.0</v>
      </c>
      <c r="AC20" s="107">
        <v>210.0</v>
      </c>
      <c r="AE20" s="26" t="s">
        <v>33</v>
      </c>
      <c r="AF20" s="27"/>
      <c r="AG20" s="27"/>
      <c r="AH20" s="27"/>
      <c r="AI20" s="27"/>
      <c r="AJ20" s="27"/>
      <c r="AK20" s="27"/>
      <c r="AL20" s="27">
        <f t="shared" si="6"/>
        <v>0</v>
      </c>
      <c r="AQ20" s="106" t="s">
        <v>207</v>
      </c>
      <c r="AR20" s="107">
        <v>950.0</v>
      </c>
      <c r="AS20" s="107">
        <f t="shared" si="3"/>
        <v>316.6666667</v>
      </c>
      <c r="AT20" s="109">
        <v>50.0</v>
      </c>
      <c r="AW20" s="26" t="s">
        <v>31</v>
      </c>
      <c r="AX20" s="27">
        <f>'OTIMIZA ROTA'!L103*AX10</f>
        <v>289850</v>
      </c>
      <c r="AY20" s="27">
        <f>'OTIMIZA ROTA'!M103*AY10</f>
        <v>0</v>
      </c>
      <c r="AZ20" s="27">
        <f>'OTIMIZA ROTA'!N103*AZ10</f>
        <v>104500</v>
      </c>
      <c r="BA20" s="27">
        <f>'OTIMIZA ROTA'!O103*BA10</f>
        <v>51150</v>
      </c>
      <c r="BB20" s="27">
        <f>'OTIMIZA ROTA'!P103*BB10</f>
        <v>0</v>
      </c>
      <c r="BC20" s="27">
        <f>'OTIMIZA ROTA'!Q103*BC10</f>
        <v>0</v>
      </c>
      <c r="BD20" s="27">
        <f t="shared" si="5"/>
        <v>445500</v>
      </c>
    </row>
    <row r="21" ht="14.25" customHeight="1">
      <c r="AE21" s="26" t="s">
        <v>8</v>
      </c>
      <c r="AF21" s="27"/>
      <c r="AG21" s="27"/>
      <c r="AH21" s="27"/>
      <c r="AI21" s="27"/>
      <c r="AJ21" s="27"/>
      <c r="AK21" s="27"/>
      <c r="AL21" s="27">
        <f t="shared" si="6"/>
        <v>0</v>
      </c>
      <c r="AW21" s="32" t="s">
        <v>48</v>
      </c>
      <c r="AX21" s="33">
        <f t="shared" ref="AX21:BD21" si="7">SUM(AX15:AX20)</f>
        <v>2011000</v>
      </c>
      <c r="AY21" s="33">
        <f t="shared" si="7"/>
        <v>402850</v>
      </c>
      <c r="AZ21" s="33">
        <f t="shared" si="7"/>
        <v>1554900</v>
      </c>
      <c r="BA21" s="33">
        <f t="shared" si="7"/>
        <v>177150</v>
      </c>
      <c r="BB21" s="33">
        <f t="shared" si="7"/>
        <v>1694150</v>
      </c>
      <c r="BC21" s="33">
        <f t="shared" si="7"/>
        <v>361000</v>
      </c>
      <c r="BD21" s="33">
        <f t="shared" si="7"/>
        <v>6201050</v>
      </c>
    </row>
    <row r="22" ht="14.25" customHeight="1">
      <c r="AE22" s="26" t="s">
        <v>31</v>
      </c>
      <c r="AF22" s="27"/>
      <c r="AG22" s="27"/>
      <c r="AH22" s="27"/>
      <c r="AI22" s="27"/>
      <c r="AJ22" s="27"/>
      <c r="AK22" s="27"/>
      <c r="AL22" s="27">
        <f t="shared" si="6"/>
        <v>0</v>
      </c>
      <c r="BD22" s="4" t="s">
        <v>210</v>
      </c>
      <c r="BE22" s="33">
        <f>BD21*52</f>
        <v>322454600</v>
      </c>
    </row>
    <row r="23" ht="14.25" customHeight="1">
      <c r="AE23" s="32" t="s">
        <v>48</v>
      </c>
      <c r="AF23" s="33">
        <f t="shared" ref="AF23:AL23" si="8">SUM(AF17:AF22)</f>
        <v>80220</v>
      </c>
      <c r="AG23" s="33">
        <f t="shared" si="8"/>
        <v>0</v>
      </c>
      <c r="AH23" s="33">
        <f t="shared" si="8"/>
        <v>0</v>
      </c>
      <c r="AI23" s="33">
        <f t="shared" si="8"/>
        <v>0</v>
      </c>
      <c r="AJ23" s="33">
        <f t="shared" si="8"/>
        <v>0</v>
      </c>
      <c r="AK23" s="33">
        <f t="shared" si="8"/>
        <v>26880</v>
      </c>
      <c r="AL23" s="33">
        <f t="shared" si="8"/>
        <v>107100</v>
      </c>
    </row>
    <row r="24" ht="14.25" customHeight="1">
      <c r="B24" s="42" t="s">
        <v>183</v>
      </c>
      <c r="C24" s="20"/>
      <c r="D24" s="20"/>
      <c r="E24" s="20"/>
      <c r="F24" s="20"/>
      <c r="G24" s="20"/>
      <c r="H24" s="20"/>
      <c r="I24" s="21"/>
      <c r="AL24" s="4" t="s">
        <v>210</v>
      </c>
      <c r="AM24" s="33">
        <f>AL23*52</f>
        <v>5569200</v>
      </c>
    </row>
    <row r="25" ht="14.25" customHeight="1">
      <c r="B25" s="4" t="s">
        <v>42</v>
      </c>
      <c r="C25" s="4" t="s">
        <v>25</v>
      </c>
      <c r="D25" s="4" t="s">
        <v>28</v>
      </c>
      <c r="E25" s="4" t="s">
        <v>9</v>
      </c>
      <c r="F25" s="49" t="s">
        <v>33</v>
      </c>
      <c r="G25" s="4" t="s">
        <v>8</v>
      </c>
      <c r="H25" s="4" t="s">
        <v>31</v>
      </c>
      <c r="I25" s="4" t="s">
        <v>43</v>
      </c>
      <c r="AW25" s="42" t="s">
        <v>438</v>
      </c>
      <c r="AX25" s="20"/>
      <c r="AY25" s="20"/>
      <c r="AZ25" s="20"/>
      <c r="BA25" s="20"/>
      <c r="BB25" s="20"/>
      <c r="BC25" s="58"/>
    </row>
    <row r="26" ht="14.25" customHeight="1">
      <c r="B26" s="26" t="s">
        <v>25</v>
      </c>
      <c r="C26" s="27">
        <f>'OTIMIZA ROTA'!L98*C5</f>
        <v>0</v>
      </c>
      <c r="D26" s="27">
        <f>'OTIMIZA ROTA'!M98*D5</f>
        <v>0</v>
      </c>
      <c r="E26" s="27">
        <f>'OTIMIZA ROTA'!N98*E5</f>
        <v>359311.4179</v>
      </c>
      <c r="F26" s="27">
        <f>'OTIMIZA ROTA'!O98*F5</f>
        <v>0</v>
      </c>
      <c r="G26" s="27">
        <f>'OTIMIZA ROTA'!P98*G5</f>
        <v>3222765.437</v>
      </c>
      <c r="H26" s="27">
        <f>'OTIMIZA ROTA'!Q98*H5</f>
        <v>597941.473</v>
      </c>
      <c r="I26" s="27">
        <f t="shared" ref="I26:I31" si="9">SUM(C26:H26)</f>
        <v>4180018.328</v>
      </c>
      <c r="AW26" s="4" t="s">
        <v>42</v>
      </c>
      <c r="AX26" s="4" t="s">
        <v>25</v>
      </c>
      <c r="AY26" s="4" t="s">
        <v>28</v>
      </c>
      <c r="AZ26" s="4" t="s">
        <v>9</v>
      </c>
      <c r="BA26" s="49" t="s">
        <v>33</v>
      </c>
      <c r="BB26" s="4" t="s">
        <v>8</v>
      </c>
      <c r="BC26" s="4" t="s">
        <v>31</v>
      </c>
    </row>
    <row r="27" ht="14.25" customHeight="1">
      <c r="B27" s="26" t="s">
        <v>28</v>
      </c>
      <c r="C27" s="27">
        <f>'OTIMIZA ROTA'!L99*C6</f>
        <v>594870.6816</v>
      </c>
      <c r="D27" s="27">
        <f>'OTIMIZA ROTA'!M99*D6</f>
        <v>0</v>
      </c>
      <c r="E27" s="27">
        <f>'OTIMIZA ROTA'!N99*E6</f>
        <v>0</v>
      </c>
      <c r="F27" s="27">
        <f>'OTIMIZA ROTA'!O99*F6</f>
        <v>0</v>
      </c>
      <c r="G27" s="27">
        <f>'OTIMIZA ROTA'!P99*G6</f>
        <v>0</v>
      </c>
      <c r="H27" s="27">
        <f>'OTIMIZA ROTA'!Q99*H6</f>
        <v>0</v>
      </c>
      <c r="I27" s="27">
        <f t="shared" si="9"/>
        <v>594870.6816</v>
      </c>
      <c r="AW27" s="26" t="s">
        <v>25</v>
      </c>
      <c r="AX27" s="27"/>
      <c r="AY27" s="27"/>
      <c r="AZ27" s="27"/>
      <c r="BA27" s="27"/>
      <c r="BB27" s="27"/>
      <c r="BC27" s="27">
        <f>AS5+AS16</f>
        <v>516.6666667</v>
      </c>
    </row>
    <row r="28" ht="14.25" customHeight="1">
      <c r="B28" s="26" t="s">
        <v>9</v>
      </c>
      <c r="C28" s="27">
        <f>'OTIMIZA ROTA'!L100*C7</f>
        <v>887323.9284</v>
      </c>
      <c r="D28" s="27">
        <f>'OTIMIZA ROTA'!M100*D7</f>
        <v>371938.2046</v>
      </c>
      <c r="E28" s="27">
        <f>'OTIMIZA ROTA'!N100*E7</f>
        <v>0</v>
      </c>
      <c r="F28" s="27">
        <f>'OTIMIZA ROTA'!O100*F7</f>
        <v>0</v>
      </c>
      <c r="G28" s="27">
        <f>'OTIMIZA ROTA'!P100*G7</f>
        <v>66857.70312</v>
      </c>
      <c r="H28" s="27">
        <f>'OTIMIZA ROTA'!Q100*H7</f>
        <v>567453.329</v>
      </c>
      <c r="I28" s="27">
        <f t="shared" si="9"/>
        <v>1893573.165</v>
      </c>
      <c r="AE28" s="42" t="s">
        <v>439</v>
      </c>
      <c r="AF28" s="20"/>
      <c r="AG28" s="20"/>
      <c r="AH28" s="20"/>
      <c r="AI28" s="20"/>
      <c r="AJ28" s="20"/>
      <c r="AK28" s="20"/>
      <c r="AL28" s="21"/>
      <c r="AW28" s="26" t="s">
        <v>28</v>
      </c>
      <c r="AX28" s="27"/>
      <c r="AY28" s="27"/>
      <c r="AZ28" s="27"/>
      <c r="BA28" s="27"/>
      <c r="BB28" s="27"/>
      <c r="BC28" s="27"/>
    </row>
    <row r="29" ht="14.25" customHeight="1">
      <c r="B29" s="26" t="s">
        <v>33</v>
      </c>
      <c r="C29" s="27">
        <f>'OTIMIZA ROTA'!L101*C8</f>
        <v>99917.3448</v>
      </c>
      <c r="D29" s="27">
        <f>'OTIMIZA ROTA'!M101*D8</f>
        <v>83653.6896</v>
      </c>
      <c r="E29" s="27">
        <f>'OTIMIZA ROTA'!N101*E8</f>
        <v>39436.61904</v>
      </c>
      <c r="F29" s="27">
        <f>'OTIMIZA ROTA'!O101*F8</f>
        <v>0</v>
      </c>
      <c r="G29" s="27">
        <f>'OTIMIZA ROTA'!P101*G8</f>
        <v>0</v>
      </c>
      <c r="H29" s="27">
        <f>'OTIMIZA ROTA'!Q101*H8</f>
        <v>0</v>
      </c>
      <c r="I29" s="27">
        <f t="shared" si="9"/>
        <v>223007.6534</v>
      </c>
      <c r="AE29" s="4" t="s">
        <v>42</v>
      </c>
      <c r="AF29" s="4" t="s">
        <v>25</v>
      </c>
      <c r="AG29" s="4" t="s">
        <v>28</v>
      </c>
      <c r="AH29" s="4" t="s">
        <v>9</v>
      </c>
      <c r="AI29" s="49" t="s">
        <v>33</v>
      </c>
      <c r="AJ29" s="4" t="s">
        <v>8</v>
      </c>
      <c r="AK29" s="4" t="s">
        <v>31</v>
      </c>
      <c r="AL29" s="4" t="s">
        <v>43</v>
      </c>
      <c r="AW29" s="26" t="s">
        <v>9</v>
      </c>
      <c r="AX29" s="27">
        <f>(AS5+AS9)</f>
        <v>616.6666667</v>
      </c>
      <c r="AY29" s="27"/>
      <c r="AZ29" s="27"/>
      <c r="BA29" s="27"/>
      <c r="BB29" s="27"/>
      <c r="BC29" s="27"/>
    </row>
    <row r="30" ht="14.25" customHeight="1">
      <c r="B30" s="26" t="s">
        <v>8</v>
      </c>
      <c r="C30" s="27">
        <f>'OTIMIZA ROTA'!L102*C9</f>
        <v>1008206.909</v>
      </c>
      <c r="D30" s="27">
        <f>'OTIMIZA ROTA'!M102*D9</f>
        <v>339600.3624</v>
      </c>
      <c r="E30" s="27">
        <f>'OTIMIZA ROTA'!N102*E9</f>
        <v>2118333.541</v>
      </c>
      <c r="F30" s="27">
        <f>'OTIMIZA ROTA'!O102*F9</f>
        <v>244766.9952</v>
      </c>
      <c r="G30" s="27">
        <f>'OTIMIZA ROTA'!P102*G9</f>
        <v>0</v>
      </c>
      <c r="H30" s="27">
        <f>'OTIMIZA ROTA'!Q102*H9</f>
        <v>0</v>
      </c>
      <c r="I30" s="27">
        <f t="shared" si="9"/>
        <v>3710907.807</v>
      </c>
      <c r="AE30" s="26" t="s">
        <v>25</v>
      </c>
      <c r="AF30" s="27"/>
      <c r="AG30" s="27"/>
      <c r="AH30" s="27"/>
      <c r="AI30" s="27"/>
      <c r="AJ30" s="27"/>
      <c r="AK30" s="27">
        <f>(AB16*2)*'OTIMIZA ROTA'!AC98</f>
        <v>12800</v>
      </c>
      <c r="AL30" s="27">
        <f t="shared" ref="AL30:AL35" si="10">SUM(AF30:AK30)</f>
        <v>12800</v>
      </c>
      <c r="AW30" s="26" t="s">
        <v>33</v>
      </c>
      <c r="AX30" s="27"/>
      <c r="AY30" s="27"/>
      <c r="AZ30" s="27"/>
      <c r="BA30" s="27"/>
      <c r="BB30" s="27"/>
      <c r="BC30" s="27"/>
    </row>
    <row r="31" ht="14.25" customHeight="1">
      <c r="B31" s="26" t="s">
        <v>31</v>
      </c>
      <c r="C31" s="27">
        <f>'OTIMIZA ROTA'!L103*C10</f>
        <v>980833.8197</v>
      </c>
      <c r="D31" s="27">
        <f>'OTIMIZA ROTA'!M103*D10</f>
        <v>0</v>
      </c>
      <c r="E31" s="27">
        <f>'OTIMIZA ROTA'!N103*E10</f>
        <v>321751.8876</v>
      </c>
      <c r="F31" s="27">
        <f>'OTIMIZA ROTA'!O103*F10</f>
        <v>173088.3211</v>
      </c>
      <c r="G31" s="27">
        <f>'OTIMIZA ROTA'!P103*G10</f>
        <v>0</v>
      </c>
      <c r="H31" s="27">
        <f>'OTIMIZA ROTA'!Q103*H10</f>
        <v>0</v>
      </c>
      <c r="I31" s="27">
        <f t="shared" si="9"/>
        <v>1475674.028</v>
      </c>
      <c r="AE31" s="26" t="s">
        <v>28</v>
      </c>
      <c r="AF31" s="27"/>
      <c r="AG31" s="27"/>
      <c r="AH31" s="27"/>
      <c r="AI31" s="27"/>
      <c r="AJ31" s="27"/>
      <c r="AK31" s="27"/>
      <c r="AL31" s="27">
        <f t="shared" si="10"/>
        <v>0</v>
      </c>
      <c r="AW31" s="26" t="s">
        <v>8</v>
      </c>
      <c r="AX31" s="27"/>
      <c r="AY31" s="27"/>
      <c r="AZ31" s="27"/>
      <c r="BA31" s="27"/>
      <c r="BB31" s="27"/>
      <c r="BC31" s="27"/>
    </row>
    <row r="32" ht="14.25" customHeight="1">
      <c r="B32" s="32" t="s">
        <v>48</v>
      </c>
      <c r="C32" s="33">
        <f t="shared" ref="C32:I32" si="11">SUM(C26:C31)</f>
        <v>3571152.683</v>
      </c>
      <c r="D32" s="33">
        <f t="shared" si="11"/>
        <v>795192.2566</v>
      </c>
      <c r="E32" s="33">
        <f t="shared" si="11"/>
        <v>2838833.466</v>
      </c>
      <c r="F32" s="33">
        <f t="shared" si="11"/>
        <v>417855.3163</v>
      </c>
      <c r="G32" s="33">
        <f t="shared" si="11"/>
        <v>3289623.14</v>
      </c>
      <c r="H32" s="33">
        <f t="shared" si="11"/>
        <v>1165394.802</v>
      </c>
      <c r="I32" s="33">
        <f t="shared" si="11"/>
        <v>12078051.66</v>
      </c>
      <c r="AE32" s="26" t="s">
        <v>9</v>
      </c>
      <c r="AF32" s="27">
        <f>(AB9*2)*'OTIMIZA ROTA'!X100</f>
        <v>38200</v>
      </c>
      <c r="AG32" s="27"/>
      <c r="AH32" s="27"/>
      <c r="AI32" s="27"/>
      <c r="AJ32" s="27"/>
      <c r="AK32" s="27"/>
      <c r="AL32" s="27">
        <f t="shared" si="10"/>
        <v>38200</v>
      </c>
      <c r="AW32" s="26" t="s">
        <v>31</v>
      </c>
      <c r="AX32" s="27"/>
      <c r="AY32" s="27"/>
      <c r="AZ32" s="27"/>
      <c r="BA32" s="27"/>
      <c r="BB32" s="27"/>
      <c r="BC32" s="27"/>
    </row>
    <row r="33" ht="14.25" customHeight="1">
      <c r="I33" s="4" t="s">
        <v>210</v>
      </c>
      <c r="J33" s="33">
        <f>I32*52</f>
        <v>628058686.5</v>
      </c>
      <c r="AE33" s="26" t="s">
        <v>33</v>
      </c>
      <c r="AF33" s="27"/>
      <c r="AG33" s="27"/>
      <c r="AH33" s="27"/>
      <c r="AI33" s="27"/>
      <c r="AJ33" s="27"/>
      <c r="AK33" s="27"/>
      <c r="AL33" s="27">
        <f t="shared" si="10"/>
        <v>0</v>
      </c>
    </row>
    <row r="34" ht="14.25" customHeight="1">
      <c r="AE34" s="26" t="s">
        <v>8</v>
      </c>
      <c r="AF34" s="27"/>
      <c r="AG34" s="27"/>
      <c r="AH34" s="27"/>
      <c r="AI34" s="27"/>
      <c r="AJ34" s="27"/>
      <c r="AK34" s="27"/>
      <c r="AL34" s="27">
        <f t="shared" si="10"/>
        <v>0</v>
      </c>
    </row>
    <row r="35" ht="14.25" customHeight="1">
      <c r="AE35" s="26" t="s">
        <v>31</v>
      </c>
      <c r="AF35" s="27"/>
      <c r="AG35" s="27"/>
      <c r="AH35" s="27"/>
      <c r="AI35" s="27"/>
      <c r="AJ35" s="27"/>
      <c r="AK35" s="27"/>
      <c r="AL35" s="27">
        <f t="shared" si="10"/>
        <v>0</v>
      </c>
      <c r="AW35" s="42" t="s">
        <v>440</v>
      </c>
      <c r="AX35" s="20"/>
      <c r="AY35" s="20"/>
      <c r="AZ35" s="20"/>
      <c r="BA35" s="20"/>
      <c r="BB35" s="20"/>
      <c r="BC35" s="20"/>
      <c r="BD35" s="21"/>
    </row>
    <row r="36" ht="14.25" customHeight="1">
      <c r="AE36" s="32" t="s">
        <v>48</v>
      </c>
      <c r="AF36" s="33">
        <f t="shared" ref="AF36:AL36" si="12">SUM(AF30:AF35)</f>
        <v>38200</v>
      </c>
      <c r="AG36" s="33">
        <f t="shared" si="12"/>
        <v>0</v>
      </c>
      <c r="AH36" s="33">
        <f t="shared" si="12"/>
        <v>0</v>
      </c>
      <c r="AI36" s="33">
        <f t="shared" si="12"/>
        <v>0</v>
      </c>
      <c r="AJ36" s="33">
        <f t="shared" si="12"/>
        <v>0</v>
      </c>
      <c r="AK36" s="33">
        <f t="shared" si="12"/>
        <v>12800</v>
      </c>
      <c r="AL36" s="33">
        <f t="shared" si="12"/>
        <v>51000</v>
      </c>
      <c r="AW36" s="4" t="s">
        <v>42</v>
      </c>
      <c r="AX36" s="4" t="s">
        <v>25</v>
      </c>
      <c r="AY36" s="4" t="s">
        <v>28</v>
      </c>
      <c r="AZ36" s="4" t="s">
        <v>9</v>
      </c>
      <c r="BA36" s="49" t="s">
        <v>33</v>
      </c>
      <c r="BB36" s="4" t="s">
        <v>8</v>
      </c>
      <c r="BC36" s="4" t="s">
        <v>31</v>
      </c>
      <c r="BD36" s="4" t="s">
        <v>43</v>
      </c>
    </row>
    <row r="37" ht="14.25" customHeight="1">
      <c r="AL37" s="4" t="s">
        <v>210</v>
      </c>
      <c r="AM37" s="33">
        <f>AL36*52</f>
        <v>2652000</v>
      </c>
      <c r="AW37" s="26" t="s">
        <v>25</v>
      </c>
      <c r="AX37" s="27"/>
      <c r="AY37" s="27"/>
      <c r="AZ37" s="27"/>
      <c r="BA37" s="27"/>
      <c r="BB37" s="27"/>
      <c r="BC37" s="27">
        <f>BC27*'OTIMIZA ROTA'!AC98</f>
        <v>33066.66667</v>
      </c>
      <c r="BD37" s="27">
        <f t="shared" ref="BD37:BD42" si="13">SUM(AX37:BC37)</f>
        <v>33066.66667</v>
      </c>
    </row>
    <row r="38" ht="14.25" customHeight="1">
      <c r="AW38" s="26" t="s">
        <v>28</v>
      </c>
      <c r="AX38" s="27"/>
      <c r="AY38" s="27"/>
      <c r="AZ38" s="27"/>
      <c r="BA38" s="27"/>
      <c r="BB38" s="27"/>
      <c r="BC38" s="27"/>
      <c r="BD38" s="27">
        <f t="shared" si="13"/>
        <v>0</v>
      </c>
    </row>
    <row r="39" ht="14.25" customHeight="1">
      <c r="AW39" s="26" t="s">
        <v>9</v>
      </c>
      <c r="AX39" s="27">
        <f>AX29*'OTIMIZA ROTA'!X100</f>
        <v>117783.3333</v>
      </c>
      <c r="AY39" s="27"/>
      <c r="AZ39" s="27"/>
      <c r="BA39" s="27"/>
      <c r="BB39" s="27"/>
      <c r="BC39" s="27"/>
      <c r="BD39" s="27">
        <f t="shared" si="13"/>
        <v>117783.3333</v>
      </c>
    </row>
    <row r="40" ht="14.25" customHeight="1">
      <c r="I40" s="227" t="s">
        <v>436</v>
      </c>
      <c r="J40" s="228">
        <f>J33+U6+AM40+BE46</f>
        <v>1040867075</v>
      </c>
      <c r="AE40" s="110"/>
      <c r="AK40" s="222" t="s">
        <v>441</v>
      </c>
      <c r="AL40" s="229"/>
      <c r="AM40" s="33">
        <f>AM12+AM37+AM24</f>
        <v>47793200</v>
      </c>
      <c r="AW40" s="26" t="s">
        <v>33</v>
      </c>
      <c r="AX40" s="27"/>
      <c r="AY40" s="27"/>
      <c r="AZ40" s="27"/>
      <c r="BA40" s="27"/>
      <c r="BB40" s="27"/>
      <c r="BC40" s="27"/>
      <c r="BD40" s="27">
        <f t="shared" si="13"/>
        <v>0</v>
      </c>
    </row>
    <row r="41" ht="14.25" customHeight="1">
      <c r="AW41" s="26" t="s">
        <v>8</v>
      </c>
      <c r="AX41" s="27"/>
      <c r="AY41" s="27"/>
      <c r="AZ41" s="27"/>
      <c r="BA41" s="27"/>
      <c r="BB41" s="27"/>
      <c r="BC41" s="27"/>
      <c r="BD41" s="27">
        <f t="shared" si="13"/>
        <v>0</v>
      </c>
    </row>
    <row r="42" ht="14.25" customHeight="1">
      <c r="AW42" s="26" t="s">
        <v>31</v>
      </c>
      <c r="AX42" s="27"/>
      <c r="AY42" s="27"/>
      <c r="AZ42" s="27"/>
      <c r="BA42" s="27"/>
      <c r="BB42" s="27"/>
      <c r="BC42" s="27"/>
      <c r="BD42" s="27">
        <f t="shared" si="13"/>
        <v>0</v>
      </c>
    </row>
    <row r="43" ht="14.25" customHeight="1">
      <c r="AW43" s="32" t="s">
        <v>48</v>
      </c>
      <c r="AX43" s="33">
        <f t="shared" ref="AX43:BD43" si="14">SUM(AX37:AX42)</f>
        <v>117783.3333</v>
      </c>
      <c r="AY43" s="33">
        <f t="shared" si="14"/>
        <v>0</v>
      </c>
      <c r="AZ43" s="33">
        <f t="shared" si="14"/>
        <v>0</v>
      </c>
      <c r="BA43" s="33">
        <f t="shared" si="14"/>
        <v>0</v>
      </c>
      <c r="BB43" s="33">
        <f t="shared" si="14"/>
        <v>0</v>
      </c>
      <c r="BC43" s="33">
        <f t="shared" si="14"/>
        <v>33066.66667</v>
      </c>
      <c r="BD43" s="33">
        <f t="shared" si="14"/>
        <v>150850</v>
      </c>
    </row>
    <row r="44" ht="14.25" customHeight="1">
      <c r="BD44" s="4" t="s">
        <v>210</v>
      </c>
      <c r="BE44" s="33">
        <f>BD43*52</f>
        <v>7844200</v>
      </c>
    </row>
    <row r="45" ht="14.25" customHeight="1"/>
    <row r="46" ht="14.25" customHeight="1">
      <c r="BC46" s="222" t="s">
        <v>442</v>
      </c>
      <c r="BD46" s="47"/>
      <c r="BE46" s="33">
        <f>BE22+BE44</f>
        <v>330298800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B1:Q1"/>
    <mergeCell ref="T1:X1"/>
    <mergeCell ref="AA1:AM1"/>
    <mergeCell ref="AQ1:BE1"/>
    <mergeCell ref="B3:H3"/>
    <mergeCell ref="AA3:AC3"/>
    <mergeCell ref="AE3:AL3"/>
    <mergeCell ref="AE28:AL28"/>
    <mergeCell ref="AK40:AL40"/>
    <mergeCell ref="BC46:BD46"/>
    <mergeCell ref="AR3:AT3"/>
    <mergeCell ref="AW3:BC3"/>
    <mergeCell ref="AW13:BD13"/>
    <mergeCell ref="AE15:AL15"/>
    <mergeCell ref="B24:I24"/>
    <mergeCell ref="AW25:BC25"/>
    <mergeCell ref="AW35:BD35"/>
  </mergeCells>
  <printOptions/>
  <pageMargins bottom="0.787401575" footer="0.0" header="0.0" left="0.511811024" right="0.511811024" top="0.7874015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36.43"/>
    <col customWidth="1" min="4" max="8" width="18.0"/>
  </cols>
  <sheetData>
    <row r="1" ht="14.25" customHeight="1"/>
    <row r="2" ht="14.25" customHeight="1">
      <c r="D2" s="230">
        <v>45291.0</v>
      </c>
      <c r="E2" s="230">
        <v>45657.0</v>
      </c>
      <c r="F2" s="230">
        <v>46022.0</v>
      </c>
      <c r="G2" s="230">
        <v>46387.0</v>
      </c>
      <c r="H2" s="230">
        <v>46752.0</v>
      </c>
    </row>
    <row r="3" ht="14.25" customHeight="1">
      <c r="C3" s="4" t="s">
        <v>443</v>
      </c>
      <c r="D3" s="4" t="s">
        <v>444</v>
      </c>
      <c r="E3" s="4" t="s">
        <v>445</v>
      </c>
      <c r="F3" s="4" t="s">
        <v>446</v>
      </c>
      <c r="G3" s="4" t="s">
        <v>447</v>
      </c>
      <c r="H3" s="4" t="s">
        <v>448</v>
      </c>
    </row>
    <row r="4" ht="14.25" customHeight="1">
      <c r="B4" s="29"/>
      <c r="C4" s="231" t="s">
        <v>449</v>
      </c>
      <c r="D4" s="232">
        <f>H4*60%</f>
        <v>2058777107</v>
      </c>
      <c r="E4" s="232">
        <f>H4*70%</f>
        <v>2401906625</v>
      </c>
      <c r="F4" s="232">
        <f>H4*80%</f>
        <v>2745036142</v>
      </c>
      <c r="G4" s="232">
        <f>H4*90%</f>
        <v>3088165660</v>
      </c>
      <c r="H4" s="232">
        <f>'OTIMIZA ROTA'!AX41</f>
        <v>3431295178</v>
      </c>
    </row>
    <row r="5" ht="14.25" customHeight="1">
      <c r="B5" s="29"/>
      <c r="C5" s="233" t="s">
        <v>450</v>
      </c>
      <c r="D5" s="234">
        <f t="shared" ref="D5:H5" si="1">D6+D11+D12+D15+D19+D18</f>
        <v>1114165427</v>
      </c>
      <c r="E5" s="234">
        <f t="shared" si="1"/>
        <v>1218252134</v>
      </c>
      <c r="F5" s="234">
        <f t="shared" si="1"/>
        <v>1322338841</v>
      </c>
      <c r="G5" s="234">
        <f t="shared" si="1"/>
        <v>1426425549</v>
      </c>
      <c r="H5" s="234">
        <f t="shared" si="1"/>
        <v>1530512256</v>
      </c>
    </row>
    <row r="6" ht="14.25" customHeight="1">
      <c r="C6" s="235" t="s">
        <v>451</v>
      </c>
      <c r="D6" s="236">
        <f t="shared" ref="D6:H6" si="2">D7+D8</f>
        <v>373165181.8</v>
      </c>
      <c r="E6" s="236">
        <f t="shared" si="2"/>
        <v>373165181.8</v>
      </c>
      <c r="F6" s="236">
        <f t="shared" si="2"/>
        <v>373165181.8</v>
      </c>
      <c r="G6" s="236">
        <f t="shared" si="2"/>
        <v>373165181.8</v>
      </c>
      <c r="H6" s="236">
        <f t="shared" si="2"/>
        <v>373165181.8</v>
      </c>
    </row>
    <row r="7" ht="14.25" customHeight="1">
      <c r="C7" s="237" t="s">
        <v>452</v>
      </c>
      <c r="D7" s="8">
        <v>1.8345217618044192E8</v>
      </c>
      <c r="E7" s="8">
        <v>1.8345217618044192E8</v>
      </c>
      <c r="F7" s="8">
        <v>1.8345217618044192E8</v>
      </c>
      <c r="G7" s="8">
        <v>1.8345217618044192E8</v>
      </c>
      <c r="H7" s="8">
        <f>PROFORMA!X8</f>
        <v>183452176.2</v>
      </c>
    </row>
    <row r="8" ht="14.25" customHeight="1">
      <c r="C8" s="237" t="s">
        <v>453</v>
      </c>
      <c r="D8" s="238">
        <f t="shared" ref="D8:H8" si="3">D9+D10</f>
        <v>189713005.6</v>
      </c>
      <c r="E8" s="238">
        <f t="shared" si="3"/>
        <v>189713005.6</v>
      </c>
      <c r="F8" s="238">
        <f t="shared" si="3"/>
        <v>189713005.6</v>
      </c>
      <c r="G8" s="238">
        <f t="shared" si="3"/>
        <v>189713005.6</v>
      </c>
      <c r="H8" s="238">
        <f t="shared" si="3"/>
        <v>189713005.6</v>
      </c>
    </row>
    <row r="9" ht="14.25" customHeight="1">
      <c r="C9" s="239" t="s">
        <v>358</v>
      </c>
      <c r="D9" s="8">
        <v>1.777539114039713E8</v>
      </c>
      <c r="E9" s="8">
        <v>1.777539114039713E8</v>
      </c>
      <c r="F9" s="8">
        <v>1.777539114039713E8</v>
      </c>
      <c r="G9" s="8">
        <v>1.777539114039713E8</v>
      </c>
      <c r="H9" s="8">
        <f>PROFORMA!X6</f>
        <v>177753911.4</v>
      </c>
    </row>
    <row r="10" ht="14.25" customHeight="1">
      <c r="C10" s="239" t="s">
        <v>133</v>
      </c>
      <c r="D10" s="8">
        <v>1.1959094200425642E7</v>
      </c>
      <c r="E10" s="8">
        <v>1.1959094200425642E7</v>
      </c>
      <c r="F10" s="8">
        <v>1.1959094200425642E7</v>
      </c>
      <c r="G10" s="8">
        <v>1.1959094200425642E7</v>
      </c>
      <c r="H10" s="8">
        <f>PROFORMA!X5+PROFORMA!X4</f>
        <v>11959094.2</v>
      </c>
    </row>
    <row r="11" ht="14.25" customHeight="1">
      <c r="C11" s="235" t="s">
        <v>454</v>
      </c>
      <c r="D11" s="240">
        <v>1.1648E8</v>
      </c>
      <c r="E11" s="240">
        <v>1.1648E8</v>
      </c>
      <c r="F11" s="240">
        <v>1.1648E8</v>
      </c>
      <c r="G11" s="240">
        <v>1.1648E8</v>
      </c>
      <c r="H11" s="240">
        <f>PROFORMA!X7</f>
        <v>116480000</v>
      </c>
    </row>
    <row r="12" ht="14.25" customHeight="1">
      <c r="C12" s="235" t="s">
        <v>455</v>
      </c>
      <c r="D12" s="236">
        <f t="shared" ref="D12:H12" si="4">D13+D14</f>
        <v>198179280</v>
      </c>
      <c r="E12" s="236">
        <f t="shared" si="4"/>
        <v>231209160</v>
      </c>
      <c r="F12" s="236">
        <f t="shared" si="4"/>
        <v>264239040</v>
      </c>
      <c r="G12" s="236">
        <f t="shared" si="4"/>
        <v>297268920</v>
      </c>
      <c r="H12" s="236">
        <f t="shared" si="4"/>
        <v>330298800</v>
      </c>
    </row>
    <row r="13" ht="14.25" customHeight="1">
      <c r="C13" s="241" t="s">
        <v>456</v>
      </c>
      <c r="D13" s="242">
        <f t="shared" ref="D13:D14" si="5">H13*60%</f>
        <v>193472760</v>
      </c>
      <c r="E13" s="242">
        <f t="shared" ref="E13:E14" si="6">H13*70%</f>
        <v>225718220</v>
      </c>
      <c r="F13" s="242">
        <f t="shared" ref="F13:F14" si="7">H13*80%</f>
        <v>257963680</v>
      </c>
      <c r="G13" s="242">
        <f t="shared" ref="G13:G14" si="8">H13*90%</f>
        <v>290209140</v>
      </c>
      <c r="H13" s="242">
        <f>CUSTOS!BE22</f>
        <v>322454600</v>
      </c>
    </row>
    <row r="14" ht="14.25" customHeight="1">
      <c r="C14" s="241" t="s">
        <v>457</v>
      </c>
      <c r="D14" s="242">
        <f t="shared" si="5"/>
        <v>4706520</v>
      </c>
      <c r="E14" s="242">
        <f t="shared" si="6"/>
        <v>5490940</v>
      </c>
      <c r="F14" s="242">
        <f t="shared" si="7"/>
        <v>6275360</v>
      </c>
      <c r="G14" s="242">
        <f t="shared" si="8"/>
        <v>7059780</v>
      </c>
      <c r="H14" s="242">
        <f>CUSTOS!BE44</f>
        <v>7844200</v>
      </c>
    </row>
    <row r="15" ht="14.25" customHeight="1">
      <c r="C15" s="235" t="s">
        <v>458</v>
      </c>
      <c r="D15" s="236">
        <f t="shared" ref="D15:H15" si="9">D16+D17</f>
        <v>28675920</v>
      </c>
      <c r="E15" s="236">
        <f t="shared" si="9"/>
        <v>33455240</v>
      </c>
      <c r="F15" s="236">
        <f t="shared" si="9"/>
        <v>38234560</v>
      </c>
      <c r="G15" s="236">
        <f t="shared" si="9"/>
        <v>43013880</v>
      </c>
      <c r="H15" s="236">
        <f t="shared" si="9"/>
        <v>47793200</v>
      </c>
    </row>
    <row r="16" ht="14.25" customHeight="1">
      <c r="C16" s="241" t="s">
        <v>459</v>
      </c>
      <c r="D16" s="242">
        <f t="shared" ref="D16:D19" si="10">H16*60%</f>
        <v>25334400</v>
      </c>
      <c r="E16" s="242">
        <f t="shared" ref="E16:E19" si="11">H16*70%</f>
        <v>29556800</v>
      </c>
      <c r="F16" s="242">
        <f t="shared" ref="F16:F19" si="12">H16*80%</f>
        <v>33779200</v>
      </c>
      <c r="G16" s="242">
        <f t="shared" ref="G16:G19" si="13">H16*90%</f>
        <v>38001600</v>
      </c>
      <c r="H16" s="242">
        <f>CUSTOS!AM12+CUSTOS!AM37</f>
        <v>42224000</v>
      </c>
    </row>
    <row r="17" ht="14.25" customHeight="1">
      <c r="C17" s="241" t="s">
        <v>460</v>
      </c>
      <c r="D17" s="242">
        <f t="shared" si="10"/>
        <v>3341520</v>
      </c>
      <c r="E17" s="242">
        <f t="shared" si="11"/>
        <v>3898440</v>
      </c>
      <c r="F17" s="242">
        <f t="shared" si="12"/>
        <v>4455360</v>
      </c>
      <c r="G17" s="242">
        <f t="shared" si="13"/>
        <v>5012280</v>
      </c>
      <c r="H17" s="242">
        <f>CUSTOS!AM24</f>
        <v>5569200</v>
      </c>
    </row>
    <row r="18" ht="14.25" customHeight="1">
      <c r="C18" s="235" t="s">
        <v>461</v>
      </c>
      <c r="D18" s="242">
        <f t="shared" si="10"/>
        <v>376835211.9</v>
      </c>
      <c r="E18" s="242">
        <f t="shared" si="11"/>
        <v>439641080.6</v>
      </c>
      <c r="F18" s="242">
        <f t="shared" si="12"/>
        <v>502446949.2</v>
      </c>
      <c r="G18" s="242">
        <f t="shared" si="13"/>
        <v>565252817.9</v>
      </c>
      <c r="H18" s="236">
        <f>CUSTOS!J33</f>
        <v>628058686.5</v>
      </c>
    </row>
    <row r="19" ht="14.25" customHeight="1">
      <c r="C19" s="235" t="s">
        <v>462</v>
      </c>
      <c r="D19" s="236">
        <f t="shared" si="10"/>
        <v>20829832.85</v>
      </c>
      <c r="E19" s="236">
        <f t="shared" si="11"/>
        <v>24301471.66</v>
      </c>
      <c r="F19" s="236">
        <f t="shared" si="12"/>
        <v>27773110.46</v>
      </c>
      <c r="G19" s="236">
        <f t="shared" si="13"/>
        <v>31244749.27</v>
      </c>
      <c r="H19" s="236">
        <f>CUSTOS!$U$6</f>
        <v>34716388.08</v>
      </c>
    </row>
    <row r="20" ht="14.25" customHeight="1">
      <c r="C20" s="243" t="s">
        <v>463</v>
      </c>
      <c r="D20" s="232">
        <f t="shared" ref="D20:H20" si="14">D4-D5</f>
        <v>944611680.3</v>
      </c>
      <c r="E20" s="232">
        <f t="shared" si="14"/>
        <v>1183654491</v>
      </c>
      <c r="F20" s="232">
        <f t="shared" si="14"/>
        <v>1422697301</v>
      </c>
      <c r="G20" s="232">
        <f t="shared" si="14"/>
        <v>1661740111</v>
      </c>
      <c r="H20" s="232">
        <f t="shared" si="14"/>
        <v>1900782922</v>
      </c>
    </row>
    <row r="21" ht="14.25" customHeight="1">
      <c r="C21" s="244" t="s">
        <v>464</v>
      </c>
      <c r="D21" s="234">
        <f t="shared" ref="D21:H21" si="15">D22</f>
        <v>25167792</v>
      </c>
      <c r="E21" s="234">
        <f t="shared" si="15"/>
        <v>29362424</v>
      </c>
      <c r="F21" s="234">
        <f t="shared" si="15"/>
        <v>33557056</v>
      </c>
      <c r="G21" s="234">
        <f t="shared" si="15"/>
        <v>37751688</v>
      </c>
      <c r="H21" s="234">
        <f t="shared" si="15"/>
        <v>41946320</v>
      </c>
    </row>
    <row r="22" ht="14.25" customHeight="1">
      <c r="C22" s="245" t="s">
        <v>465</v>
      </c>
      <c r="D22" s="242">
        <f>H22*60%</f>
        <v>25167792</v>
      </c>
      <c r="E22" s="242">
        <f>H22*70%</f>
        <v>29362424</v>
      </c>
      <c r="F22" s="242">
        <f>H22*80%</f>
        <v>33557056</v>
      </c>
      <c r="G22" s="242">
        <f>H22*90%</f>
        <v>37751688</v>
      </c>
      <c r="H22" s="8">
        <f>'OTIMIZA ROTA'!$R$104*52*212</f>
        <v>41946320</v>
      </c>
    </row>
    <row r="23" ht="14.25" customHeight="1">
      <c r="C23" s="246" t="s">
        <v>466</v>
      </c>
      <c r="D23" s="247">
        <f t="shared" ref="D23:H23" si="16">D20-D21</f>
        <v>919443888.3</v>
      </c>
      <c r="E23" s="247">
        <f t="shared" si="16"/>
        <v>1154292067</v>
      </c>
      <c r="F23" s="247">
        <f t="shared" si="16"/>
        <v>1389140245</v>
      </c>
      <c r="G23" s="247">
        <f t="shared" si="16"/>
        <v>1623988423</v>
      </c>
      <c r="H23" s="247">
        <f t="shared" si="16"/>
        <v>1858836602</v>
      </c>
    </row>
    <row r="24" ht="14.25" customHeight="1"/>
    <row r="25" ht="14.25" customHeight="1">
      <c r="C25" s="248" t="s">
        <v>467</v>
      </c>
      <c r="D25" s="249">
        <v>0.2</v>
      </c>
    </row>
    <row r="26" ht="14.25" customHeight="1">
      <c r="C26" s="37" t="s">
        <v>468</v>
      </c>
      <c r="D26" s="36">
        <f t="array" ref="D26">NPV(D25,D23:H23)</f>
        <v>3901893728</v>
      </c>
    </row>
    <row r="27" ht="14.25" customHeight="1">
      <c r="C27" s="37" t="s">
        <v>469</v>
      </c>
      <c r="D27" s="38" t="str">
        <f>XIRR(D23:H23,D2:H2)</f>
        <v>#NUM!</v>
      </c>
      <c r="E27" s="250" t="s">
        <v>470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4.43"/>
    <col customWidth="1" min="2" max="2" width="21.29"/>
    <col customWidth="1" min="3" max="3" width="14.14"/>
    <col customWidth="1" min="4" max="4" width="13.71"/>
    <col customWidth="1" min="5" max="5" width="17.86"/>
    <col customWidth="1" min="6" max="6" width="10.14"/>
    <col customWidth="1" min="7" max="7" width="13.29"/>
    <col customWidth="1" min="8" max="8" width="9.86"/>
    <col customWidth="1" min="9" max="9" width="10.43"/>
    <col customWidth="1" min="10" max="10" width="19.29"/>
    <col customWidth="1" min="11" max="11" width="12.71"/>
    <col customWidth="1" min="12" max="12" width="16.43"/>
    <col customWidth="1" min="13" max="13" width="13.43"/>
    <col customWidth="1" min="14" max="14" width="14.86"/>
    <col customWidth="1" min="15" max="15" width="15.71"/>
    <col customWidth="1" min="16" max="16" width="13.86"/>
    <col customWidth="1" min="17" max="17" width="15.14"/>
    <col customWidth="1" min="18" max="18" width="18.86"/>
    <col customWidth="1" min="19" max="19" width="11.43"/>
    <col customWidth="1" min="20" max="20" width="19.29"/>
    <col customWidth="1" min="21" max="21" width="16.43"/>
    <col customWidth="1" min="22" max="22" width="15.29"/>
    <col customWidth="1" min="23" max="23" width="13.43"/>
    <col customWidth="1" min="24" max="24" width="19.29"/>
    <col customWidth="1" min="27" max="27" width="12.29"/>
    <col customWidth="1" min="28" max="28" width="11.86"/>
    <col customWidth="1" min="29" max="29" width="12.29"/>
    <col customWidth="1" min="30" max="30" width="13.43"/>
    <col customWidth="1" min="33" max="33" width="17.43"/>
    <col customWidth="1" min="34" max="34" width="17.0"/>
    <col customWidth="1" min="35" max="35" width="16.14"/>
  </cols>
  <sheetData>
    <row r="1">
      <c r="O1" s="251"/>
    </row>
    <row r="3">
      <c r="B3" s="252" t="s">
        <v>336</v>
      </c>
      <c r="C3" s="253" t="s">
        <v>471</v>
      </c>
      <c r="D3" s="253" t="s">
        <v>472</v>
      </c>
      <c r="E3" s="253" t="s">
        <v>473</v>
      </c>
      <c r="F3" s="253" t="s">
        <v>474</v>
      </c>
      <c r="G3" s="29"/>
      <c r="H3" s="254" t="s">
        <v>336</v>
      </c>
      <c r="I3" s="21"/>
      <c r="J3" s="253" t="s">
        <v>360</v>
      </c>
      <c r="K3" s="253" t="s">
        <v>337</v>
      </c>
      <c r="L3" s="29"/>
      <c r="M3" s="255" t="s">
        <v>475</v>
      </c>
      <c r="N3" s="20"/>
      <c r="O3" s="256">
        <v>4.0</v>
      </c>
      <c r="P3" s="257"/>
      <c r="Q3" s="29"/>
      <c r="R3" s="258" t="s">
        <v>476</v>
      </c>
      <c r="S3" s="20"/>
      <c r="T3" s="21"/>
      <c r="U3" s="253" t="s">
        <v>360</v>
      </c>
      <c r="V3" s="253" t="s">
        <v>477</v>
      </c>
      <c r="W3" s="29"/>
      <c r="X3" s="253" t="s">
        <v>134</v>
      </c>
      <c r="Y3" s="29"/>
      <c r="Z3" s="29"/>
      <c r="AA3" s="29"/>
      <c r="AD3" s="29"/>
      <c r="AE3" s="29"/>
      <c r="AF3" s="29"/>
      <c r="AG3" s="29"/>
      <c r="AH3" s="29"/>
      <c r="AI3" s="29"/>
      <c r="AJ3" s="29"/>
    </row>
    <row r="4">
      <c r="B4" s="259" t="s">
        <v>478</v>
      </c>
      <c r="C4" s="260">
        <f>SUM(C5:C8)</f>
        <v>214.511746</v>
      </c>
      <c r="D4" s="261">
        <f t="shared" ref="D4:D12" si="1">C4/24</f>
        <v>8.937989418</v>
      </c>
      <c r="E4" s="262"/>
      <c r="F4" s="263">
        <f t="shared" ref="F4:F12" si="2">C4/$C$12</f>
        <v>0.3160536907</v>
      </c>
      <c r="G4" s="29"/>
      <c r="H4" s="255" t="s">
        <v>479</v>
      </c>
      <c r="I4" s="20"/>
      <c r="J4" s="264">
        <f>SUM(Y18:Y31)</f>
        <v>7022.703755</v>
      </c>
      <c r="K4" s="179" t="s">
        <v>480</v>
      </c>
      <c r="L4" s="29"/>
      <c r="M4" s="255" t="s">
        <v>481</v>
      </c>
      <c r="N4" s="20"/>
      <c r="O4" s="256">
        <v>3500.0</v>
      </c>
      <c r="P4" s="257" t="s">
        <v>4</v>
      </c>
      <c r="Q4" s="29"/>
      <c r="R4" s="255" t="s">
        <v>482</v>
      </c>
      <c r="S4" s="20"/>
      <c r="T4" s="21"/>
      <c r="U4" s="265">
        <f>J7*J9*D4</f>
        <v>77872.59032</v>
      </c>
      <c r="V4" s="266">
        <f t="shared" ref="V4:V8" si="3">U4/$U$9</f>
        <v>0.008270018469</v>
      </c>
      <c r="W4" s="29"/>
      <c r="X4" s="1">
        <f t="shared" ref="X4:X8" si="4">U4*52</f>
        <v>4049374.697</v>
      </c>
      <c r="Y4" s="29"/>
      <c r="Z4" s="29"/>
      <c r="AA4" s="29"/>
      <c r="AD4" s="29"/>
      <c r="AE4" s="29"/>
      <c r="AF4" s="29"/>
      <c r="AG4" s="29"/>
      <c r="AH4" s="29"/>
      <c r="AI4" s="29"/>
      <c r="AJ4" s="29"/>
    </row>
    <row r="5">
      <c r="B5" s="179" t="s">
        <v>298</v>
      </c>
      <c r="C5" s="267">
        <f t="array" ref="C5">SUM(XLOOKUP(B5,$B$17:$AI$17,$B$18:$AI$31))</f>
        <v>7</v>
      </c>
      <c r="D5" s="268">
        <f t="shared" si="1"/>
        <v>0.2916666667</v>
      </c>
      <c r="E5" s="269">
        <f t="shared" ref="E5:E8" si="5">C5/$C$4</f>
        <v>0.03263224569</v>
      </c>
      <c r="F5" s="270">
        <f t="shared" si="2"/>
        <v>0.01031354169</v>
      </c>
      <c r="G5" s="29"/>
      <c r="H5" s="255" t="s">
        <v>483</v>
      </c>
      <c r="I5" s="20"/>
      <c r="J5" s="271">
        <f>AVERAGE(Z18:Z31)</f>
        <v>15.43832688</v>
      </c>
      <c r="K5" s="179" t="s">
        <v>484</v>
      </c>
      <c r="L5" s="29"/>
      <c r="M5" s="255" t="s">
        <v>485</v>
      </c>
      <c r="N5" s="20"/>
      <c r="O5" s="255">
        <v>7.0</v>
      </c>
      <c r="P5" s="257" t="s">
        <v>486</v>
      </c>
      <c r="Q5" s="29"/>
      <c r="R5" s="255" t="s">
        <v>487</v>
      </c>
      <c r="S5" s="20"/>
      <c r="T5" s="21"/>
      <c r="U5" s="265">
        <f>J8*J10*D9</f>
        <v>152109.9905</v>
      </c>
      <c r="V5" s="266">
        <f t="shared" si="3"/>
        <v>0.0161539821</v>
      </c>
      <c r="W5" s="29"/>
      <c r="X5" s="1">
        <f t="shared" si="4"/>
        <v>7909719.504</v>
      </c>
      <c r="Y5" s="29"/>
      <c r="Z5" s="29"/>
      <c r="AA5" s="29"/>
      <c r="AD5" s="29"/>
      <c r="AE5" s="29"/>
      <c r="AF5" s="29"/>
      <c r="AG5" s="29"/>
      <c r="AH5" s="29"/>
      <c r="AI5" s="29"/>
      <c r="AJ5" s="29"/>
    </row>
    <row r="6">
      <c r="B6" s="179" t="s">
        <v>488</v>
      </c>
      <c r="C6" s="267">
        <f>SUM(Q18:Q24)</f>
        <v>193.511746</v>
      </c>
      <c r="D6" s="268">
        <f t="shared" si="1"/>
        <v>8.062989418</v>
      </c>
      <c r="E6" s="269">
        <f t="shared" si="5"/>
        <v>0.9021032629</v>
      </c>
      <c r="F6" s="270">
        <f t="shared" si="2"/>
        <v>0.2851130657</v>
      </c>
      <c r="G6" s="29"/>
      <c r="H6" s="255" t="s">
        <v>351</v>
      </c>
      <c r="I6" s="20"/>
      <c r="J6" s="271">
        <f>LARGE(Z18:Z31,1)</f>
        <v>15.49706357</v>
      </c>
      <c r="K6" s="179" t="s">
        <v>484</v>
      </c>
      <c r="L6" s="29"/>
      <c r="M6" s="255" t="s">
        <v>489</v>
      </c>
      <c r="N6" s="20"/>
      <c r="O6" s="255">
        <v>28.0</v>
      </c>
      <c r="P6" s="257" t="s">
        <v>486</v>
      </c>
      <c r="Q6" s="29"/>
      <c r="R6" s="255" t="s">
        <v>490</v>
      </c>
      <c r="S6" s="20"/>
      <c r="T6" s="21"/>
      <c r="U6" s="265">
        <f>SUM(AH18:AH25)</f>
        <v>3418344.45</v>
      </c>
      <c r="V6" s="266">
        <f t="shared" si="3"/>
        <v>0.3630259584</v>
      </c>
      <c r="W6" s="29"/>
      <c r="X6" s="1">
        <f t="shared" si="4"/>
        <v>177753911.4</v>
      </c>
      <c r="Y6" s="29"/>
      <c r="Z6" s="29"/>
      <c r="AA6" s="29"/>
      <c r="AD6" s="29"/>
      <c r="AE6" s="29"/>
      <c r="AF6" s="29"/>
      <c r="AG6" s="29"/>
      <c r="AH6" s="29"/>
      <c r="AI6" s="29"/>
      <c r="AJ6" s="29"/>
    </row>
    <row r="7">
      <c r="B7" s="179" t="s">
        <v>301</v>
      </c>
      <c r="C7" s="267">
        <f t="shared" ref="C7:C8" si="6">SUM(XLOOKUP(B7,$B$17:$AI$17,$B$18:$AI$31))</f>
        <v>7</v>
      </c>
      <c r="D7" s="268">
        <f t="shared" si="1"/>
        <v>0.2916666667</v>
      </c>
      <c r="E7" s="269">
        <f t="shared" si="5"/>
        <v>0.03263224569</v>
      </c>
      <c r="F7" s="270">
        <f t="shared" si="2"/>
        <v>0.01031354169</v>
      </c>
      <c r="G7" s="29"/>
      <c r="H7" s="255" t="s">
        <v>491</v>
      </c>
      <c r="I7" s="20"/>
      <c r="J7" s="179">
        <f>'Combustíveis &amp; Taxa Câmbio'!D3*'Combustíveis &amp; Taxa Câmbio'!$D$8</f>
        <v>2904.18</v>
      </c>
      <c r="K7" s="179" t="s">
        <v>492</v>
      </c>
      <c r="L7" s="29"/>
      <c r="M7" s="255" t="s">
        <v>493</v>
      </c>
      <c r="N7" s="20"/>
      <c r="O7" s="272">
        <f>D12</f>
        <v>28.27997166</v>
      </c>
      <c r="P7" s="257" t="s">
        <v>486</v>
      </c>
      <c r="Q7" s="29"/>
      <c r="R7" s="255" t="s">
        <v>494</v>
      </c>
      <c r="S7" s="20"/>
      <c r="T7" s="21"/>
      <c r="U7" s="265">
        <f>SUM(AI18:AI31)</f>
        <v>2240000</v>
      </c>
      <c r="V7" s="266">
        <f t="shared" si="3"/>
        <v>0.2378865438</v>
      </c>
      <c r="W7" s="29"/>
      <c r="X7" s="1">
        <f t="shared" si="4"/>
        <v>116480000</v>
      </c>
      <c r="Y7" s="29"/>
      <c r="Z7" s="29"/>
      <c r="AA7" s="29"/>
      <c r="AD7" s="29"/>
      <c r="AE7" s="29"/>
      <c r="AF7" s="29"/>
      <c r="AG7" s="29"/>
      <c r="AH7" s="29"/>
      <c r="AI7" s="29"/>
      <c r="AJ7" s="29"/>
    </row>
    <row r="8">
      <c r="B8" s="179" t="s">
        <v>303</v>
      </c>
      <c r="C8" s="267">
        <f t="shared" si="6"/>
        <v>7</v>
      </c>
      <c r="D8" s="268">
        <f t="shared" si="1"/>
        <v>0.2916666667</v>
      </c>
      <c r="E8" s="269">
        <f t="shared" si="5"/>
        <v>0.03263224569</v>
      </c>
      <c r="F8" s="270">
        <f t="shared" si="2"/>
        <v>0.01031354169</v>
      </c>
      <c r="G8" s="29"/>
      <c r="H8" s="255" t="s">
        <v>495</v>
      </c>
      <c r="I8" s="20"/>
      <c r="J8" s="179">
        <f>'Combustíveis &amp; Taxa Câmbio'!D4*'Combustíveis &amp; Taxa Câmbio'!$D$8</f>
        <v>3932.12</v>
      </c>
      <c r="K8" s="179" t="s">
        <v>492</v>
      </c>
      <c r="L8" s="29"/>
      <c r="M8" s="255" t="s">
        <v>496</v>
      </c>
      <c r="N8" s="20"/>
      <c r="O8" s="255">
        <v>672.0</v>
      </c>
      <c r="P8" s="257" t="s">
        <v>497</v>
      </c>
      <c r="Q8" s="29"/>
      <c r="R8" s="273" t="s">
        <v>498</v>
      </c>
      <c r="S8" s="274"/>
      <c r="T8" s="275"/>
      <c r="U8" s="276">
        <f>(Navios!D5*'Combustíveis &amp; Taxa Câmbio'!D8)*PROFORMA!O7</f>
        <v>3527926.465</v>
      </c>
      <c r="V8" s="266">
        <f t="shared" si="3"/>
        <v>0.3746634972</v>
      </c>
      <c r="W8" s="29"/>
      <c r="X8" s="277">
        <f t="shared" si="4"/>
        <v>183452176.2</v>
      </c>
      <c r="Y8" s="29"/>
      <c r="Z8" s="29"/>
      <c r="AA8" s="29"/>
      <c r="AD8" s="29"/>
      <c r="AE8" s="29"/>
      <c r="AF8" s="29"/>
      <c r="AG8" s="29"/>
      <c r="AH8" s="29"/>
      <c r="AI8" s="29"/>
      <c r="AJ8" s="29"/>
    </row>
    <row r="9">
      <c r="B9" s="278" t="s">
        <v>499</v>
      </c>
      <c r="C9" s="279">
        <f>SUM(C10:C11)</f>
        <v>464.2075739</v>
      </c>
      <c r="D9" s="280">
        <f t="shared" si="1"/>
        <v>19.34198225</v>
      </c>
      <c r="E9" s="281"/>
      <c r="F9" s="282">
        <f t="shared" si="2"/>
        <v>0.6839463093</v>
      </c>
      <c r="G9" s="29"/>
      <c r="H9" s="255" t="s">
        <v>500</v>
      </c>
      <c r="I9" s="20"/>
      <c r="J9" s="179">
        <v>3.0</v>
      </c>
      <c r="K9" s="179" t="s">
        <v>347</v>
      </c>
      <c r="L9" s="29"/>
      <c r="M9" s="255" t="s">
        <v>501</v>
      </c>
      <c r="N9" s="20"/>
      <c r="O9" s="272">
        <f>O8-C4</f>
        <v>457.488254</v>
      </c>
      <c r="P9" s="257" t="s">
        <v>497</v>
      </c>
      <c r="Q9" s="29"/>
      <c r="R9" s="283" t="s">
        <v>502</v>
      </c>
      <c r="S9" s="284"/>
      <c r="T9" s="285"/>
      <c r="U9" s="286">
        <f t="shared" ref="U9:V9" si="7">SUM(U4:U8)</f>
        <v>9416253.496</v>
      </c>
      <c r="V9" s="287">
        <f t="shared" si="7"/>
        <v>1</v>
      </c>
      <c r="W9" s="29"/>
      <c r="X9" s="1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>
      <c r="B10" s="179" t="s">
        <v>503</v>
      </c>
      <c r="C10" s="267">
        <f>SUM(AC18:AC24)</f>
        <v>454.2075739</v>
      </c>
      <c r="D10" s="268">
        <f t="shared" si="1"/>
        <v>18.92531558</v>
      </c>
      <c r="E10" s="270">
        <f t="shared" ref="E10:E11" si="8">C10/$C$9</f>
        <v>0.9784579129</v>
      </c>
      <c r="F10" s="270">
        <f t="shared" si="2"/>
        <v>0.6692126783</v>
      </c>
      <c r="G10" s="29"/>
      <c r="H10" s="255" t="s">
        <v>504</v>
      </c>
      <c r="I10" s="20"/>
      <c r="J10" s="179">
        <v>2.0</v>
      </c>
      <c r="K10" s="179" t="s">
        <v>347</v>
      </c>
      <c r="L10" s="29"/>
      <c r="M10" s="255" t="s">
        <v>505</v>
      </c>
      <c r="N10" s="20"/>
      <c r="O10" s="272">
        <f>ABS(O7-O6)</f>
        <v>0.2799716634</v>
      </c>
      <c r="P10" s="257" t="s">
        <v>486</v>
      </c>
      <c r="Q10" s="29"/>
      <c r="R10" s="29"/>
      <c r="S10" s="29"/>
      <c r="T10" s="29"/>
      <c r="U10" s="29"/>
      <c r="V10" s="29"/>
      <c r="W10" s="29"/>
      <c r="X10" s="277">
        <f>U9*52</f>
        <v>489645181.8</v>
      </c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>
      <c r="B11" s="179" t="s">
        <v>506</v>
      </c>
      <c r="C11" s="267">
        <f>SUM(U18:U31,G18:G24)</f>
        <v>10</v>
      </c>
      <c r="D11" s="268">
        <f t="shared" si="1"/>
        <v>0.4166666667</v>
      </c>
      <c r="E11" s="270">
        <f t="shared" si="8"/>
        <v>0.02154208712</v>
      </c>
      <c r="F11" s="270">
        <f t="shared" si="2"/>
        <v>0.01473363098</v>
      </c>
      <c r="G11" s="29"/>
      <c r="H11" s="255" t="s">
        <v>507</v>
      </c>
      <c r="I11" s="20"/>
      <c r="J11" s="179"/>
      <c r="K11" s="179" t="s">
        <v>508</v>
      </c>
      <c r="L11" s="29"/>
      <c r="M11" s="288" t="s">
        <v>509</v>
      </c>
      <c r="N11" s="58"/>
      <c r="O11" s="289">
        <f>O10/O6</f>
        <v>0.009998987978</v>
      </c>
      <c r="P11" s="290"/>
      <c r="Q11" s="29"/>
      <c r="R11" s="291" t="s">
        <v>510</v>
      </c>
      <c r="S11" s="20"/>
      <c r="T11" s="21"/>
      <c r="U11" s="292"/>
      <c r="V11" s="292" t="s">
        <v>4</v>
      </c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>
      <c r="B12" s="278" t="s">
        <v>511</v>
      </c>
      <c r="C12" s="279">
        <f>SUM(C4,C9)</f>
        <v>678.7193199</v>
      </c>
      <c r="D12" s="293">
        <f t="shared" si="1"/>
        <v>28.27997166</v>
      </c>
      <c r="E12" s="281"/>
      <c r="F12" s="282">
        <f t="shared" si="2"/>
        <v>1</v>
      </c>
      <c r="G12" s="29"/>
      <c r="H12" s="255" t="s">
        <v>512</v>
      </c>
      <c r="I12" s="20"/>
      <c r="J12" s="179"/>
      <c r="K12" s="179" t="s">
        <v>492</v>
      </c>
      <c r="L12" s="29"/>
      <c r="M12" s="255" t="s">
        <v>513</v>
      </c>
      <c r="N12" s="20"/>
      <c r="O12" s="272">
        <f>SUM(AE18:AE24)/24</f>
        <v>0</v>
      </c>
      <c r="P12" s="257" t="s">
        <v>486</v>
      </c>
      <c r="Q12" s="29"/>
      <c r="R12" s="291" t="s">
        <v>514</v>
      </c>
      <c r="S12" s="20"/>
      <c r="T12" s="21"/>
      <c r="U12" s="292"/>
      <c r="V12" s="292" t="s">
        <v>515</v>
      </c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>
      <c r="B13" s="29"/>
      <c r="C13" s="29"/>
      <c r="D13" s="294">
        <f>D12/(O3*O5)</f>
        <v>1.009998988</v>
      </c>
      <c r="E13" s="29"/>
      <c r="F13" s="29"/>
      <c r="G13" s="29"/>
      <c r="H13" s="29"/>
      <c r="I13" s="29"/>
      <c r="J13" s="29"/>
      <c r="K13" s="29"/>
      <c r="L13" s="29"/>
      <c r="M13" s="288" t="s">
        <v>516</v>
      </c>
      <c r="N13" s="58"/>
      <c r="O13" s="289">
        <f>O12/28</f>
        <v>0</v>
      </c>
      <c r="P13" s="290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55" t="s">
        <v>517</v>
      </c>
      <c r="N14" s="20"/>
      <c r="O14" s="272">
        <f>O12+O10</f>
        <v>0.2799716634</v>
      </c>
      <c r="P14" s="257" t="s">
        <v>486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>
      <c r="B15" s="29"/>
      <c r="C15" s="29"/>
      <c r="D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>
      <c r="B16" s="29"/>
      <c r="C16" s="29"/>
      <c r="D16" s="19" t="s">
        <v>518</v>
      </c>
      <c r="E16" s="20"/>
      <c r="F16" s="20"/>
      <c r="G16" s="21"/>
      <c r="H16" s="295" t="s">
        <v>519</v>
      </c>
      <c r="I16" s="20"/>
      <c r="J16" s="21"/>
      <c r="K16" s="296" t="s">
        <v>520</v>
      </c>
      <c r="L16" s="20"/>
      <c r="M16" s="20"/>
      <c r="N16" s="20"/>
      <c r="O16" s="20"/>
      <c r="P16" s="20"/>
      <c r="Q16" s="21"/>
      <c r="R16" s="295" t="s">
        <v>521</v>
      </c>
      <c r="S16" s="20"/>
      <c r="T16" s="21"/>
      <c r="U16" s="297" t="s">
        <v>522</v>
      </c>
      <c r="V16" s="20"/>
      <c r="W16" s="20"/>
      <c r="X16" s="21"/>
      <c r="Y16" s="298" t="s">
        <v>523</v>
      </c>
      <c r="Z16" s="20"/>
      <c r="AA16" s="20"/>
      <c r="AB16" s="20"/>
      <c r="AC16" s="20"/>
      <c r="AD16" s="20"/>
      <c r="AE16" s="21"/>
      <c r="AF16" s="299" t="s">
        <v>524</v>
      </c>
      <c r="AG16" s="20"/>
      <c r="AH16" s="20"/>
      <c r="AI16" s="21"/>
      <c r="AJ16" s="29"/>
    </row>
    <row r="17">
      <c r="B17" s="300" t="s">
        <v>44</v>
      </c>
      <c r="C17" s="300" t="s">
        <v>525</v>
      </c>
      <c r="D17" s="300" t="s">
        <v>526</v>
      </c>
      <c r="E17" s="300" t="s">
        <v>527</v>
      </c>
      <c r="F17" s="300" t="s">
        <v>298</v>
      </c>
      <c r="G17" s="300" t="s">
        <v>299</v>
      </c>
      <c r="H17" s="300" t="s">
        <v>300</v>
      </c>
      <c r="I17" s="300" t="s">
        <v>526</v>
      </c>
      <c r="J17" s="300" t="s">
        <v>528</v>
      </c>
      <c r="K17" s="300" t="s">
        <v>529</v>
      </c>
      <c r="L17" s="300" t="s">
        <v>530</v>
      </c>
      <c r="M17" s="300" t="s">
        <v>531</v>
      </c>
      <c r="N17" s="300" t="s">
        <v>532</v>
      </c>
      <c r="O17" s="300" t="s">
        <v>533</v>
      </c>
      <c r="P17" s="300" t="s">
        <v>534</v>
      </c>
      <c r="Q17" s="300" t="s">
        <v>535</v>
      </c>
      <c r="R17" s="300" t="s">
        <v>301</v>
      </c>
      <c r="S17" s="300" t="s">
        <v>536</v>
      </c>
      <c r="T17" s="300" t="s">
        <v>537</v>
      </c>
      <c r="U17" s="300" t="s">
        <v>302</v>
      </c>
      <c r="V17" s="300" t="s">
        <v>303</v>
      </c>
      <c r="W17" s="300" t="s">
        <v>538</v>
      </c>
      <c r="X17" s="300" t="s">
        <v>539</v>
      </c>
      <c r="Y17" s="300" t="s">
        <v>540</v>
      </c>
      <c r="Z17" s="300" t="s">
        <v>541</v>
      </c>
      <c r="AA17" s="300" t="s">
        <v>542</v>
      </c>
      <c r="AB17" s="300" t="s">
        <v>543</v>
      </c>
      <c r="AC17" s="300" t="s">
        <v>471</v>
      </c>
      <c r="AD17" s="300" t="s">
        <v>472</v>
      </c>
      <c r="AE17" s="300" t="s">
        <v>544</v>
      </c>
      <c r="AF17" s="300" t="s">
        <v>545</v>
      </c>
      <c r="AG17" s="300" t="s">
        <v>546</v>
      </c>
      <c r="AH17" s="300" t="s">
        <v>547</v>
      </c>
      <c r="AI17" s="300" t="s">
        <v>494</v>
      </c>
      <c r="AJ17" s="29"/>
    </row>
    <row r="18">
      <c r="B18" s="69" t="s">
        <v>185</v>
      </c>
      <c r="C18" s="69">
        <v>0.0</v>
      </c>
      <c r="D18" s="69" t="str">
        <f t="shared" ref="D18:D25" si="9">IF(E18=0,"-",UPPER(TEXT(E18,"DDD")))</f>
        <v>DOM.</v>
      </c>
      <c r="E18" s="301">
        <f>DATE(2023,1,1)+4/24+C18</f>
        <v>44927.16667</v>
      </c>
      <c r="F18" s="302">
        <f t="array" ref="F18">XLOOKUP($B18,'Portos Tempos Operacionais'!$B$4:$B$19,XLOOKUP(F$17,'Portos Tempos Operacionais'!$C$3:$H$3,'Portos Tempos Operacionais'!$C$4:$H$19))</f>
        <v>1</v>
      </c>
      <c r="G18" s="302">
        <f t="array" ref="G18">XLOOKUP($B18,'Portos Tempos Operacionais'!$B$4:$B$19,XLOOKUP(G$17,'Portos Tempos Operacionais'!$C$3:$H$3,'Portos Tempos Operacionais'!$C$4:$H$19))</f>
        <v>1</v>
      </c>
      <c r="H18" s="302">
        <f t="array" ref="H18">XLOOKUP($B18,'Portos Tempos Operacionais'!$B$4:$B$19,XLOOKUP(H$17,'Portos Tempos Operacionais'!$C$3:$H$3,'Portos Tempos Operacionais'!$C$4:$H$19))</f>
        <v>1</v>
      </c>
      <c r="I18" s="69" t="str">
        <f t="shared" ref="I18:I24" si="10">IF(J18=0,"-",UPPER(TEXT(J18,"DDD")))</f>
        <v>DOM.</v>
      </c>
      <c r="J18" s="301">
        <f t="shared" ref="J18:J24" si="11">E18+(SUM(F18:H18)/24)</f>
        <v>44927.29167</v>
      </c>
      <c r="K18" s="303">
        <f>'OTIMIZA ROTA'!R102</f>
        <v>1125</v>
      </c>
      <c r="L18" s="303">
        <f>'OTIMIZA ROTA'!P104</f>
        <v>1125</v>
      </c>
      <c r="M18" s="303">
        <v>0.0</v>
      </c>
      <c r="N18" s="303">
        <v>0.0</v>
      </c>
      <c r="O18" s="68">
        <f t="shared" ref="O18:O24" si="12">SUM(K18:N18)</f>
        <v>2250</v>
      </c>
      <c r="P18" s="69">
        <v>50.0</v>
      </c>
      <c r="Q18" s="304">
        <f t="shared" ref="Q18:Q24" si="13">O18/P18</f>
        <v>45</v>
      </c>
      <c r="R18" s="302">
        <f t="array" ref="R18">XLOOKUP($B18,'Portos Tempos Operacionais'!$B$4:$B$19,XLOOKUP(R$17,'Portos Tempos Operacionais'!$C$3:$H$3,'Portos Tempos Operacionais'!$C$4:$H$19))</f>
        <v>1</v>
      </c>
      <c r="S18" s="69" t="str">
        <f t="shared" ref="S18:S24" si="14">IF(T18=0,"-",UPPER(TEXT(T18,"DDD")))</f>
        <v>TER.</v>
      </c>
      <c r="T18" s="301">
        <f t="shared" ref="T18:T24" si="15">J18+(SUM(Q18:R18)/24)</f>
        <v>44929.20833</v>
      </c>
      <c r="U18" s="302">
        <f t="array" ref="U18">XLOOKUP($B18,'Portos Tempos Operacionais'!$B$4:$B$19,XLOOKUP(U$17,'Portos Tempos Operacionais'!$C$3:$H$3,'Portos Tempos Operacionais'!$C$4:$H$19))</f>
        <v>1</v>
      </c>
      <c r="V18" s="302">
        <f t="array" ref="V18">XLOOKUP($B18,'Portos Tempos Operacionais'!$B$4:$B$19,XLOOKUP(V$17,'Portos Tempos Operacionais'!$C$3:$H$3,'Portos Tempos Operacionais'!$C$4:$H$19))</f>
        <v>1</v>
      </c>
      <c r="W18" s="69" t="str">
        <f t="shared" ref="W18:W24" si="16">IF(X18=0,"-",UPPER(TEXT(X18,"DDD")))</f>
        <v>TER.</v>
      </c>
      <c r="X18" s="301">
        <f t="shared" ref="X18:X24" si="17">T18+(SUM(U18:V18)/24)</f>
        <v>44929.29167</v>
      </c>
      <c r="Y18" s="305">
        <f t="array" ref="Y18">XLOOKUP($B18,'Distancia Portos'!$C$4:$C$19,XLOOKUP($B19,'Distancia Portos'!$D$3:$S$3,'Distancia Portos'!$D$4:$S$19))</f>
        <v>192.224692</v>
      </c>
      <c r="Z18" s="306">
        <v>15.350706210345004</v>
      </c>
      <c r="AA18" s="69">
        <v>0.0</v>
      </c>
      <c r="AB18" s="306">
        <f t="shared" ref="AB18:AB24" si="18">Z18-AA18</f>
        <v>15.35070621</v>
      </c>
      <c r="AC18" s="307">
        <f t="shared" ref="AC18:AC24" si="19">Y18/AB18</f>
        <v>12.52220513</v>
      </c>
      <c r="AD18" s="304">
        <f t="shared" ref="AD18:AD24" si="20">AC18/24</f>
        <v>0.5217585469</v>
      </c>
      <c r="AE18" s="69"/>
      <c r="AF18" s="308">
        <f t="shared" ref="AF18:AF24" si="21">((0.006754*AB18^3)+37.23)/24</f>
        <v>2.569219801</v>
      </c>
      <c r="AG18" s="304">
        <f t="shared" ref="AG18:AG24" si="22">AF18*AC18</f>
        <v>32.17229737</v>
      </c>
      <c r="AH18" s="309">
        <f t="shared" ref="AH18:AH24" si="23">AG18*$J$7</f>
        <v>93434.14257</v>
      </c>
      <c r="AI18" s="309">
        <f t="array" ref="AI18">XLOOKUP(B18,'Praticagem &amp; Rebocadores'!$B$4:$B$19,XLOOKUP("3500 TEU",'Praticagem &amp; Rebocadores'!$C$3:$F$3,'Praticagem &amp; Rebocadores'!$C$4:$F$19,TRUE))</f>
        <v>190000</v>
      </c>
      <c r="AJ18" s="29"/>
    </row>
    <row r="19">
      <c r="A19" s="310"/>
      <c r="B19" s="69" t="s">
        <v>193</v>
      </c>
      <c r="C19" s="307">
        <f t="shared" ref="C19:C20" si="24">E19-E18</f>
        <v>2.646758547</v>
      </c>
      <c r="D19" s="69" t="str">
        <f t="shared" si="9"/>
        <v>TER.</v>
      </c>
      <c r="E19" s="301">
        <f t="shared" ref="E19:E20" si="25">X18+(AC18/24)</f>
        <v>44929.81343</v>
      </c>
      <c r="F19" s="302">
        <f t="array" ref="F19">XLOOKUP($B19,'Portos Tempos Operacionais'!$B$4:$B$19,XLOOKUP(F$17,'Portos Tempos Operacionais'!$C$3:$H$3,'Portos Tempos Operacionais'!$C$4:$H$19))</f>
        <v>1</v>
      </c>
      <c r="G19" s="302">
        <f t="array" ref="G19">XLOOKUP($B19,'Portos Tempos Operacionais'!$B$4:$B$19,XLOOKUP(G$17,'Portos Tempos Operacionais'!$C$3:$H$3,'Portos Tempos Operacionais'!$C$4:$H$19))</f>
        <v>1</v>
      </c>
      <c r="H19" s="302">
        <f t="array" ref="H19">XLOOKUP($B19,'Portos Tempos Operacionais'!$B$4:$B$19,XLOOKUP(H$17,'Portos Tempos Operacionais'!$C$3:$H$3,'Portos Tempos Operacionais'!$C$4:$H$19))</f>
        <v>1</v>
      </c>
      <c r="I19" s="69" t="str">
        <f t="shared" si="10"/>
        <v>TER.</v>
      </c>
      <c r="J19" s="311">
        <f t="shared" si="11"/>
        <v>44929.93843</v>
      </c>
      <c r="K19" s="303">
        <f>'OTIMIZA ROTA'!R103</f>
        <v>275</v>
      </c>
      <c r="L19" s="303">
        <f>'OTIMIZA ROTA'!Q104</f>
        <v>211</v>
      </c>
      <c r="M19" s="303">
        <v>0.0</v>
      </c>
      <c r="N19" s="312">
        <v>64.0</v>
      </c>
      <c r="O19" s="68">
        <f t="shared" si="12"/>
        <v>550</v>
      </c>
      <c r="P19" s="69">
        <v>50.0</v>
      </c>
      <c r="Q19" s="304">
        <f t="shared" si="13"/>
        <v>11</v>
      </c>
      <c r="R19" s="302">
        <f t="array" ref="R19">XLOOKUP($B19,'Portos Tempos Operacionais'!$B$4:$B$19,XLOOKUP(R$17,'Portos Tempos Operacionais'!$C$3:$H$3,'Portos Tempos Operacionais'!$C$4:$H$19))</f>
        <v>1</v>
      </c>
      <c r="S19" s="69" t="str">
        <f t="shared" si="14"/>
        <v>QUA.</v>
      </c>
      <c r="T19" s="311">
        <f t="shared" si="15"/>
        <v>44930.43843</v>
      </c>
      <c r="U19" s="302">
        <f t="array" ref="U19">XLOOKUP($B19,'Portos Tempos Operacionais'!$B$4:$B$19,XLOOKUP(U$17,'Portos Tempos Operacionais'!$C$3:$H$3,'Portos Tempos Operacionais'!$C$4:$H$19))</f>
        <v>1</v>
      </c>
      <c r="V19" s="302">
        <f t="array" ref="V19">XLOOKUP($B19,'Portos Tempos Operacionais'!$B$4:$B$19,XLOOKUP(V$17,'Portos Tempos Operacionais'!$C$3:$H$3,'Portos Tempos Operacionais'!$C$4:$H$19))</f>
        <v>1</v>
      </c>
      <c r="W19" s="69" t="str">
        <f t="shared" si="16"/>
        <v>QUA.</v>
      </c>
      <c r="X19" s="311">
        <f t="shared" si="17"/>
        <v>44930.52176</v>
      </c>
      <c r="Y19" s="305">
        <f t="array" ref="Y19">XLOOKUP($B19,'Distancia Portos'!$C$4:$C$19,XLOOKUP($B20,'Distancia Portos'!$D$3:$S$3,'Distancia Portos'!$D$4:$S$19))</f>
        <v>1103.132151</v>
      </c>
      <c r="Z19" s="306">
        <v>15.451876417341023</v>
      </c>
      <c r="AA19" s="69">
        <v>0.0</v>
      </c>
      <c r="AB19" s="306">
        <f t="shared" si="18"/>
        <v>15.45187642</v>
      </c>
      <c r="AC19" s="307">
        <f t="shared" si="19"/>
        <v>71.39146866</v>
      </c>
      <c r="AD19" s="304">
        <f t="shared" si="20"/>
        <v>2.974644528</v>
      </c>
      <c r="AE19" s="69"/>
      <c r="AF19" s="308">
        <f t="shared" si="21"/>
        <v>2.589479806</v>
      </c>
      <c r="AG19" s="304">
        <f t="shared" si="22"/>
        <v>184.8667664</v>
      </c>
      <c r="AH19" s="309">
        <f t="shared" si="23"/>
        <v>536886.3657</v>
      </c>
      <c r="AI19" s="309">
        <f t="array" ref="AI19">XLOOKUP(B19,'Praticagem &amp; Rebocadores'!$B$4:$B$19,XLOOKUP("3500 TEU",'Praticagem &amp; Rebocadores'!$C$3:$F$3,'Praticagem &amp; Rebocadores'!$C$4:$F$19,TRUE))</f>
        <v>95000</v>
      </c>
      <c r="AJ19" s="29"/>
    </row>
    <row r="20">
      <c r="A20" s="310"/>
      <c r="B20" s="69" t="s">
        <v>169</v>
      </c>
      <c r="C20" s="307">
        <f t="shared" si="24"/>
        <v>3.682977861</v>
      </c>
      <c r="D20" s="69" t="str">
        <f t="shared" si="9"/>
        <v>SÁB.</v>
      </c>
      <c r="E20" s="301">
        <f t="shared" si="25"/>
        <v>44933.4964</v>
      </c>
      <c r="F20" s="302">
        <f t="array" ref="F20">XLOOKUP($B20,'Portos Tempos Operacionais'!$B$4:$B$19,XLOOKUP(F$17,'Portos Tempos Operacionais'!$C$3:$H$3,'Portos Tempos Operacionais'!$C$4:$H$19))</f>
        <v>1</v>
      </c>
      <c r="G20" s="302">
        <f t="array" ref="G20">XLOOKUP($B20,'Portos Tempos Operacionais'!$B$4:$B$19,XLOOKUP(G$17,'Portos Tempos Operacionais'!$C$3:$H$3,'Portos Tempos Operacionais'!$C$4:$H$19))</f>
        <v>0.5</v>
      </c>
      <c r="H20" s="302">
        <f t="array" ref="H20">XLOOKUP($B20,'Portos Tempos Operacionais'!$B$4:$B$19,XLOOKUP(H$17,'Portos Tempos Operacionais'!$C$3:$H$3,'Portos Tempos Operacionais'!$C$4:$H$19))</f>
        <v>1</v>
      </c>
      <c r="I20" s="69" t="str">
        <f t="shared" si="10"/>
        <v>SÁB.</v>
      </c>
      <c r="J20" s="311">
        <f t="shared" si="11"/>
        <v>44933.60057</v>
      </c>
      <c r="K20" s="303">
        <f>'OTIMIZA ROTA'!R101</f>
        <v>117</v>
      </c>
      <c r="L20" s="303">
        <f>'OTIMIZA ROTA'!O104</f>
        <v>117</v>
      </c>
      <c r="M20" s="303">
        <v>0.0</v>
      </c>
      <c r="N20" s="303">
        <v>0.0</v>
      </c>
      <c r="O20" s="68">
        <f t="shared" si="12"/>
        <v>234</v>
      </c>
      <c r="P20" s="69">
        <v>50.0</v>
      </c>
      <c r="Q20" s="304">
        <f t="shared" si="13"/>
        <v>4.68</v>
      </c>
      <c r="R20" s="302">
        <f t="array" ref="R20">XLOOKUP($B20,'Portos Tempos Operacionais'!$B$4:$B$19,XLOOKUP(R$17,'Portos Tempos Operacionais'!$C$3:$H$3,'Portos Tempos Operacionais'!$C$4:$H$19))</f>
        <v>1</v>
      </c>
      <c r="S20" s="69" t="str">
        <f t="shared" si="14"/>
        <v>SÁB.</v>
      </c>
      <c r="T20" s="311">
        <f t="shared" si="15"/>
        <v>44933.83724</v>
      </c>
      <c r="U20" s="302">
        <f t="array" ref="U20">XLOOKUP($B20,'Portos Tempos Operacionais'!$B$4:$B$19,XLOOKUP(U$17,'Portos Tempos Operacionais'!$C$3:$H$3,'Portos Tempos Operacionais'!$C$4:$H$19))</f>
        <v>0.5</v>
      </c>
      <c r="V20" s="302">
        <f t="array" ref="V20">XLOOKUP($B20,'Portos Tempos Operacionais'!$B$4:$B$19,XLOOKUP(V$17,'Portos Tempos Operacionais'!$C$3:$H$3,'Portos Tempos Operacionais'!$C$4:$H$19))</f>
        <v>1</v>
      </c>
      <c r="W20" s="69" t="str">
        <f t="shared" si="16"/>
        <v>SÁB.</v>
      </c>
      <c r="X20" s="311">
        <f t="shared" si="17"/>
        <v>44933.89974</v>
      </c>
      <c r="Y20" s="305">
        <f t="array" ref="Y20">XLOOKUP($B20,'Distancia Portos'!$C$4:$C$19,XLOOKUP($B21,'Distancia Portos'!$D$3:$S$3,'Distancia Portos'!$D$4:$S$19))</f>
        <v>375.270115</v>
      </c>
      <c r="Z20" s="306">
        <v>15.42172125373394</v>
      </c>
      <c r="AA20" s="69">
        <v>0.0</v>
      </c>
      <c r="AB20" s="306">
        <f t="shared" si="18"/>
        <v>15.42172125</v>
      </c>
      <c r="AC20" s="307">
        <f t="shared" si="19"/>
        <v>24.33386707</v>
      </c>
      <c r="AD20" s="304">
        <f t="shared" si="20"/>
        <v>1.013911128</v>
      </c>
      <c r="AE20" s="69"/>
      <c r="AF20" s="308">
        <f t="shared" si="21"/>
        <v>2.583413178</v>
      </c>
      <c r="AG20" s="304">
        <f t="shared" si="22"/>
        <v>62.86443286</v>
      </c>
      <c r="AH20" s="309">
        <f t="shared" si="23"/>
        <v>182569.6286</v>
      </c>
      <c r="AI20" s="309">
        <f t="array" ref="AI20">XLOOKUP(B20,'Praticagem &amp; Rebocadores'!$B$4:$B$19,XLOOKUP("3500 TEU",'Praticagem &amp; Rebocadores'!$C$3:$F$3,'Praticagem &amp; Rebocadores'!$C$4:$F$19,TRUE))</f>
        <v>75000</v>
      </c>
      <c r="AJ20" s="29"/>
    </row>
    <row r="21" ht="15.75" customHeight="1">
      <c r="B21" s="69" t="s">
        <v>165</v>
      </c>
      <c r="C21" s="307">
        <f>C19+ROUNDUP(AD19,0)</f>
        <v>5.646758547</v>
      </c>
      <c r="D21" s="69" t="str">
        <f t="shared" si="9"/>
        <v>SÁB.</v>
      </c>
      <c r="E21" s="301">
        <f>X19+(AC19/24)</f>
        <v>44933.4964</v>
      </c>
      <c r="F21" s="302">
        <f t="array" ref="F21">XLOOKUP($B21,'Portos Tempos Operacionais'!$B$4:$B$19,XLOOKUP(F$17,'Portos Tempos Operacionais'!$C$3:$H$3,'Portos Tempos Operacionais'!$C$4:$H$19))</f>
        <v>1</v>
      </c>
      <c r="G21" s="302">
        <f t="array" ref="G21">XLOOKUP($B21,'Portos Tempos Operacionais'!$B$4:$B$19,XLOOKUP(G$17,'Portos Tempos Operacionais'!$C$3:$H$3,'Portos Tempos Operacionais'!$C$4:$H$19))</f>
        <v>0.5</v>
      </c>
      <c r="H21" s="302">
        <f t="array" ref="H21">XLOOKUP($B21,'Portos Tempos Operacionais'!$B$4:$B$19,XLOOKUP(H$17,'Portos Tempos Operacionais'!$C$3:$H$3,'Portos Tempos Operacionais'!$C$4:$H$19))</f>
        <v>1</v>
      </c>
      <c r="I21" s="69" t="str">
        <f t="shared" si="10"/>
        <v>SÁB.</v>
      </c>
      <c r="J21" s="311">
        <f t="shared" si="11"/>
        <v>44933.60057</v>
      </c>
      <c r="K21" s="303">
        <f>'OTIMIZA ROTA'!L100+'OTIMIZA ROTA'!M100</f>
        <v>532</v>
      </c>
      <c r="L21" s="303">
        <f>'OTIMIZA ROTA'!N103+'OTIMIZA ROTA'!N102+'OTIMIZA ROTA'!N101</f>
        <v>675</v>
      </c>
      <c r="M21" s="312">
        <v>191.0</v>
      </c>
      <c r="N21" s="303">
        <v>0.0</v>
      </c>
      <c r="O21" s="68">
        <f t="shared" si="12"/>
        <v>1398</v>
      </c>
      <c r="P21" s="69">
        <v>45.0</v>
      </c>
      <c r="Q21" s="304">
        <f t="shared" si="13"/>
        <v>31.06666667</v>
      </c>
      <c r="R21" s="302">
        <f t="array" ref="R21">XLOOKUP($B21,'Portos Tempos Operacionais'!$B$4:$B$19,XLOOKUP(R$17,'Portos Tempos Operacionais'!$C$3:$H$3,'Portos Tempos Operacionais'!$C$4:$H$19))</f>
        <v>1</v>
      </c>
      <c r="S21" s="69" t="str">
        <f t="shared" si="14"/>
        <v>DOM.</v>
      </c>
      <c r="T21" s="311">
        <f t="shared" si="15"/>
        <v>44934.93668</v>
      </c>
      <c r="U21" s="302">
        <f t="array" ref="U21">XLOOKUP($B21,'Portos Tempos Operacionais'!$B$4:$B$19,XLOOKUP(U$17,'Portos Tempos Operacionais'!$C$3:$H$3,'Portos Tempos Operacionais'!$C$4:$H$19))</f>
        <v>0.5</v>
      </c>
      <c r="V21" s="302">
        <f t="array" ref="V21">XLOOKUP($B21,'Portos Tempos Operacionais'!$B$4:$B$19,XLOOKUP(V$17,'Portos Tempos Operacionais'!$C$3:$H$3,'Portos Tempos Operacionais'!$C$4:$H$19))</f>
        <v>1</v>
      </c>
      <c r="W21" s="69" t="str">
        <f t="shared" si="16"/>
        <v>DOM.</v>
      </c>
      <c r="X21" s="311">
        <f t="shared" si="17"/>
        <v>44934.99918</v>
      </c>
      <c r="Y21" s="305">
        <f t="array" ref="Y21">XLOOKUP($B21,'Distancia Portos'!$C$4:$C$19,XLOOKUP($B22,'Distancia Portos'!$D$3:$S$3,'Distancia Portos'!$D$4:$S$19))</f>
        <v>478</v>
      </c>
      <c r="Z21" s="306">
        <v>15.413483475524961</v>
      </c>
      <c r="AA21" s="69">
        <v>0.0</v>
      </c>
      <c r="AB21" s="306">
        <f t="shared" si="18"/>
        <v>15.41348348</v>
      </c>
      <c r="AC21" s="307">
        <f t="shared" si="19"/>
        <v>31.01180864</v>
      </c>
      <c r="AD21" s="304">
        <f t="shared" si="20"/>
        <v>1.292158693</v>
      </c>
      <c r="AE21" s="69"/>
      <c r="AF21" s="308">
        <f t="shared" si="21"/>
        <v>2.581760018</v>
      </c>
      <c r="AG21" s="304">
        <f t="shared" si="22"/>
        <v>80.06504763</v>
      </c>
      <c r="AH21" s="309">
        <f t="shared" si="23"/>
        <v>232523.31</v>
      </c>
      <c r="AI21" s="309">
        <f t="array" ref="AI21">XLOOKUP(B21,'Praticagem &amp; Rebocadores'!$B$4:$B$19,XLOOKUP("3500 TEU",'Praticagem &amp; Rebocadores'!$C$3:$F$3,'Praticagem &amp; Rebocadores'!$C$4:$F$19,TRUE))</f>
        <v>80000</v>
      </c>
      <c r="AJ21" s="29"/>
    </row>
    <row r="22" ht="15.75" customHeight="1">
      <c r="B22" s="69" t="s">
        <v>161</v>
      </c>
      <c r="C22" s="307">
        <f t="shared" ref="C22:C25" si="26">C21+ROUNDUP(AD21,0)</f>
        <v>7.646758547</v>
      </c>
      <c r="D22" s="69" t="str">
        <f t="shared" si="9"/>
        <v>TER.</v>
      </c>
      <c r="E22" s="301">
        <f t="shared" ref="E22:E25" si="27">X21+(AC21/24)</f>
        <v>44936.29134</v>
      </c>
      <c r="F22" s="302">
        <f t="array" ref="F22">XLOOKUP($B22,'Portos Tempos Operacionais'!$B$4:$B$19,XLOOKUP(F$17,'Portos Tempos Operacionais'!$C$3:$H$3,'Portos Tempos Operacionais'!$C$4:$H$19))</f>
        <v>1</v>
      </c>
      <c r="G22" s="302">
        <f t="array" ref="G22">XLOOKUP($B22,'Portos Tempos Operacionais'!$B$4:$B$19,XLOOKUP(G$17,'Portos Tempos Operacionais'!$C$3:$H$3,'Portos Tempos Operacionais'!$C$4:$H$19))</f>
        <v>0.5</v>
      </c>
      <c r="H22" s="302">
        <f t="array" ref="H22">XLOOKUP($B22,'Portos Tempos Operacionais'!$B$4:$B$19,XLOOKUP(H$17,'Portos Tempos Operacionais'!$C$3:$H$3,'Portos Tempos Operacionais'!$C$4:$H$19))</f>
        <v>1</v>
      </c>
      <c r="I22" s="69" t="str">
        <f t="shared" si="10"/>
        <v>TER.</v>
      </c>
      <c r="J22" s="311">
        <f t="shared" si="11"/>
        <v>44936.39551</v>
      </c>
      <c r="K22" s="303">
        <f>'OTIMIZA ROTA'!R99</f>
        <v>256</v>
      </c>
      <c r="L22" s="303">
        <f>'OTIMIZA ROTA'!M104</f>
        <v>256</v>
      </c>
      <c r="M22" s="303">
        <v>0.0</v>
      </c>
      <c r="N22" s="303">
        <v>0.0</v>
      </c>
      <c r="O22" s="68">
        <f t="shared" si="12"/>
        <v>512</v>
      </c>
      <c r="P22" s="69">
        <v>40.0</v>
      </c>
      <c r="Q22" s="304">
        <f t="shared" si="13"/>
        <v>12.8</v>
      </c>
      <c r="R22" s="302">
        <f t="array" ref="R22">XLOOKUP($B22,'Portos Tempos Operacionais'!$B$4:$B$19,XLOOKUP(R$17,'Portos Tempos Operacionais'!$C$3:$H$3,'Portos Tempos Operacionais'!$C$4:$H$19))</f>
        <v>1</v>
      </c>
      <c r="S22" s="69" t="str">
        <f t="shared" si="14"/>
        <v>TER.</v>
      </c>
      <c r="T22" s="311">
        <f t="shared" si="15"/>
        <v>44936.97051</v>
      </c>
      <c r="U22" s="302">
        <f t="array" ref="U22">XLOOKUP($B22,'Portos Tempos Operacionais'!$B$4:$B$19,XLOOKUP(U$17,'Portos Tempos Operacionais'!$C$3:$H$3,'Portos Tempos Operacionais'!$C$4:$H$19))</f>
        <v>0.5</v>
      </c>
      <c r="V22" s="302">
        <f t="array" ref="V22">XLOOKUP($B22,'Portos Tempos Operacionais'!$B$4:$B$19,XLOOKUP(V$17,'Portos Tempos Operacionais'!$C$3:$H$3,'Portos Tempos Operacionais'!$C$4:$H$19))</f>
        <v>1</v>
      </c>
      <c r="W22" s="69" t="str">
        <f t="shared" si="16"/>
        <v>QUA.</v>
      </c>
      <c r="X22" s="311">
        <f t="shared" si="17"/>
        <v>44937.03301</v>
      </c>
      <c r="Y22" s="305">
        <f t="array" ref="Y22">XLOOKUP($B22,'Distancia Portos'!$C$4:$C$19,XLOOKUP($B23,'Distancia Portos'!$D$3:$S$3,'Distancia Portos'!$D$4:$S$19))</f>
        <v>1569</v>
      </c>
      <c r="Z22" s="306">
        <v>15.497063574298677</v>
      </c>
      <c r="AA22" s="69">
        <v>0.0</v>
      </c>
      <c r="AB22" s="306">
        <f t="shared" si="18"/>
        <v>15.49706357</v>
      </c>
      <c r="AC22" s="307">
        <f t="shared" si="19"/>
        <v>101.244987</v>
      </c>
      <c r="AD22" s="304">
        <f t="shared" si="20"/>
        <v>4.218541125</v>
      </c>
      <c r="AE22" s="69"/>
      <c r="AF22" s="308">
        <f t="shared" si="21"/>
        <v>2.598615004</v>
      </c>
      <c r="AG22" s="304">
        <f t="shared" si="22"/>
        <v>263.0967423</v>
      </c>
      <c r="AH22" s="309">
        <f t="shared" si="23"/>
        <v>764080.297</v>
      </c>
      <c r="AI22" s="309">
        <f t="array" ref="AI22">XLOOKUP(B22,'Praticagem &amp; Rebocadores'!$B$4:$B$19,XLOOKUP("3500 TEU",'Praticagem &amp; Rebocadores'!$C$3:$F$3,'Praticagem &amp; Rebocadores'!$C$4:$F$19,TRUE))</f>
        <v>120000</v>
      </c>
    </row>
    <row r="23" ht="15.75" customHeight="1">
      <c r="B23" s="69" t="s">
        <v>149</v>
      </c>
      <c r="C23" s="307">
        <f t="shared" si="26"/>
        <v>12.64675855</v>
      </c>
      <c r="D23" s="69" t="str">
        <f t="shared" si="9"/>
        <v>DOM.</v>
      </c>
      <c r="E23" s="301">
        <f t="shared" si="27"/>
        <v>44941.25155</v>
      </c>
      <c r="F23" s="302">
        <f t="array" ref="F23">XLOOKUP($B23,'Portos Tempos Operacionais'!$B$4:$B$19,XLOOKUP(F$17,'Portos Tempos Operacionais'!$C$3:$H$3,'Portos Tempos Operacionais'!$C$4:$H$19))</f>
        <v>1</v>
      </c>
      <c r="G23" s="302">
        <f t="array" ref="G23">XLOOKUP($B23,'Portos Tempos Operacionais'!$B$4:$B$19,XLOOKUP(G$17,'Portos Tempos Operacionais'!$C$3:$H$3,'Portos Tempos Operacionais'!$C$4:$H$19))</f>
        <v>1</v>
      </c>
      <c r="H23" s="302">
        <f t="array" ref="H23">XLOOKUP($B23,'Portos Tempos Operacionais'!$B$4:$B$19,XLOOKUP(H$17,'Portos Tempos Operacionais'!$C$3:$H$3,'Portos Tempos Operacionais'!$C$4:$H$19))</f>
        <v>1</v>
      </c>
      <c r="I23" s="69" t="str">
        <f t="shared" si="10"/>
        <v>DOM.</v>
      </c>
      <c r="J23" s="311">
        <f t="shared" si="11"/>
        <v>44941.37655</v>
      </c>
      <c r="K23" s="303">
        <f>'OTIMIZA ROTA'!R98</f>
        <v>1384</v>
      </c>
      <c r="L23" s="303">
        <f>'OTIMIZA ROTA'!L104</f>
        <v>1257</v>
      </c>
      <c r="M23" s="312">
        <v>64.0</v>
      </c>
      <c r="N23" s="312">
        <v>191.0</v>
      </c>
      <c r="O23" s="68">
        <f t="shared" si="12"/>
        <v>2896</v>
      </c>
      <c r="P23" s="69">
        <v>35.0</v>
      </c>
      <c r="Q23" s="304">
        <f t="shared" si="13"/>
        <v>82.74285714</v>
      </c>
      <c r="R23" s="302">
        <f t="array" ref="R23">XLOOKUP($B23,'Portos Tempos Operacionais'!$B$4:$B$19,XLOOKUP(R$17,'Portos Tempos Operacionais'!$C$3:$H$3,'Portos Tempos Operacionais'!$C$4:$H$19))</f>
        <v>1</v>
      </c>
      <c r="S23" s="69" t="str">
        <f t="shared" si="14"/>
        <v>QUA.</v>
      </c>
      <c r="T23" s="311">
        <f t="shared" si="15"/>
        <v>44944.86583</v>
      </c>
      <c r="U23" s="302">
        <f t="array" ref="U23">XLOOKUP($B23,'Portos Tempos Operacionais'!$B$4:$B$19,XLOOKUP(U$17,'Portos Tempos Operacionais'!$C$3:$H$3,'Portos Tempos Operacionais'!$C$4:$H$19))</f>
        <v>1</v>
      </c>
      <c r="V23" s="302">
        <f t="array" ref="V23">XLOOKUP($B23,'Portos Tempos Operacionais'!$B$4:$B$19,XLOOKUP(V$17,'Portos Tempos Operacionais'!$C$3:$H$3,'Portos Tempos Operacionais'!$C$4:$H$19))</f>
        <v>1</v>
      </c>
      <c r="W23" s="69" t="str">
        <f t="shared" si="16"/>
        <v>QUA.</v>
      </c>
      <c r="X23" s="311">
        <f t="shared" si="17"/>
        <v>44944.94917</v>
      </c>
      <c r="Y23" s="305">
        <f t="array" ref="Y23">XLOOKUP($B23,'Distancia Portos'!$C$4:$C$19,XLOOKUP($B24,'Distancia Portos'!$D$3:$S$3,'Distancia Portos'!$D$4:$S$19))</f>
        <v>2045.897073</v>
      </c>
      <c r="Z23" s="306">
        <v>15.462574213466628</v>
      </c>
      <c r="AA23" s="69">
        <v>0.0</v>
      </c>
      <c r="AB23" s="306">
        <f t="shared" si="18"/>
        <v>15.46257421</v>
      </c>
      <c r="AC23" s="307">
        <f t="shared" si="19"/>
        <v>132.3128377</v>
      </c>
      <c r="AD23" s="304">
        <f t="shared" si="20"/>
        <v>5.513034906</v>
      </c>
      <c r="AE23" s="69"/>
      <c r="AF23" s="308">
        <f t="shared" si="21"/>
        <v>2.591637692</v>
      </c>
      <c r="AG23" s="304">
        <f t="shared" si="22"/>
        <v>342.9069374</v>
      </c>
      <c r="AH23" s="309">
        <f t="shared" si="23"/>
        <v>995863.4696</v>
      </c>
      <c r="AI23" s="309">
        <f t="array" ref="AI23">XLOOKUP(B23,'Praticagem &amp; Rebocadores'!$B$4:$B$19,XLOOKUP("3500 TEU",'Praticagem &amp; Rebocadores'!$C$3:$F$3,'Praticagem &amp; Rebocadores'!$C$4:$F$19,TRUE))</f>
        <v>1600000</v>
      </c>
    </row>
    <row r="24" ht="15.75" customHeight="1">
      <c r="B24" s="69" t="s">
        <v>165</v>
      </c>
      <c r="C24" s="307">
        <f t="shared" si="26"/>
        <v>18.64675855</v>
      </c>
      <c r="D24" s="69" t="str">
        <f t="shared" si="9"/>
        <v>TER.</v>
      </c>
      <c r="E24" s="301">
        <f t="shared" si="27"/>
        <v>44950.4622</v>
      </c>
      <c r="F24" s="302">
        <f t="array" ref="F24">XLOOKUP($B24,'Portos Tempos Operacionais'!$B$4:$B$19,XLOOKUP(F$17,'Portos Tempos Operacionais'!$C$3:$H$3,'Portos Tempos Operacionais'!$C$4:$H$19))</f>
        <v>1</v>
      </c>
      <c r="G24" s="302">
        <f t="array" ref="G24">XLOOKUP($B24,'Portos Tempos Operacionais'!$B$4:$B$19,XLOOKUP(G$17,'Portos Tempos Operacionais'!$C$3:$H$3,'Portos Tempos Operacionais'!$C$4:$H$19))</f>
        <v>0.5</v>
      </c>
      <c r="H24" s="302">
        <f t="array" ref="H24">XLOOKUP($B24,'Portos Tempos Operacionais'!$B$4:$B$19,XLOOKUP(H$17,'Portos Tempos Operacionais'!$C$3:$H$3,'Portos Tempos Operacionais'!$C$4:$H$19))</f>
        <v>1</v>
      </c>
      <c r="I24" s="69" t="str">
        <f t="shared" si="10"/>
        <v>TER.</v>
      </c>
      <c r="J24" s="311">
        <f t="shared" si="11"/>
        <v>44950.56637</v>
      </c>
      <c r="K24" s="303">
        <f>'OTIMIZA ROTA'!P100+'OTIMIZA ROTA'!Q100</f>
        <v>116</v>
      </c>
      <c r="L24" s="303">
        <f>'OTIMIZA ROTA'!N98</f>
        <v>164</v>
      </c>
      <c r="M24" s="303">
        <v>0.0</v>
      </c>
      <c r="N24" s="303">
        <v>0.0</v>
      </c>
      <c r="O24" s="68">
        <f t="shared" si="12"/>
        <v>280</v>
      </c>
      <c r="P24" s="69">
        <v>45.0</v>
      </c>
      <c r="Q24" s="304">
        <f t="shared" si="13"/>
        <v>6.222222222</v>
      </c>
      <c r="R24" s="302">
        <f t="array" ref="R24">XLOOKUP($B24,'Portos Tempos Operacionais'!$B$4:$B$19,XLOOKUP(R$17,'Portos Tempos Operacionais'!$C$3:$H$3,'Portos Tempos Operacionais'!$C$4:$H$19))</f>
        <v>1</v>
      </c>
      <c r="S24" s="69" t="str">
        <f t="shared" si="14"/>
        <v>TER.</v>
      </c>
      <c r="T24" s="311">
        <f t="shared" si="15"/>
        <v>44950.86729</v>
      </c>
      <c r="U24" s="302">
        <f t="array" ref="U24">XLOOKUP($B24,'Portos Tempos Operacionais'!$B$4:$B$19,XLOOKUP(U$17,'Portos Tempos Operacionais'!$C$3:$H$3,'Portos Tempos Operacionais'!$C$4:$H$19))</f>
        <v>0.5</v>
      </c>
      <c r="V24" s="302">
        <f t="array" ref="V24">XLOOKUP($B24,'Portos Tempos Operacionais'!$B$4:$B$19,XLOOKUP(V$17,'Portos Tempos Operacionais'!$C$3:$H$3,'Portos Tempos Operacionais'!$C$4:$H$19))</f>
        <v>1</v>
      </c>
      <c r="W24" s="69" t="str">
        <f t="shared" si="16"/>
        <v>TER.</v>
      </c>
      <c r="X24" s="311">
        <f t="shared" si="17"/>
        <v>44950.92979</v>
      </c>
      <c r="Y24" s="305">
        <f t="array" ref="Y24">XLOOKUP($B24,'Distancia Portos'!$C$4:$C$19,XLOOKUP($B25,'Distancia Portos'!$D$3:$S$3,'Distancia Portos'!$D$4:$S$19))</f>
        <v>1259.179724</v>
      </c>
      <c r="Z24" s="306">
        <v>15.470863017147025</v>
      </c>
      <c r="AA24" s="69">
        <v>0.0</v>
      </c>
      <c r="AB24" s="306">
        <f t="shared" si="18"/>
        <v>15.47086302</v>
      </c>
      <c r="AC24" s="307">
        <f t="shared" si="19"/>
        <v>81.39039966</v>
      </c>
      <c r="AD24" s="304">
        <f t="shared" si="20"/>
        <v>3.391266652</v>
      </c>
      <c r="AE24" s="69"/>
      <c r="AF24" s="308">
        <f t="shared" si="21"/>
        <v>2.593311707</v>
      </c>
      <c r="AG24" s="304">
        <f t="shared" si="22"/>
        <v>211.0706763</v>
      </c>
      <c r="AH24" s="309">
        <f t="shared" si="23"/>
        <v>612987.2366</v>
      </c>
      <c r="AI24" s="309">
        <f t="array" ref="AI24">XLOOKUP(B24,'Praticagem &amp; Rebocadores'!$B$4:$B$19,XLOOKUP("3500 TEU",'Praticagem &amp; Rebocadores'!$C$3:$F$3,'Praticagem &amp; Rebocadores'!$C$4:$F$19,TRUE))</f>
        <v>80000</v>
      </c>
    </row>
    <row r="25" ht="15.75" customHeight="1">
      <c r="B25" s="69" t="s">
        <v>185</v>
      </c>
      <c r="C25" s="307">
        <f t="shared" si="26"/>
        <v>22.64675855</v>
      </c>
      <c r="D25" s="69" t="str">
        <f t="shared" si="9"/>
        <v>SÁB.</v>
      </c>
      <c r="E25" s="301">
        <f t="shared" si="27"/>
        <v>44954.32106</v>
      </c>
      <c r="F25" s="302"/>
      <c r="G25" s="302"/>
      <c r="H25" s="302"/>
      <c r="I25" s="69"/>
      <c r="J25" s="311"/>
      <c r="K25" s="312"/>
      <c r="L25" s="312"/>
      <c r="M25" s="312"/>
      <c r="N25" s="312"/>
      <c r="O25" s="69"/>
      <c r="P25" s="69"/>
      <c r="Q25" s="307"/>
      <c r="R25" s="302"/>
      <c r="S25" s="69"/>
      <c r="T25" s="311"/>
      <c r="U25" s="302"/>
      <c r="V25" s="302"/>
      <c r="W25" s="69"/>
      <c r="X25" s="311"/>
      <c r="Y25" s="69"/>
      <c r="Z25" s="69"/>
      <c r="AA25" s="69"/>
      <c r="AB25" s="69"/>
      <c r="AC25" s="307"/>
      <c r="AD25" s="304"/>
      <c r="AE25" s="69"/>
      <c r="AF25" s="69"/>
      <c r="AG25" s="69"/>
      <c r="AH25" s="313"/>
      <c r="AI25" s="313"/>
    </row>
    <row r="26" ht="15.75" customHeight="1">
      <c r="B26" s="69"/>
      <c r="C26" s="69"/>
      <c r="D26" s="69"/>
      <c r="E26" s="69"/>
      <c r="F26" s="69"/>
      <c r="G26" s="69"/>
      <c r="H26" s="69"/>
      <c r="I26" s="69"/>
      <c r="J26" s="69"/>
      <c r="K26" s="312"/>
      <c r="L26" s="312"/>
      <c r="M26" s="312"/>
      <c r="N26" s="312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</row>
    <row r="27" ht="15.75" customHeight="1">
      <c r="B27" s="69"/>
      <c r="C27" s="69"/>
      <c r="D27" s="69"/>
      <c r="E27" s="69"/>
      <c r="F27" s="69"/>
      <c r="G27" s="69"/>
      <c r="H27" s="69"/>
      <c r="I27" s="69"/>
      <c r="J27" s="69"/>
      <c r="K27" s="312"/>
      <c r="L27" s="312"/>
      <c r="M27" s="312"/>
      <c r="N27" s="312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</row>
    <row r="28" ht="15.75" customHeight="1">
      <c r="B28" s="69"/>
      <c r="C28" s="69"/>
      <c r="D28" s="69"/>
      <c r="E28" s="69"/>
      <c r="F28" s="69"/>
      <c r="G28" s="69"/>
      <c r="H28" s="69"/>
      <c r="I28" s="69"/>
      <c r="J28" s="69"/>
      <c r="K28" s="312"/>
      <c r="L28" s="312"/>
      <c r="M28" s="312"/>
      <c r="N28" s="312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</row>
    <row r="29" ht="15.75" customHeight="1">
      <c r="B29" s="69"/>
      <c r="C29" s="69"/>
      <c r="D29" s="69"/>
      <c r="E29" s="69"/>
      <c r="F29" s="69"/>
      <c r="G29" s="69"/>
      <c r="H29" s="69"/>
      <c r="I29" s="69"/>
      <c r="J29" s="69"/>
      <c r="K29" s="312"/>
      <c r="L29" s="312"/>
      <c r="M29" s="312"/>
      <c r="N29" s="312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</row>
    <row r="30" ht="15.75" customHeight="1">
      <c r="B30" s="69"/>
      <c r="C30" s="69"/>
      <c r="D30" s="69"/>
      <c r="E30" s="69"/>
      <c r="F30" s="69"/>
      <c r="G30" s="69"/>
      <c r="H30" s="69"/>
      <c r="I30" s="69"/>
      <c r="J30" s="69"/>
      <c r="K30" s="312"/>
      <c r="L30" s="312"/>
      <c r="M30" s="312"/>
      <c r="N30" s="312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</row>
    <row r="31" ht="15.75" customHeight="1">
      <c r="B31" s="69"/>
      <c r="C31" s="69"/>
      <c r="D31" s="69"/>
      <c r="E31" s="69"/>
      <c r="F31" s="69"/>
      <c r="G31" s="69"/>
      <c r="H31" s="69"/>
      <c r="I31" s="69"/>
      <c r="J31" s="69"/>
      <c r="K31" s="312"/>
      <c r="L31" s="312"/>
      <c r="M31" s="312"/>
      <c r="N31" s="312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R4:T4"/>
    <mergeCell ref="R5:T5"/>
    <mergeCell ref="R7:T7"/>
    <mergeCell ref="R8:T8"/>
    <mergeCell ref="R9:T9"/>
    <mergeCell ref="R11:T11"/>
    <mergeCell ref="R12:T12"/>
    <mergeCell ref="R16:T16"/>
    <mergeCell ref="H6:I6"/>
    <mergeCell ref="H7:I7"/>
    <mergeCell ref="H8:I8"/>
    <mergeCell ref="H9:I9"/>
    <mergeCell ref="H10:I10"/>
    <mergeCell ref="H11:I11"/>
    <mergeCell ref="H12:I12"/>
    <mergeCell ref="H3:I3"/>
    <mergeCell ref="M3:N3"/>
    <mergeCell ref="R3:T3"/>
    <mergeCell ref="H4:I4"/>
    <mergeCell ref="M4:N4"/>
    <mergeCell ref="H5:I5"/>
    <mergeCell ref="R6:T6"/>
    <mergeCell ref="M5:N5"/>
    <mergeCell ref="M6:N6"/>
    <mergeCell ref="M7:N7"/>
    <mergeCell ref="M8:N8"/>
    <mergeCell ref="M9:N9"/>
    <mergeCell ref="M10:N10"/>
    <mergeCell ref="M11:N11"/>
    <mergeCell ref="Y16:AE16"/>
    <mergeCell ref="AF16:AI16"/>
    <mergeCell ref="M12:N12"/>
    <mergeCell ref="M13:N13"/>
    <mergeCell ref="M14:N14"/>
    <mergeCell ref="D16:G16"/>
    <mergeCell ref="H16:J16"/>
    <mergeCell ref="K16:Q16"/>
    <mergeCell ref="U16:X16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2023-07-10T12:38:47Z</dcterms:created>
  <dc:creator>Arthur Gabriel Arthur</dc:creator>
</cp:coreProperties>
</file>